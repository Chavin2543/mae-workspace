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charts/colors1.xml" ContentType="application/vnd.ms-office.chartcolorstyle+xml"/>
  <Override PartName="/xl/drawings/drawing2.xml" ContentType="application/vnd.openxmlformats-officedocument.drawing+xml"/>
  <Override PartName="/xl/charts/style1.xml" ContentType="application/vnd.ms-office.chart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riya\Downloads\"/>
    </mc:Choice>
  </mc:AlternateContent>
  <xr:revisionPtr revIDLastSave="0" documentId="13_ncr:1_{573CAA5C-1D42-4F38-932E-888530C50B46}" xr6:coauthVersionLast="47" xr6:coauthVersionMax="47" xr10:uidLastSave="{00000000-0000-0000-0000-000000000000}"/>
  <bookViews>
    <workbookView xWindow="28680" yWindow="-120" windowWidth="29040" windowHeight="15720" tabRatio="868" xr2:uid="{CCAC26DD-AECD-4B3F-87AE-FBA057FAA13C}"/>
  </bookViews>
  <sheets>
    <sheet name="Nationality (Month )2025" sheetId="10" r:id="rId1"/>
    <sheet name="Nationality (Month )2026" sheetId="9" r:id="rId2"/>
    <sheet name="Nationality( 2026vs2025)" sheetId="8" r:id="rId3"/>
  </sheets>
  <externalReferences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</externalReferences>
  <definedNames>
    <definedName name="_______________xlfn.BAHTTEXT" hidden="1">#NAME?</definedName>
    <definedName name="______________xlfn.BAHTTEXT" hidden="1">#NAME?</definedName>
    <definedName name="_____________xlfn.BAHTTEXT" hidden="1">#NAME?</definedName>
    <definedName name="____________xlfn.BAHTTEXT" hidden="1">#NAME?</definedName>
    <definedName name="___________xlfn.BAHTTEXT" hidden="1">#NAME?</definedName>
    <definedName name="__________xlfn.BAHTTEXT" hidden="1">#NAME?</definedName>
    <definedName name="_________xlfn.BAHTTEXT" hidden="1">#NAME?</definedName>
    <definedName name="________xlfn.BAHTTEXT" hidden="1">#NAME?</definedName>
    <definedName name="_______xlfn.BAHTTEXT" hidden="1">#NAME?</definedName>
    <definedName name="______xlfn.BAHTTEXT" hidden="1">#NAME?</definedName>
    <definedName name="_____xlfn.BAHTTEXT" hidden="1">#NAME?</definedName>
    <definedName name="____xlfn.BAHTTEXT" hidden="1">#NAME?</definedName>
    <definedName name="___xlfn.BAHTTEXT" hidden="1">#NAME?</definedName>
    <definedName name="__123Graph_A" localSheetId="2" hidden="1">[1]Core!#REF!</definedName>
    <definedName name="__123Graph_A" hidden="1">[1]Core!#REF!</definedName>
    <definedName name="__123Graph_B" localSheetId="2" hidden="1">[1]Core!#REF!</definedName>
    <definedName name="__123Graph_B" hidden="1">[1]Core!#REF!</definedName>
    <definedName name="__123Graph_C" localSheetId="2" hidden="1">[1]Core!#REF!</definedName>
    <definedName name="__123Graph_C" hidden="1">[1]Core!#REF!</definedName>
    <definedName name="__123Graph_D" localSheetId="2" hidden="1">[1]Core!#REF!</definedName>
    <definedName name="__123Graph_D" hidden="1">[1]Core!#REF!</definedName>
    <definedName name="__123Graph_E" localSheetId="2" hidden="1">[1]Core!#REF!</definedName>
    <definedName name="__123Graph_E" hidden="1">[1]Core!#REF!</definedName>
    <definedName name="__123Graph_F" hidden="1">[1]Core!#REF!</definedName>
    <definedName name="__123Graph_X" hidden="1">[1]Core!#REF!</definedName>
    <definedName name="__b2" localSheetId="0" hidden="1">{"'Summary'!$A$5:$H$42"}</definedName>
    <definedName name="__b2" localSheetId="1" hidden="1">{"'Summary'!$A$5:$H$42"}</definedName>
    <definedName name="__b2" localSheetId="2" hidden="1">{"'Summary'!$A$5:$H$42"}</definedName>
    <definedName name="__b2" hidden="1">{"'Summary'!$A$5:$H$42"}</definedName>
    <definedName name="__b6" localSheetId="0" hidden="1">{"'Summary'!$A$5:$H$42"}</definedName>
    <definedName name="__b6" localSheetId="1" hidden="1">{"'Summary'!$A$5:$H$42"}</definedName>
    <definedName name="__b6" localSheetId="2" hidden="1">{"'Summary'!$A$5:$H$42"}</definedName>
    <definedName name="__b6" hidden="1">{"'Summary'!$A$5:$H$42"}</definedName>
    <definedName name="__FDS_HYPERLINK_TOGGLE_STATE__" hidden="1">"ON"</definedName>
    <definedName name="__FDS_UNIQUE_RANGE_ID_GENERATOR_COUNTER" hidden="1">1</definedName>
    <definedName name="__q1" localSheetId="0" hidden="1">{#N/A,#N/A,FALSE,"SALES-03"}</definedName>
    <definedName name="__q1" localSheetId="1" hidden="1">{#N/A,#N/A,FALSE,"SALES-03"}</definedName>
    <definedName name="__q1" localSheetId="2" hidden="1">{#N/A,#N/A,FALSE,"SALES-03"}</definedName>
    <definedName name="__q1" hidden="1">{#N/A,#N/A,FALSE,"SALES-03"}</definedName>
    <definedName name="__xlfn.BAHTTEXT" hidden="1">#NAME?</definedName>
    <definedName name="_b2" localSheetId="0" hidden="1">{"'Summary'!$A$5:$H$42"}</definedName>
    <definedName name="_b2" localSheetId="1" hidden="1">{"'Summary'!$A$5:$H$42"}</definedName>
    <definedName name="_b2" localSheetId="2" hidden="1">{"'Summary'!$A$5:$H$42"}</definedName>
    <definedName name="_b2" hidden="1">{"'Summary'!$A$5:$H$42"}</definedName>
    <definedName name="_b6" localSheetId="0" hidden="1">{"'Summary'!$A$5:$H$42"}</definedName>
    <definedName name="_b6" localSheetId="1" hidden="1">{"'Summary'!$A$5:$H$42"}</definedName>
    <definedName name="_b6" localSheetId="2" hidden="1">{"'Summary'!$A$5:$H$42"}</definedName>
    <definedName name="_b6" hidden="1">{"'Summary'!$A$5:$H$42"}</definedName>
    <definedName name="_Fill" localSheetId="2" hidden="1">#REF!</definedName>
    <definedName name="_Fill" hidden="1">#REF!</definedName>
    <definedName name="_xlnm._FilterDatabase" localSheetId="0" hidden="1">'Nationality (Month )2025'!$Q$2:$T$2</definedName>
    <definedName name="_xlnm._FilterDatabase" localSheetId="1" hidden="1">'Nationality (Month )2026'!$B$2:$E$37</definedName>
    <definedName name="_xlnm._FilterDatabase" localSheetId="2" hidden="1">#REF!</definedName>
    <definedName name="_xlnm._FilterDatabase" hidden="1">#REF!</definedName>
    <definedName name="_Key1" localSheetId="2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q1" localSheetId="0" hidden="1">{#N/A,#N/A,FALSE,"SALES-03"}</definedName>
    <definedName name="_q1" localSheetId="1" hidden="1">{#N/A,#N/A,FALSE,"SALES-03"}</definedName>
    <definedName name="_q1" localSheetId="2" hidden="1">{#N/A,#N/A,FALSE,"SALES-03"}</definedName>
    <definedName name="_q1" hidden="1">{#N/A,#N/A,FALSE,"SALES-03"}</definedName>
    <definedName name="_Sort" localSheetId="2" hidden="1">#REF!</definedName>
    <definedName name="_Sort" hidden="1">#REF!</definedName>
    <definedName name="_TB02">#REF!</definedName>
    <definedName name="aa" localSheetId="0" hidden="1">{"FB Assumptions",#N/A,FALSE,"Asu";"FB Cashflow 1",#N/A,FALSE,"F&amp;B";"FB Cashflow 2",#N/A,FALSE,"F&amp;B"}</definedName>
    <definedName name="aa" localSheetId="1" hidden="1">{"FB Assumptions",#N/A,FALSE,"Asu";"FB Cashflow 1",#N/A,FALSE,"F&amp;B";"FB Cashflow 2",#N/A,FALSE,"F&amp;B"}</definedName>
    <definedName name="aa" localSheetId="2" hidden="1">{"FB Assumptions",#N/A,FALSE,"Asu";"FB Cashflow 1",#N/A,FALSE,"F&amp;B";"FB Cashflow 2",#N/A,FALSE,"F&amp;B"}</definedName>
    <definedName name="aa" hidden="1">{"FB Assumptions",#N/A,FALSE,"Asu";"FB Cashflow 1",#N/A,FALSE,"F&amp;B";"FB Cashflow 2",#N/A,FALSE,"F&amp;B"}</definedName>
    <definedName name="ab" localSheetId="0" hidden="1">{#N/A,#N/A,FALSE,"Summary";"Sensitivity1",#N/A,FALSE,"Sensitivity";"Sensitivity2",#N/A,FALSE,"Sensitivity";"Rpt_Cost Bridge",#N/A,FALSE,"Reports";"Rpt_Cost Comp",#N/A,FALSE,"Reports";"Rpt_CP22",#N/A,FALSE,"Reports";"Rpt_Economic Comp",#N/A,FALSE,"Reports";"Rpt_Inv Mix1",#N/A,FALSE,"Reports";"Rpt_Inv Mix2",#N/A,FALSE,"Reports";"Rpt_LRP Comp",#N/A,FALSE,"Reports";"Rpt_NPV Bridge",#N/A,FALSE,"Reports";"Rpt_Price Pace Comp",#N/A,FALSE,"Reports";#N/A,#N/A,FALSE,"Notes"}</definedName>
    <definedName name="ab" localSheetId="1" hidden="1">{#N/A,#N/A,FALSE,"Summary";"Sensitivity1",#N/A,FALSE,"Sensitivity";"Sensitivity2",#N/A,FALSE,"Sensitivity";"Rpt_Cost Bridge",#N/A,FALSE,"Reports";"Rpt_Cost Comp",#N/A,FALSE,"Reports";"Rpt_CP22",#N/A,FALSE,"Reports";"Rpt_Economic Comp",#N/A,FALSE,"Reports";"Rpt_Inv Mix1",#N/A,FALSE,"Reports";"Rpt_Inv Mix2",#N/A,FALSE,"Reports";"Rpt_LRP Comp",#N/A,FALSE,"Reports";"Rpt_NPV Bridge",#N/A,FALSE,"Reports";"Rpt_Price Pace Comp",#N/A,FALSE,"Reports";#N/A,#N/A,FALSE,"Notes"}</definedName>
    <definedName name="ab" localSheetId="2" hidden="1">{#N/A,#N/A,FALSE,"Summary";"Sensitivity1",#N/A,FALSE,"Sensitivity";"Sensitivity2",#N/A,FALSE,"Sensitivity";"Rpt_Cost Bridge",#N/A,FALSE,"Reports";"Rpt_Cost Comp",#N/A,FALSE,"Reports";"Rpt_CP22",#N/A,FALSE,"Reports";"Rpt_Economic Comp",#N/A,FALSE,"Reports";"Rpt_Inv Mix1",#N/A,FALSE,"Reports";"Rpt_Inv Mix2",#N/A,FALSE,"Reports";"Rpt_LRP Comp",#N/A,FALSE,"Reports";"Rpt_NPV Bridge",#N/A,FALSE,"Reports";"Rpt_Price Pace Comp",#N/A,FALSE,"Reports";#N/A,#N/A,FALSE,"Notes"}</definedName>
    <definedName name="ab" hidden="1">{#N/A,#N/A,FALSE,"Summary";"Sensitivity1",#N/A,FALSE,"Sensitivity";"Sensitivity2",#N/A,FALSE,"Sensitivity";"Rpt_Cost Bridge",#N/A,FALSE,"Reports";"Rpt_Cost Comp",#N/A,FALSE,"Reports";"Rpt_CP22",#N/A,FALSE,"Reports";"Rpt_Economic Comp",#N/A,FALSE,"Reports";"Rpt_Inv Mix1",#N/A,FALSE,"Reports";"Rpt_Inv Mix2",#N/A,FALSE,"Reports";"Rpt_LRP Comp",#N/A,FALSE,"Reports";"Rpt_NPV Bridge",#N/A,FALSE,"Reports";"Rpt_Price Pace Comp",#N/A,FALSE,"Reports";#N/A,#N/A,FALSE,"Notes"}</definedName>
    <definedName name="ABAZ" hidden="1">[2]Core!#REF!</definedName>
    <definedName name="AccessDatabase" hidden="1">"A:\Forecast Nov 98.mdb"</definedName>
    <definedName name="anscount" hidden="1">1</definedName>
    <definedName name="aqaa" localSheetId="2" hidden="1">#REF!</definedName>
    <definedName name="aqaa" hidden="1">#REF!</definedName>
    <definedName name="ar_prev" localSheetId="2">'[3]Balance sheet'!#REF!</definedName>
    <definedName name="ar_prev">'[3]Balance sheet'!#REF!</definedName>
    <definedName name="AS2DocOpenMode" hidden="1">"AS2DocumentEdit"</definedName>
    <definedName name="assa" localSheetId="0" hidden="1">{#N/A,"1",FALSE,"Model";#N/A,"2",FALSE,"Model";#N/A,"3",FALSE,"Model";#N/A,"4",FALSE,"Model";#N/A,"5",FALSE,"Model";#N/A,"6",FALSE,"Model";#N/A,"7",FALSE,"Model";#N/A,"8",FALSE,"Model";#N/A,"9",FALSE,"Model"}</definedName>
    <definedName name="assa" localSheetId="1" hidden="1">{#N/A,"1",FALSE,"Model";#N/A,"2",FALSE,"Model";#N/A,"3",FALSE,"Model";#N/A,"4",FALSE,"Model";#N/A,"5",FALSE,"Model";#N/A,"6",FALSE,"Model";#N/A,"7",FALSE,"Model";#N/A,"8",FALSE,"Model";#N/A,"9",FALSE,"Model"}</definedName>
    <definedName name="assa" localSheetId="2" hidden="1">{#N/A,"1",FALSE,"Model";#N/A,"2",FALSE,"Model";#N/A,"3",FALSE,"Model";#N/A,"4",FALSE,"Model";#N/A,"5",FALSE,"Model";#N/A,"6",FALSE,"Model";#N/A,"7",FALSE,"Model";#N/A,"8",FALSE,"Model";#N/A,"9",FALSE,"Model"}</definedName>
    <definedName name="assa" hidden="1">{#N/A,"1",FALSE,"Model";#N/A,"2",FALSE,"Model";#N/A,"3",FALSE,"Model";#N/A,"4",FALSE,"Model";#N/A,"5",FALSE,"Model";#N/A,"6",FALSE,"Model";#N/A,"7",FALSE,"Model";#N/A,"8",FALSE,"Model";#N/A,"9",FALSE,"Model"}</definedName>
    <definedName name="beau" localSheetId="0" hidden="1">{"'Summary'!$A$5:$H$42"}</definedName>
    <definedName name="beau" localSheetId="1" hidden="1">{"'Summary'!$A$5:$H$42"}</definedName>
    <definedName name="beau" localSheetId="2" hidden="1">{"'Summary'!$A$5:$H$42"}</definedName>
    <definedName name="beau" hidden="1">{"'Summary'!$A$5:$H$42"}</definedName>
    <definedName name="beau1" localSheetId="0" hidden="1">{"'Summary'!$A$5:$H$42"}</definedName>
    <definedName name="beau1" localSheetId="1" hidden="1">{"'Summary'!$A$5:$H$42"}</definedName>
    <definedName name="beau1" localSheetId="2" hidden="1">{"'Summary'!$A$5:$H$42"}</definedName>
    <definedName name="beau1" hidden="1">{"'Summary'!$A$5:$H$42"}</definedName>
    <definedName name="beau2" localSheetId="0" hidden="1">{"'Summary'!$A$5:$H$42"}</definedName>
    <definedName name="beau2" localSheetId="1" hidden="1">{"'Summary'!$A$5:$H$42"}</definedName>
    <definedName name="beau2" localSheetId="2" hidden="1">{"'Summary'!$A$5:$H$42"}</definedName>
    <definedName name="beau2" hidden="1">{"'Summary'!$A$5:$H$42"}</definedName>
    <definedName name="beau3" localSheetId="0" hidden="1">{"'Summary'!$A$5:$H$42"}</definedName>
    <definedName name="beau3" localSheetId="1" hidden="1">{"'Summary'!$A$5:$H$42"}</definedName>
    <definedName name="beau3" localSheetId="2" hidden="1">{"'Summary'!$A$5:$H$42"}</definedName>
    <definedName name="beau3" hidden="1">{"'Summary'!$A$5:$H$42"}</definedName>
    <definedName name="beau4" localSheetId="0" hidden="1">{"'Summary'!$A$5:$H$42"}</definedName>
    <definedName name="beau4" localSheetId="1" hidden="1">{"'Summary'!$A$5:$H$42"}</definedName>
    <definedName name="beau4" localSheetId="2" hidden="1">{"'Summary'!$A$5:$H$42"}</definedName>
    <definedName name="beau4" hidden="1">{"'Summary'!$A$5:$H$42"}</definedName>
    <definedName name="Bev" localSheetId="2" hidden="1">#REF!</definedName>
    <definedName name="Bev" hidden="1">#REF!</definedName>
    <definedName name="Beverage" localSheetId="2" hidden="1">#REF!</definedName>
    <definedName name="Beverage" hidden="1">#REF!</definedName>
    <definedName name="BrandName">'[4]POV Master'!$Y$3:$Y$10</definedName>
    <definedName name="BudgetVer">[4]POV!$K$19</definedName>
    <definedName name="budREV" localSheetId="2">[5]Setup!$AO$82:$BB$101</definedName>
    <definedName name="budREV">[5]Setup!$AO$82:$BB$101</definedName>
    <definedName name="budRN" localSheetId="2">[5]Setup!$AO$57:$BB$76</definedName>
    <definedName name="budRN">[5]Setup!$AO$57:$BB$76</definedName>
    <definedName name="cccc" localSheetId="0" hidden="1">{"CF Assumptions",#N/A,FALSE,"Asu";#N/A,#N/A,FALSE,"Summary";#N/A,#N/A,FALSE,"CF (2)";#N/A,#N/A,FALSE,"C&amp;D";"SM1",#N/A,FALSE,"SM";"SM2",#N/A,FALSE,"SM";#N/A,#N/A,FALSE,"B&amp;T";"Mgmt1",#N/A,FALSE,"MGMT";"Mgmt2",#N/A,FALSE,"MGMT";"Rent1",#N/A,FALSE,"RENT";"Rent2",#N/A,FALSE,"RENT";#N/A,#N/A,FALSE,"HOSP";#N/A,#N/A,FALSE,"FIN";#N/A,#N/A,FALSE,"Notes"}</definedName>
    <definedName name="cccc" localSheetId="1" hidden="1">{"CF Assumptions",#N/A,FALSE,"Asu";#N/A,#N/A,FALSE,"Summary";#N/A,#N/A,FALSE,"CF (2)";#N/A,#N/A,FALSE,"C&amp;D";"SM1",#N/A,FALSE,"SM";"SM2",#N/A,FALSE,"SM";#N/A,#N/A,FALSE,"B&amp;T";"Mgmt1",#N/A,FALSE,"MGMT";"Mgmt2",#N/A,FALSE,"MGMT";"Rent1",#N/A,FALSE,"RENT";"Rent2",#N/A,FALSE,"RENT";#N/A,#N/A,FALSE,"HOSP";#N/A,#N/A,FALSE,"FIN";#N/A,#N/A,FALSE,"Notes"}</definedName>
    <definedName name="cccc" localSheetId="2" hidden="1">{"CF Assumptions",#N/A,FALSE,"Asu";#N/A,#N/A,FALSE,"Summary";#N/A,#N/A,FALSE,"CF (2)";#N/A,#N/A,FALSE,"C&amp;D";"SM1",#N/A,FALSE,"SM";"SM2",#N/A,FALSE,"SM";#N/A,#N/A,FALSE,"B&amp;T";"Mgmt1",#N/A,FALSE,"MGMT";"Mgmt2",#N/A,FALSE,"MGMT";"Rent1",#N/A,FALSE,"RENT";"Rent2",#N/A,FALSE,"RENT";#N/A,#N/A,FALSE,"HOSP";#N/A,#N/A,FALSE,"FIN";#N/A,#N/A,FALSE,"Notes"}</definedName>
    <definedName name="cccc" hidden="1">{"CF Assumptions",#N/A,FALSE,"Asu";#N/A,#N/A,FALSE,"Summary";#N/A,#N/A,FALSE,"CF (2)";#N/A,#N/A,FALSE,"C&amp;D";"SM1",#N/A,FALSE,"SM";"SM2",#N/A,FALSE,"SM";#N/A,#N/A,FALSE,"B&amp;T";"Mgmt1",#N/A,FALSE,"MGMT";"Mgmt2",#N/A,FALSE,"MGMT";"Rent1",#N/A,FALSE,"RENT";"Rent2",#N/A,FALSE,"RENT";#N/A,#N/A,FALSE,"HOSP";#N/A,#N/A,FALSE,"FIN";#N/A,#N/A,FALSE,"Notes"}</definedName>
    <definedName name="CCFG" localSheetId="0" hidden="1">{"Rent1",#N/A,FALSE,"RENT";"Rent2",#N/A,FALSE,"RENT"}</definedName>
    <definedName name="CCFG" localSheetId="1" hidden="1">{"Rent1",#N/A,FALSE,"RENT";"Rent2",#N/A,FALSE,"RENT"}</definedName>
    <definedName name="CCFG" localSheetId="2" hidden="1">{"Rent1",#N/A,FALSE,"RENT";"Rent2",#N/A,FALSE,"RENT"}</definedName>
    <definedName name="CCFG" hidden="1">{"Rent1",#N/A,FALSE,"RENT";"Rent2",#N/A,FALSE,"RENT"}</definedName>
    <definedName name="Cr" localSheetId="2">#REF!</definedName>
    <definedName name="Cr">#REF!</definedName>
    <definedName name="Credit" localSheetId="2">#REF!</definedName>
    <definedName name="Credit">#REF!</definedName>
    <definedName name="Current_Q">[4]POV!$E$25</definedName>
    <definedName name="CurrMth">'[4]POV Master'!$N$3:$N$14</definedName>
    <definedName name="CY_Forecast">[6]Setup!$O$3</definedName>
    <definedName name="d" localSheetId="0" hidden="1">{"'KCF Bellies'!$D$95"}</definedName>
    <definedName name="d" localSheetId="1" hidden="1">{"'KCF Bellies'!$D$95"}</definedName>
    <definedName name="d" localSheetId="2" hidden="1">{"'KCF Bellies'!$D$95"}</definedName>
    <definedName name="d" hidden="1">{"'KCF Bellies'!$D$95"}</definedName>
    <definedName name="date13" localSheetId="2">[5]TY!$G$22:$G$387</definedName>
    <definedName name="date13">[5]TY!$G$22:$G$387</definedName>
    <definedName name="ddd" localSheetId="2" hidden="1">[2]Core!#REF!</definedName>
    <definedName name="ddd" hidden="1">[2]Core!#REF!</definedName>
    <definedName name="Debit" localSheetId="2">#REF!</definedName>
    <definedName name="Debit">#REF!</definedName>
    <definedName name="Debits" localSheetId="2">#REF!</definedName>
    <definedName name="Debits">#REF!</definedName>
    <definedName name="dfgdfg" localSheetId="0" hidden="1">{#N/A,"1",FALSE,"Model";#N/A,"2",FALSE,"Model";#N/A,"3",FALSE,"Model";#N/A,"4",FALSE,"Model";#N/A,"5",FALSE,"Model";#N/A,"6",FALSE,"Model";#N/A,"7",FALSE,"Model";#N/A,"8",FALSE,"Model";#N/A,"9",FALSE,"Model"}</definedName>
    <definedName name="dfgdfg" localSheetId="1" hidden="1">{#N/A,"1",FALSE,"Model";#N/A,"2",FALSE,"Model";#N/A,"3",FALSE,"Model";#N/A,"4",FALSE,"Model";#N/A,"5",FALSE,"Model";#N/A,"6",FALSE,"Model";#N/A,"7",FALSE,"Model";#N/A,"8",FALSE,"Model";#N/A,"9",FALSE,"Model"}</definedName>
    <definedName name="dfgdfg" localSheetId="2" hidden="1">{#N/A,"1",FALSE,"Model";#N/A,"2",FALSE,"Model";#N/A,"3",FALSE,"Model";#N/A,"4",FALSE,"Model";#N/A,"5",FALSE,"Model";#N/A,"6",FALSE,"Model";#N/A,"7",FALSE,"Model";#N/A,"8",FALSE,"Model";#N/A,"9",FALSE,"Model"}</definedName>
    <definedName name="dfgdfg" hidden="1">{#N/A,"1",FALSE,"Model";#N/A,"2",FALSE,"Model";#N/A,"3",FALSE,"Model";#N/A,"4",FALSE,"Model";#N/A,"5",FALSE,"Model";#N/A,"6",FALSE,"Model";#N/A,"7",FALSE,"Model";#N/A,"8",FALSE,"Model";#N/A,"9",FALSE,"Model"}</definedName>
    <definedName name="DimC1">[4]POV!$K$34</definedName>
    <definedName name="DimC5">[4]POV!$K$38</definedName>
    <definedName name="DimC6">[4]POV!$K$39</definedName>
    <definedName name="DimC7">[4]POV!$K$40</definedName>
    <definedName name="DimC8">[4]POV!$K$41</definedName>
    <definedName name="DimEnt">[4]POV!$E$34</definedName>
    <definedName name="DimICP">[4]POV!$E$41</definedName>
    <definedName name="DimSce">[4]POV!$E$37</definedName>
    <definedName name="DimSceBG">[4]POV!$K$25</definedName>
    <definedName name="DimValue">[4]POV!$E$39</definedName>
    <definedName name="dow" localSheetId="2">[5]Setup!$X$5:$Y$372</definedName>
    <definedName name="dow">[5]Setup!$X$5:$Y$372</definedName>
    <definedName name="Dr" localSheetId="2">#REF!</definedName>
    <definedName name="Dr">#REF!</definedName>
    <definedName name="ds" localSheetId="0" hidden="1">{"Jan-June",#N/A,FALSE,"Sheet4";"Jul-Dec",#N/A,FALSE,"Sheet4"}</definedName>
    <definedName name="ds" localSheetId="1" hidden="1">{"Jan-June",#N/A,FALSE,"Sheet4";"Jul-Dec",#N/A,FALSE,"Sheet4"}</definedName>
    <definedName name="ds" localSheetId="2" hidden="1">{"Jan-June",#N/A,FALSE,"Sheet4";"Jul-Dec",#N/A,FALSE,"Sheet4"}</definedName>
    <definedName name="ds" hidden="1">{"Jan-June",#N/A,FALSE,"Sheet4";"Jul-Dec",#N/A,FALSE,"Sheet4"}</definedName>
    <definedName name="EIGHT" localSheetId="2">#REF!</definedName>
    <definedName name="EIGHT">#REF!</definedName>
    <definedName name="ere" localSheetId="0" hidden="1">{"CF Assumptions",#N/A,FALSE,"Asu";#N/A,#N/A,FALSE,"Notes";#N/A,#N/A,FALSE,"CF";#N/A,#N/A,FALSE,"Summary";#N/A,#N/A,FALSE,"B&amp;T";"Taxable Income",#N/A,FALSE,"B&amp;T";"SM1",#N/A,FALSE,"SM";"SM2",#N/A,FALSE,"SM";#N/A,#N/A,FALSE,"C&amp;D";"NetFees",#N/A,FALSE,"MAINT";"RoomNights",#N/A,FALSE,"MAINT";"Mgmt1",#N/A,FALSE,"MGMT";"Mgmt2",#N/A,FALSE,"MGMT";"Rent1",#N/A,FALSE,"RENT";"Rent2",#N/A,FALSE,"RENT";#N/A,#N/A,FALSE,"HOSP";#N/A,#N/A,FALSE,"FIN";#N/A,#N/A,FALSE,"CF (2)";#N/A,#N/A,FALSE,"C&amp;D (2)";"FB Assumptions",#N/A,FALSE,"Asu";"FB Cashflow 1",#N/A,FALSE,"F&amp;B";"FB Cashflow 2",#N/A,FALSE,"F&amp;B";"Golf Assumptions",#N/A,FALSE,"Asu";"Golf PF1",#N/A,FALSE,"Golf";"Golf PF2",#N/A,FALSE,"Golf";"Golf Dep1",#N/A,FALSE,"Golf";"Golf Dep2",#N/A,FALSE,"Golf";"Rpt_Cost Bridge",#N/A,FALSE,"Reports";"Rpt_Cost Comp",#N/A,FALSE,"Reports";"Rpt_CP22",#N/A,FALSE,"Reports";"Rpt_Economic Comp",#N/A,FALSE,"Reports";"Rpt_Inv Mix1",#N/A,FALSE,"Reports";"Rpt_Inv Mix2",#N/A,FALSE,"Reports";"Rpt_LRP Comp",#N/A,FALSE,"Reports";"Rpt_NPV Bridge",#N/A,FALSE,"Reports";"Sensitivity1",#N/A,FALSE,"Sensitivity";"Rpt_Price Pace Comp",#N/A,FALSE,"Reports";"Sensitivity2",#N/A,FALSE,"Sensitivity"}</definedName>
    <definedName name="ere" localSheetId="1" hidden="1">{"CF Assumptions",#N/A,FALSE,"Asu";#N/A,#N/A,FALSE,"Notes";#N/A,#N/A,FALSE,"CF";#N/A,#N/A,FALSE,"Summary";#N/A,#N/A,FALSE,"B&amp;T";"Taxable Income",#N/A,FALSE,"B&amp;T";"SM1",#N/A,FALSE,"SM";"SM2",#N/A,FALSE,"SM";#N/A,#N/A,FALSE,"C&amp;D";"NetFees",#N/A,FALSE,"MAINT";"RoomNights",#N/A,FALSE,"MAINT";"Mgmt1",#N/A,FALSE,"MGMT";"Mgmt2",#N/A,FALSE,"MGMT";"Rent1",#N/A,FALSE,"RENT";"Rent2",#N/A,FALSE,"RENT";#N/A,#N/A,FALSE,"HOSP";#N/A,#N/A,FALSE,"FIN";#N/A,#N/A,FALSE,"CF (2)";#N/A,#N/A,FALSE,"C&amp;D (2)";"FB Assumptions",#N/A,FALSE,"Asu";"FB Cashflow 1",#N/A,FALSE,"F&amp;B";"FB Cashflow 2",#N/A,FALSE,"F&amp;B";"Golf Assumptions",#N/A,FALSE,"Asu";"Golf PF1",#N/A,FALSE,"Golf";"Golf PF2",#N/A,FALSE,"Golf";"Golf Dep1",#N/A,FALSE,"Golf";"Golf Dep2",#N/A,FALSE,"Golf";"Rpt_Cost Bridge",#N/A,FALSE,"Reports";"Rpt_Cost Comp",#N/A,FALSE,"Reports";"Rpt_CP22",#N/A,FALSE,"Reports";"Rpt_Economic Comp",#N/A,FALSE,"Reports";"Rpt_Inv Mix1",#N/A,FALSE,"Reports";"Rpt_Inv Mix2",#N/A,FALSE,"Reports";"Rpt_LRP Comp",#N/A,FALSE,"Reports";"Rpt_NPV Bridge",#N/A,FALSE,"Reports";"Sensitivity1",#N/A,FALSE,"Sensitivity";"Rpt_Price Pace Comp",#N/A,FALSE,"Reports";"Sensitivity2",#N/A,FALSE,"Sensitivity"}</definedName>
    <definedName name="ere" localSheetId="2" hidden="1">{"CF Assumptions",#N/A,FALSE,"Asu";#N/A,#N/A,FALSE,"Notes";#N/A,#N/A,FALSE,"CF";#N/A,#N/A,FALSE,"Summary";#N/A,#N/A,FALSE,"B&amp;T";"Taxable Income",#N/A,FALSE,"B&amp;T";"SM1",#N/A,FALSE,"SM";"SM2",#N/A,FALSE,"SM";#N/A,#N/A,FALSE,"C&amp;D";"NetFees",#N/A,FALSE,"MAINT";"RoomNights",#N/A,FALSE,"MAINT";"Mgmt1",#N/A,FALSE,"MGMT";"Mgmt2",#N/A,FALSE,"MGMT";"Rent1",#N/A,FALSE,"RENT";"Rent2",#N/A,FALSE,"RENT";#N/A,#N/A,FALSE,"HOSP";#N/A,#N/A,FALSE,"FIN";#N/A,#N/A,FALSE,"CF (2)";#N/A,#N/A,FALSE,"C&amp;D (2)";"FB Assumptions",#N/A,FALSE,"Asu";"FB Cashflow 1",#N/A,FALSE,"F&amp;B";"FB Cashflow 2",#N/A,FALSE,"F&amp;B";"Golf Assumptions",#N/A,FALSE,"Asu";"Golf PF1",#N/A,FALSE,"Golf";"Golf PF2",#N/A,FALSE,"Golf";"Golf Dep1",#N/A,FALSE,"Golf";"Golf Dep2",#N/A,FALSE,"Golf";"Rpt_Cost Bridge",#N/A,FALSE,"Reports";"Rpt_Cost Comp",#N/A,FALSE,"Reports";"Rpt_CP22",#N/A,FALSE,"Reports";"Rpt_Economic Comp",#N/A,FALSE,"Reports";"Rpt_Inv Mix1",#N/A,FALSE,"Reports";"Rpt_Inv Mix2",#N/A,FALSE,"Reports";"Rpt_LRP Comp",#N/A,FALSE,"Reports";"Rpt_NPV Bridge",#N/A,FALSE,"Reports";"Sensitivity1",#N/A,FALSE,"Sensitivity";"Rpt_Price Pace Comp",#N/A,FALSE,"Reports";"Sensitivity2",#N/A,FALSE,"Sensitivity"}</definedName>
    <definedName name="ere" hidden="1">{"CF Assumptions",#N/A,FALSE,"Asu";#N/A,#N/A,FALSE,"Notes";#N/A,#N/A,FALSE,"CF";#N/A,#N/A,FALSE,"Summary";#N/A,#N/A,FALSE,"B&amp;T";"Taxable Income",#N/A,FALSE,"B&amp;T";"SM1",#N/A,FALSE,"SM";"SM2",#N/A,FALSE,"SM";#N/A,#N/A,FALSE,"C&amp;D";"NetFees",#N/A,FALSE,"MAINT";"RoomNights",#N/A,FALSE,"MAINT";"Mgmt1",#N/A,FALSE,"MGMT";"Mgmt2",#N/A,FALSE,"MGMT";"Rent1",#N/A,FALSE,"RENT";"Rent2",#N/A,FALSE,"RENT";#N/A,#N/A,FALSE,"HOSP";#N/A,#N/A,FALSE,"FIN";#N/A,#N/A,FALSE,"CF (2)";#N/A,#N/A,FALSE,"C&amp;D (2)";"FB Assumptions",#N/A,FALSE,"Asu";"FB Cashflow 1",#N/A,FALSE,"F&amp;B";"FB Cashflow 2",#N/A,FALSE,"F&amp;B";"Golf Assumptions",#N/A,FALSE,"Asu";"Golf PF1",#N/A,FALSE,"Golf";"Golf PF2",#N/A,FALSE,"Golf";"Golf Dep1",#N/A,FALSE,"Golf";"Golf Dep2",#N/A,FALSE,"Golf";"Rpt_Cost Bridge",#N/A,FALSE,"Reports";"Rpt_Cost Comp",#N/A,FALSE,"Reports";"Rpt_CP22",#N/A,FALSE,"Reports";"Rpt_Economic Comp",#N/A,FALSE,"Reports";"Rpt_Inv Mix1",#N/A,FALSE,"Reports";"Rpt_Inv Mix2",#N/A,FALSE,"Reports";"Rpt_LRP Comp",#N/A,FALSE,"Reports";"Rpt_NPV Bridge",#N/A,FALSE,"Reports";"Sensitivity1",#N/A,FALSE,"Sensitivity";"Rpt_Price Pace Comp",#N/A,FALSE,"Reports";"Sensitivity2",#N/A,FALSE,"Sensitivity"}</definedName>
    <definedName name="EV__EXPOPTIONS__" hidden="1">0</definedName>
    <definedName name="EV__LASTREFTIME__" hidden="1">40645.7052199074</definedName>
    <definedName name="EV__MAXEXPCOLS__" hidden="1">100</definedName>
    <definedName name="EV__MAXEXPROWS__" hidden="1">1000</definedName>
    <definedName name="EV__MEMORYCVW__" hidden="1">0</definedName>
    <definedName name="EV__WBEVMODE__" hidden="1">1</definedName>
    <definedName name="EV__WBREFOPTIONS__" hidden="1">134217791</definedName>
    <definedName name="EV__WBVERSION__" hidden="1">0</definedName>
    <definedName name="events" localSheetId="2">[5]Setup!$P$6:$R$373</definedName>
    <definedName name="events">[5]Setup!$P$6:$R$373</definedName>
    <definedName name="FCList">'[4]POV Master'!$Q$3:$Q$14</definedName>
    <definedName name="FCVersion">[4]POV!$K$21</definedName>
    <definedName name="FGG" localSheetId="0" hidden="1">{#N/A,"1",FALSE,"Model";#N/A,"2",FALSE,"Model";#N/A,"3",FALSE,"Model";#N/A,"4",FALSE,"Model";#N/A,"5",FALSE,"Model";#N/A,"6",FALSE,"Model";#N/A,"7",FALSE,"Model";#N/A,"8",FALSE,"Model";#N/A,"9",FALSE,"Model"}</definedName>
    <definedName name="FGG" localSheetId="1" hidden="1">{#N/A,"1",FALSE,"Model";#N/A,"2",FALSE,"Model";#N/A,"3",FALSE,"Model";#N/A,"4",FALSE,"Model";#N/A,"5",FALSE,"Model";#N/A,"6",FALSE,"Model";#N/A,"7",FALSE,"Model";#N/A,"8",FALSE,"Model";#N/A,"9",FALSE,"Model"}</definedName>
    <definedName name="FGG" localSheetId="2" hidden="1">{#N/A,"1",FALSE,"Model";#N/A,"2",FALSE,"Model";#N/A,"3",FALSE,"Model";#N/A,"4",FALSE,"Model";#N/A,"5",FALSE,"Model";#N/A,"6",FALSE,"Model";#N/A,"7",FALSE,"Model";#N/A,"8",FALSE,"Model";#N/A,"9",FALSE,"Model"}</definedName>
    <definedName name="FGG" hidden="1">{#N/A,"1",FALSE,"Model";#N/A,"2",FALSE,"Model";#N/A,"3",FALSE,"Model";#N/A,"4",FALSE,"Model";#N/A,"5",FALSE,"Model";#N/A,"6",FALSE,"Model";#N/A,"7",FALSE,"Model";#N/A,"8",FALSE,"Model";#N/A,"9",FALSE,"Model"}</definedName>
    <definedName name="FIVE" localSheetId="2">#REF!</definedName>
    <definedName name="FIVE">#REF!</definedName>
    <definedName name="FOUR" localSheetId="2">#REF!</definedName>
    <definedName name="FOUR">#REF!</definedName>
    <definedName name="gm" localSheetId="0" hidden="1">{"'KCF Bellies'!$D$95"}</definedName>
    <definedName name="gm" localSheetId="1" hidden="1">{"'KCF Bellies'!$D$95"}</definedName>
    <definedName name="gm" localSheetId="2" hidden="1">{"'KCF Bellies'!$D$95"}</definedName>
    <definedName name="gm" hidden="1">{"'KCF Bellies'!$D$95"}</definedName>
    <definedName name="gma" localSheetId="0" hidden="1">{"'KCF Bellies'!$D$95"}</definedName>
    <definedName name="gma" localSheetId="1" hidden="1">{"'KCF Bellies'!$D$95"}</definedName>
    <definedName name="gma" localSheetId="2" hidden="1">{"'KCF Bellies'!$D$95"}</definedName>
    <definedName name="gma" hidden="1">{"'KCF Bellies'!$D$95"}</definedName>
    <definedName name="Gra_1" hidden="1">[1]Core!#REF!</definedName>
    <definedName name="Gra_2" hidden="1">[1]Core!#REF!</definedName>
    <definedName name="hello" localSheetId="0" hidden="1">{#N/A,"1",FALSE,"Model";#N/A,"2",FALSE,"Model";#N/A,"3",FALSE,"Model";#N/A,"4",FALSE,"Model";#N/A,"5",FALSE,"Model";#N/A,"6",FALSE,"Model";#N/A,"7",FALSE,"Model";#N/A,"8",FALSE,"Model";#N/A,"9",FALSE,"Model"}</definedName>
    <definedName name="hello" localSheetId="1" hidden="1">{#N/A,"1",FALSE,"Model";#N/A,"2",FALSE,"Model";#N/A,"3",FALSE,"Model";#N/A,"4",FALSE,"Model";#N/A,"5",FALSE,"Model";#N/A,"6",FALSE,"Model";#N/A,"7",FALSE,"Model";#N/A,"8",FALSE,"Model";#N/A,"9",FALSE,"Model"}</definedName>
    <definedName name="hello" localSheetId="2" hidden="1">{#N/A,"1",FALSE,"Model";#N/A,"2",FALSE,"Model";#N/A,"3",FALSE,"Model";#N/A,"4",FALSE,"Model";#N/A,"5",FALSE,"Model";#N/A,"6",FALSE,"Model";#N/A,"7",FALSE,"Model";#N/A,"8",FALSE,"Model";#N/A,"9",FALSE,"Model"}</definedName>
    <definedName name="hello" hidden="1">{#N/A,"1",FALSE,"Model";#N/A,"2",FALSE,"Model";#N/A,"3",FALSE,"Model";#N/A,"4",FALSE,"Model";#N/A,"5",FALSE,"Model";#N/A,"6",FALSE,"Model";#N/A,"7",FALSE,"Model";#N/A,"8",FALSE,"Model";#N/A,"9",FALSE,"Model"}</definedName>
    <definedName name="HskpgMatrix2" localSheetId="0" hidden="1">{#N/A,"1",FALSE,"Model";#N/A,"2",FALSE,"Model";#N/A,"3",FALSE,"Model";#N/A,"4",FALSE,"Model";#N/A,"5",FALSE,"Model";#N/A,"6",FALSE,"Model";#N/A,"7",FALSE,"Model";#N/A,"8",FALSE,"Model";#N/A,"9",FALSE,"Model"}</definedName>
    <definedName name="HskpgMatrix2" localSheetId="1" hidden="1">{#N/A,"1",FALSE,"Model";#N/A,"2",FALSE,"Model";#N/A,"3",FALSE,"Model";#N/A,"4",FALSE,"Model";#N/A,"5",FALSE,"Model";#N/A,"6",FALSE,"Model";#N/A,"7",FALSE,"Model";#N/A,"8",FALSE,"Model";#N/A,"9",FALSE,"Model"}</definedName>
    <definedName name="HskpgMatrix2" localSheetId="2" hidden="1">{#N/A,"1",FALSE,"Model";#N/A,"2",FALSE,"Model";#N/A,"3",FALSE,"Model";#N/A,"4",FALSE,"Model";#N/A,"5",FALSE,"Model";#N/A,"6",FALSE,"Model";#N/A,"7",FALSE,"Model";#N/A,"8",FALSE,"Model";#N/A,"9",FALSE,"Model"}</definedName>
    <definedName name="HskpgMatrix2" hidden="1">{#N/A,"1",FALSE,"Model";#N/A,"2",FALSE,"Model";#N/A,"3",FALSE,"Model";#N/A,"4",FALSE,"Model";#N/A,"5",FALSE,"Model";#N/A,"6",FALSE,"Model";#N/A,"7",FALSE,"Model";#N/A,"8",FALSE,"Model";#N/A,"9",FALSE,"Model"}</definedName>
    <definedName name="HTML_CodePage" hidden="1">874</definedName>
    <definedName name="HTML_Control" localSheetId="0" hidden="1">{"'Summary'!$A$5:$H$42"}</definedName>
    <definedName name="HTML_Control" localSheetId="1" hidden="1">{"'Summary'!$A$5:$H$42"}</definedName>
    <definedName name="HTML_Control" localSheetId="2" hidden="1">{"'Summary'!$A$5:$H$42"}</definedName>
    <definedName name="HTML_Control" hidden="1">{"'Summary'!$A$5:$H$42"}</definedName>
    <definedName name="HTML_Description" hidden="1">""</definedName>
    <definedName name="HTML_Email" hidden="1">""</definedName>
    <definedName name="HTML_Header" hidden="1">"Summary"</definedName>
    <definedName name="HTML_LastUpdate" hidden="1">"2/7/2002"</definedName>
    <definedName name="HTML_LineAfter" hidden="1">FALSE</definedName>
    <definedName name="HTML_LineBefore" hidden="1">FALSE</definedName>
    <definedName name="HTML_Name" hidden="1">"suwichai saetang"</definedName>
    <definedName name="HTML_OBDlg2" hidden="1">TRUE</definedName>
    <definedName name="HTML_OBDlg4" hidden="1">TRUE</definedName>
    <definedName name="HTML_OS" hidden="1">0</definedName>
    <definedName name="HTML_PathFile" hidden="1">"C:\Swensen\Monthly.htm"</definedName>
    <definedName name="HTML_Title" hidden="1">"Book2"</definedName>
    <definedName name="i" localSheetId="0" hidden="1">{"FB Assumptions",#N/A,FALSE,"Asu";"FB Cashflow 1",#N/A,FALSE,"F&amp;B";"FB Cashflow 2",#N/A,FALSE,"F&amp;B"}</definedName>
    <definedName name="i" localSheetId="1" hidden="1">{"FB Assumptions",#N/A,FALSE,"Asu";"FB Cashflow 1",#N/A,FALSE,"F&amp;B";"FB Cashflow 2",#N/A,FALSE,"F&amp;B"}</definedName>
    <definedName name="i" localSheetId="2" hidden="1">{"FB Assumptions",#N/A,FALSE,"Asu";"FB Cashflow 1",#N/A,FALSE,"F&amp;B";"FB Cashflow 2",#N/A,FALSE,"F&amp;B"}</definedName>
    <definedName name="i" hidden="1">{"FB Assumptions",#N/A,FALSE,"Asu";"FB Cashflow 1",#N/A,FALSE,"F&amp;B";"FB Cashflow 2",#N/A,FALSE,"F&amp;B"}</definedName>
    <definedName name="IMP_FILE_LOC">[6]Setup_MC!$B$12</definedName>
    <definedName name="IMP_SHT_LOC">[6]Setup_MC!$B$25</definedName>
    <definedName name="INFO_EXE_SERVER_PATH" hidden="1">"C:\Pastel09\BICPARTNER2009.EXE"</definedName>
    <definedName name="INFO_INSTANCE_ID" hidden="1">"0"</definedName>
    <definedName name="INFO_INSTANCE_NAME" hidden="1">"Africa Indian Ocean_20090309_08_53_36_5353.xls"</definedName>
    <definedName name="INFO_REPORT_CODE" hidden="1">""</definedName>
    <definedName name="INFO_REPORT_ID" hidden="1">"44"</definedName>
    <definedName name="INFO_REPORT_NAME" hidden="1">"Africa Indian Ocean"</definedName>
    <definedName name="INFO_RUN_USER" hidden="1">""</definedName>
    <definedName name="INFO_RUN_WORKSTATION" hidden="1">"TREVORA-NB"</definedName>
    <definedName name="IQ_ACCOUNT_CHANGE" hidden="1">"c1449"</definedName>
    <definedName name="IQ_ACCOUNTS_PAY" hidden="1">"c1343"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"c1341"</definedName>
    <definedName name="IQ_ACCT_RECV_10YR_ANN_CAGR" hidden="1">"c6159"</definedName>
    <definedName name="IQ_ACCT_RECV_10YR_ANN_GROWTH" hidden="1">"c1924"</definedName>
    <definedName name="IQ_ACCT_RECV_1YR_ANN_GROWTH" hidden="1">"c1919"</definedName>
    <definedName name="IQ_ACCT_RECV_2YR_ANN_CAGR" hidden="1">"c6155"</definedName>
    <definedName name="IQ_ACCT_RECV_2YR_ANN_GROWTH" hidden="1">"c1920"</definedName>
    <definedName name="IQ_ACCT_RECV_3YR_ANN_CAGR" hidden="1">"c6156"</definedName>
    <definedName name="IQ_ACCT_RECV_3YR_ANN_GROWTH" hidden="1">"c1921"</definedName>
    <definedName name="IQ_ACCT_RECV_5YR_ANN_CAGR" hidden="1">"c6157"</definedName>
    <definedName name="IQ_ACCT_RECV_5YR_ANN_GROWTH" hidden="1">"c1922"</definedName>
    <definedName name="IQ_ACCT_RECV_7YR_ANN_CAGR" hidden="1">"c6158"</definedName>
    <definedName name="IQ_ACCT_RECV_7YR_ANN_GROWTH" hidden="1">"c1923"</definedName>
    <definedName name="IQ_ACCUM_DEP" hidden="1">"c1340"</definedName>
    <definedName name="IQ_ACCUMULATED_PENSION_OBLIGATION" hidden="1">"c2244"</definedName>
    <definedName name="IQ_ACCUMULATED_PENSION_OBLIGATION_DOMESTIC" hidden="1">"c2657"</definedName>
    <definedName name="IQ_ACCUMULATED_PENSION_OBLIGATION_FOREIGN" hidden="1">"c2665"</definedName>
    <definedName name="IQ_ACQ_COST_SUB" hidden="1">"c2125"</definedName>
    <definedName name="IQ_ACQ_COSTS_CAPITALIZED" hidden="1">"c5"</definedName>
    <definedName name="IQ_ACQUIRE_REAL_ESTATE_CF" hidden="1">"c6"</definedName>
    <definedName name="IQ_ACQUISITION_RE_ASSETS" hidden="1">"c1628"</definedName>
    <definedName name="IQ_AD" hidden="1">"c7"</definedName>
    <definedName name="IQ_ADD_PAID_IN" hidden="1">"c1344"</definedName>
    <definedName name="IQ_ADDIN" hidden="1">"AUTO"</definedName>
    <definedName name="IQ_ADJ_AVG_BANK_ASSETS" hidden="1">"c2671"</definedName>
    <definedName name="IQ_ADMIN_RATIO" hidden="1">"c2784"</definedName>
    <definedName name="IQ_ADVERTISING" hidden="1">"c2246"</definedName>
    <definedName name="IQ_ADVERTISING_MARKETING" hidden="1">"c1566"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" hidden="1">"c6195"</definedName>
    <definedName name="IQ_AE_REIT" hidden="1">"c13"</definedName>
    <definedName name="IQ_AE_UTI" hidden="1">"c14"</definedName>
    <definedName name="IQ_AH_EARNED" hidden="1">"c2744"</definedName>
    <definedName name="IQ_AH_POLICY_BENEFITS_EXP" hidden="1">"c2789"</definedName>
    <definedName name="IQ_AIR_AIRPLANES_NOT_IN_SERVICE" hidden="1">"c2842"</definedName>
    <definedName name="IQ_AIR_AIRPLANES_SUBLEASED" hidden="1">"c2841"</definedName>
    <definedName name="IQ_AIR_ASK" hidden="1">"c2813"</definedName>
    <definedName name="IQ_AIR_ASK_INCREASE" hidden="1">"c2826"</definedName>
    <definedName name="IQ_AIR_ASM" hidden="1">"c2812"</definedName>
    <definedName name="IQ_AIR_ASM_INCREASE" hidden="1">"c2825"</definedName>
    <definedName name="IQ_AIR_AVG_AGE" hidden="1">"c2843"</definedName>
    <definedName name="IQ_AIR_BREAK_EVEN_FACTOR" hidden="1">"c2822"</definedName>
    <definedName name="IQ_AIR_CAPITAL_LEASE" hidden="1">"c2833"</definedName>
    <definedName name="IQ_AIR_COMPLETION_FACTOR" hidden="1">"c2824"</definedName>
    <definedName name="IQ_AIR_ENPLANED_PSGRS" hidden="1">"c2809"</definedName>
    <definedName name="IQ_AIR_FUEL_CONSUMED" hidden="1">"c2806"</definedName>
    <definedName name="IQ_AIR_FUEL_CONSUMED_L" hidden="1">"c2807"</definedName>
    <definedName name="IQ_AIR_FUEL_COST" hidden="1">"c2803"</definedName>
    <definedName name="IQ_AIR_FUEL_COST_L" hidden="1">"c2804"</definedName>
    <definedName name="IQ_AIR_FUEL_EXP" hidden="1">"c2802"</definedName>
    <definedName name="IQ_AIR_FUEL_EXP_PERCENT" hidden="1">"c2805"</definedName>
    <definedName name="IQ_AIR_LEASED" hidden="1">"c2835"</definedName>
    <definedName name="IQ_AIR_LOAD_FACTOR" hidden="1">"c2823"</definedName>
    <definedName name="IQ_AIR_NEW_AIRPLANES" hidden="1">"c2839"</definedName>
    <definedName name="IQ_AIR_OPER_EXP_ASK" hidden="1">"c2821"</definedName>
    <definedName name="IQ_AIR_OPER_EXP_ASM" hidden="1">"c2820"</definedName>
    <definedName name="IQ_AIR_OPER_LEASE" hidden="1">"c2834"</definedName>
    <definedName name="IQ_AIR_OPER_REV_YIELD_ASK" hidden="1">"c2819"</definedName>
    <definedName name="IQ_AIR_OPER_REV_YIELD_ASM" hidden="1">"c2818"</definedName>
    <definedName name="IQ_AIR_OPTIONS" hidden="1">"c2837"</definedName>
    <definedName name="IQ_AIR_ORDERS" hidden="1">"c2836"</definedName>
    <definedName name="IQ_AIR_OWNED" hidden="1">"c2832"</definedName>
    <definedName name="IQ_AIR_PSGR_REV_YIELD_ASK" hidden="1">"c2817"</definedName>
    <definedName name="IQ_AIR_PSGR_REV_YIELD_ASM" hidden="1">"c2816"</definedName>
    <definedName name="IQ_AIR_PSGR_REV_YIELD_RPK" hidden="1">"c2815"</definedName>
    <definedName name="IQ_AIR_PSGR_REV_YIELD_RPM" hidden="1">"c2814"</definedName>
    <definedName name="IQ_AIR_PURCHASE_RIGHTS" hidden="1">"c2838"</definedName>
    <definedName name="IQ_AIR_RETIRED_AIRPLANES" hidden="1">"c2840"</definedName>
    <definedName name="IQ_AIR_REV_PSGRS_CARRIED" hidden="1">"c2808"</definedName>
    <definedName name="IQ_AIR_REV_SCHEDULED_SERVICE" hidden="1">"c2830"</definedName>
    <definedName name="IQ_AIR_RPK" hidden="1">"c2811"</definedName>
    <definedName name="IQ_AIR_RPM" hidden="1">"c2810"</definedName>
    <definedName name="IQ_AIR_STAGE_LENGTH" hidden="1">"c2828"</definedName>
    <definedName name="IQ_AIR_STAGE_LENGTH_KM" hidden="1">"c2829"</definedName>
    <definedName name="IQ_AIR_TOTAL" hidden="1">"c2831"</definedName>
    <definedName name="IQ_AIR_UTILIZATION" hidden="1">"c2827"</definedName>
    <definedName name="IQ_ALLOW_BORROW_CONST" hidden="1">"c15"</definedName>
    <definedName name="IQ_ALLOW_CONST" hidden="1">"c1342"</definedName>
    <definedName name="IQ_ALLOW_DOUBT_ACCT" hidden="1">"c2092"</definedName>
    <definedName name="IQ_ALLOW_EQUITY_CONST" hidden="1">"c16"</definedName>
    <definedName name="IQ_ALLOW_LL" hidden="1">"c17"</definedName>
    <definedName name="IQ_ALLOWANCE_10YR_ANN_CAGR" hidden="1">"c6035"</definedName>
    <definedName name="IQ_ALLOWANCE_10YR_ANN_GROWTH" hidden="1">"c18"</definedName>
    <definedName name="IQ_ALLOWANCE_1YR_ANN_GROWTH" hidden="1">"c19"</definedName>
    <definedName name="IQ_ALLOWANCE_2YR_ANN_CAGR" hidden="1">"c6036"</definedName>
    <definedName name="IQ_ALLOWANCE_2YR_ANN_GROWTH" hidden="1">"c20"</definedName>
    <definedName name="IQ_ALLOWANCE_3YR_ANN_CAGR" hidden="1">"c6037"</definedName>
    <definedName name="IQ_ALLOWANCE_3YR_ANN_GROWTH" hidden="1">"c21"</definedName>
    <definedName name="IQ_ALLOWANCE_5YR_ANN_CAGR" hidden="1">"c6038"</definedName>
    <definedName name="IQ_ALLOWANCE_5YR_ANN_GROWTH" hidden="1">"c22"</definedName>
    <definedName name="IQ_ALLOWANCE_7YR_ANN_CAGR" hidden="1">"c6039"</definedName>
    <definedName name="IQ_ALLOWANCE_7YR_ANN_GROWTH" hidden="1">"c23"</definedName>
    <definedName name="IQ_ALLOWANCE_CHARGE_OFFS" hidden="1">"c24"</definedName>
    <definedName name="IQ_ALLOWANCE_NON_PERF_LOANS" hidden="1">"c25"</definedName>
    <definedName name="IQ_ALLOWANCE_TOTAL_LOANS" hidden="1">"c26"</definedName>
    <definedName name="IQ_AMORTIZATION" hidden="1">"c1591"</definedName>
    <definedName name="IQ_AMT_OUT" hidden="1">"c2145"</definedName>
    <definedName name="IQ_ANNU_DISTRIBUTION_UNIT" hidden="1">"c3004"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" hidden="1">"c6196"</definedName>
    <definedName name="IQ_AP_REIT" hidden="1">"c37"</definedName>
    <definedName name="IQ_AP_UTI" hidden="1">"c38"</definedName>
    <definedName name="IQ_APIC" hidden="1">"c39"</definedName>
    <definedName name="IQ_AR" hidden="1">"c40"</definedName>
    <definedName name="IQ_AR_BR" hidden="1">"c41"</definedName>
    <definedName name="IQ_AR_LT" hidden="1">"c42"</definedName>
    <definedName name="IQ_AR_RE" hidden="1">"c6197"</definedName>
    <definedName name="IQ_AR_REIT" hidden="1">"c43"</definedName>
    <definedName name="IQ_AR_TURNS" hidden="1">"c44"</definedName>
    <definedName name="IQ_AR_UTI" hidden="1">"c45"</definedName>
    <definedName name="IQ_ARPU" hidden="1">"c2126"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" hidden="1">"c6198"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" hidden="1">"c6199"</definedName>
    <definedName name="IQ_ASSET_WRITEDOWN_REIT" hidden="1">"c60"</definedName>
    <definedName name="IQ_ASSET_WRITEDOWN_UTI" hidden="1">"c61"</definedName>
    <definedName name="IQ_ASSETS_CAP_LEASE_DEPR" hidden="1">"c2068"</definedName>
    <definedName name="IQ_ASSETS_CAP_LEASE_GROSS" hidden="1">"c2069"</definedName>
    <definedName name="IQ_ASSETS_OPER_LEASE_DEPR" hidden="1">"c2070"</definedName>
    <definedName name="IQ_ASSETS_OPER_LEASE_GROSS" hidden="1">"c2071"</definedName>
    <definedName name="IQ_ASSUMED_AH_EARNED" hidden="1">"c2741"</definedName>
    <definedName name="IQ_ASSUMED_EARNED" hidden="1">"c2731"</definedName>
    <definedName name="IQ_ASSUMED_LIFE_EARNED" hidden="1">"c2736"</definedName>
    <definedName name="IQ_ASSUMED_LIFE_IN_FORCE" hidden="1">"c2766"</definedName>
    <definedName name="IQ_ASSUMED_PC_EARNED" hidden="1">"c2746"</definedName>
    <definedName name="IQ_ASSUMED_WRITTEN" hidden="1">"c2725"</definedName>
    <definedName name="IQ_AUDITOR_NAME" hidden="1">"c1539"</definedName>
    <definedName name="IQ_AUDITOR_OPINION" hidden="1">"c1540"</definedName>
    <definedName name="IQ_AUTO_WRITTEN" hidden="1">"c62"</definedName>
    <definedName name="IQ_AVG_BANK_ASSETS" hidden="1">"c2072"</definedName>
    <definedName name="IQ_AVG_BANK_LOANS" hidden="1">"c2073"</definedName>
    <definedName name="IQ_AVG_BROKER_REC" hidden="1">"c63"</definedName>
    <definedName name="IQ_AVG_BROKER_REC_NO" hidden="1">"c64"</definedName>
    <definedName name="IQ_AVG_BROKER_REC_NO_REUT" hidden="1">"c5315"</definedName>
    <definedName name="IQ_AVG_BROKER_REC_REUT" hidden="1">"c3630"</definedName>
    <definedName name="IQ_AVG_DAILY_VOL" hidden="1">"c65"</definedName>
    <definedName name="IQ_AVG_EMPLOYEES" hidden="1">"c6019"</definedName>
    <definedName name="IQ_AVG_INDUSTRY_REC" hidden="1">"c4455"</definedName>
    <definedName name="IQ_AVG_INT_BEAR_LIAB" hidden="1">"c66"</definedName>
    <definedName name="IQ_AVG_INT_BEAR_LIAB_10YR_ANN_CAGR" hidden="1">"c6040"</definedName>
    <definedName name="IQ_AVG_INT_BEAR_LIAB_10YR_ANN_GROWTH" hidden="1">"c67"</definedName>
    <definedName name="IQ_AVG_INT_BEAR_LIAB_1YR_ANN_GROWTH" hidden="1">"c68"</definedName>
    <definedName name="IQ_AVG_INT_BEAR_LIAB_2YR_ANN_CAGR" hidden="1">"c6041"</definedName>
    <definedName name="IQ_AVG_INT_BEAR_LIAB_2YR_ANN_GROWTH" hidden="1">"c69"</definedName>
    <definedName name="IQ_AVG_INT_BEAR_LIAB_3YR_ANN_CAGR" hidden="1">"c6042"</definedName>
    <definedName name="IQ_AVG_INT_BEAR_LIAB_3YR_ANN_GROWTH" hidden="1">"c70"</definedName>
    <definedName name="IQ_AVG_INT_BEAR_LIAB_5YR_ANN_CAGR" hidden="1">"c6043"</definedName>
    <definedName name="IQ_AVG_INT_BEAR_LIAB_5YR_ANN_GROWTH" hidden="1">"c71"</definedName>
    <definedName name="IQ_AVG_INT_BEAR_LIAB_7YR_ANN_CAGR" hidden="1">"c6044"</definedName>
    <definedName name="IQ_AVG_INT_BEAR_LIAB_7YR_ANN_GROWTH" hidden="1">"c72"</definedName>
    <definedName name="IQ_AVG_INT_EARN_ASSETS" hidden="1">"c73"</definedName>
    <definedName name="IQ_AVG_INT_EARN_ASSETS_10YR_ANN_CAGR" hidden="1">"c6045"</definedName>
    <definedName name="IQ_AVG_INT_EARN_ASSETS_10YR_ANN_GROWTH" hidden="1">"c74"</definedName>
    <definedName name="IQ_AVG_INT_EARN_ASSETS_1YR_ANN_GROWTH" hidden="1">"c75"</definedName>
    <definedName name="IQ_AVG_INT_EARN_ASSETS_2YR_ANN_CAGR" hidden="1">"c6046"</definedName>
    <definedName name="IQ_AVG_INT_EARN_ASSETS_2YR_ANN_GROWTH" hidden="1">"c76"</definedName>
    <definedName name="IQ_AVG_INT_EARN_ASSETS_3YR_ANN_CAGR" hidden="1">"c6047"</definedName>
    <definedName name="IQ_AVG_INT_EARN_ASSETS_3YR_ANN_GROWTH" hidden="1">"c77"</definedName>
    <definedName name="IQ_AVG_INT_EARN_ASSETS_5YR_ANN_CAGR" hidden="1">"c6048"</definedName>
    <definedName name="IQ_AVG_INT_EARN_ASSETS_5YR_ANN_GROWTH" hidden="1">"c78"</definedName>
    <definedName name="IQ_AVG_INT_EARN_ASSETS_7YR_ANN_CAGR" hidden="1">"c6049"</definedName>
    <definedName name="IQ_AVG_INT_EARN_ASSETS_7YR_ANN_GROWTH" hidden="1">"c79"</definedName>
    <definedName name="IQ_AVG_MKTCAP" hidden="1">"c80"</definedName>
    <definedName name="IQ_AVG_PRICE" hidden="1">"c81"</definedName>
    <definedName name="IQ_AVG_SHAREOUTSTANDING" hidden="1">"c83"</definedName>
    <definedName name="IQ_AVG_TEMP_EMPLOYEES" hidden="1">"c6020"</definedName>
    <definedName name="IQ_AVG_TEV" hidden="1">"c84"</definedName>
    <definedName name="IQ_AVG_VOLUME" hidden="1">"c1346"</definedName>
    <definedName name="IQ_BANK_DEBT" hidden="1">"c2544"</definedName>
    <definedName name="IQ_BANK_DEBT_PCT" hidden="1">"c2545"</definedName>
    <definedName name="IQ_BASIC_EPS_EXCL" hidden="1">"c85"</definedName>
    <definedName name="IQ_BASIC_EPS_INCL" hidden="1">"c86"</definedName>
    <definedName name="IQ_BASIC_NORMAL_EPS" hidden="1">"c1592"</definedName>
    <definedName name="IQ_BASIC_WEIGHT" hidden="1">"c87"</definedName>
    <definedName name="IQ_BENCHMARK_SECURITY" hidden="1">"c2154"</definedName>
    <definedName name="IQ_BENCHMARK_SPRD" hidden="1">"c2153"</definedName>
    <definedName name="IQ_BETA" hidden="1">"c2133"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IG_INT_BEAR_CD" hidden="1">"c89"</definedName>
    <definedName name="IQ_BOARD_MEMBER" hidden="1">"c96"</definedName>
    <definedName name="IQ_BOARD_MEMBER_BACKGROUND" hidden="1">"c2101"</definedName>
    <definedName name="IQ_BOARD_MEMBER_TITLE" hidden="1">"c97"</definedName>
    <definedName name="IQ_BOND_COUPON" hidden="1">"c2183"</definedName>
    <definedName name="IQ_BOND_COUPON_TYPE" hidden="1">"c2184"</definedName>
    <definedName name="IQ_BOND_PRICE" hidden="1">"c2162"</definedName>
    <definedName name="IQ_BROK_COMISSION" hidden="1">"c98"</definedName>
    <definedName name="IQ_BROK_COMMISSION" hidden="1">"c3514"</definedName>
    <definedName name="IQ_BUILDINGS" hidden="1">"c99"</definedName>
    <definedName name="IQ_BUS_SEG_ASSETS" hidden="1">"c4067"</definedName>
    <definedName name="IQ_BUS_SEG_ASSETS_ABS" hidden="1">"c4089"</definedName>
    <definedName name="IQ_BUS_SEG_ASSETS_TOTAL" hidden="1">"c4112"</definedName>
    <definedName name="IQ_BUS_SEG_CAPEX" hidden="1">"c4079"</definedName>
    <definedName name="IQ_BUS_SEG_CAPEX_ABS" hidden="1">"c4101"</definedName>
    <definedName name="IQ_BUS_SEG_CAPEX_TOTAL" hidden="1">"c4116"</definedName>
    <definedName name="IQ_BUS_SEG_DA" hidden="1">"c4078"</definedName>
    <definedName name="IQ_BUS_SEG_DA_ABS" hidden="1">"c4100"</definedName>
    <definedName name="IQ_BUS_SEG_DA_TOTAL" hidden="1">"c4115"</definedName>
    <definedName name="IQ_BUS_SEG_EARNINGS_OP" hidden="1">"c4063"</definedName>
    <definedName name="IQ_BUS_SEG_EARNINGS_OP_ABS" hidden="1">"c4085"</definedName>
    <definedName name="IQ_BUS_SEG_EARNINGS_OP_TOTAL" hidden="1">"c4108"</definedName>
    <definedName name="IQ_BUS_SEG_EBT" hidden="1">"c4064"</definedName>
    <definedName name="IQ_BUS_SEG_EBT_ABS" hidden="1">"c4086"</definedName>
    <definedName name="IQ_BUS_SEG_EBT_TOTAL" hidden="1">"c4110"</definedName>
    <definedName name="IQ_BUS_SEG_GP" hidden="1">"c4066"</definedName>
    <definedName name="IQ_BUS_SEG_GP_ABS" hidden="1">"c4088"</definedName>
    <definedName name="IQ_BUS_SEG_GP_TOTAL" hidden="1">"c4109"</definedName>
    <definedName name="IQ_BUS_SEG_INC_TAX" hidden="1">"c4077"</definedName>
    <definedName name="IQ_BUS_SEG_INC_TAX_ABS" hidden="1">"c4099"</definedName>
    <definedName name="IQ_BUS_SEG_INC_TAX_TOTAL" hidden="1">"c4114"</definedName>
    <definedName name="IQ_BUS_SEG_INTEREST_EXP" hidden="1">"c4076"</definedName>
    <definedName name="IQ_BUS_SEG_INTEREST_EXP_ABS" hidden="1">"c4098"</definedName>
    <definedName name="IQ_BUS_SEG_INTEREST_EXP_TOTAL" hidden="1">"c4113"</definedName>
    <definedName name="IQ_BUS_SEG_NAME" hidden="1">"c5482"</definedName>
    <definedName name="IQ_BUS_SEG_NAME_ABS" hidden="1">"c5483"</definedName>
    <definedName name="IQ_BUS_SEG_NI" hidden="1">"c4065"</definedName>
    <definedName name="IQ_BUS_SEG_NI_ABS" hidden="1">"c4087"</definedName>
    <definedName name="IQ_BUS_SEG_NI_TOTAL" hidden="1">"c4111"</definedName>
    <definedName name="IQ_BUS_SEG_OPER_INC" hidden="1">"c4062"</definedName>
    <definedName name="IQ_BUS_SEG_OPER_INC_ABS" hidden="1">"c4084"</definedName>
    <definedName name="IQ_BUS_SEG_OPER_INC_TOTAL" hidden="1">"c4107"</definedName>
    <definedName name="IQ_BUS_SEG_REV" hidden="1">"c4068"</definedName>
    <definedName name="IQ_BUS_SEG_REV_ABS" hidden="1">"c4090"</definedName>
    <definedName name="IQ_BUS_SEG_REV_TOTAL" hidden="1">"c4106"</definedName>
    <definedName name="IQ_BUSINESS_DESCRIPTION" hidden="1">"c322"</definedName>
    <definedName name="IQ_BV_OVER_SHARES" hidden="1">"c1349"</definedName>
    <definedName name="IQ_BV_SHARE" hidden="1">"c100"</definedName>
    <definedName name="IQ_CABLE_ARPU" hidden="1">"c2869"</definedName>
    <definedName name="IQ_CABLE_ARPU_ANALOG" hidden="1">"c2864"</definedName>
    <definedName name="IQ_CABLE_ARPU_BASIC" hidden="1">"c2866"</definedName>
    <definedName name="IQ_CABLE_ARPU_BBAND" hidden="1">"c2867"</definedName>
    <definedName name="IQ_CABLE_ARPU_DIG" hidden="1">"c2865"</definedName>
    <definedName name="IQ_CABLE_ARPU_PHONE" hidden="1">"c2868"</definedName>
    <definedName name="IQ_CABLE_BASIC_PENETRATION" hidden="1">"c2850"</definedName>
    <definedName name="IQ_CABLE_BBAND_PENETRATION" hidden="1">"c2852"</definedName>
    <definedName name="IQ_CABLE_BBAND_PENETRATION_THP" hidden="1">"c2851"</definedName>
    <definedName name="IQ_CABLE_CHURN" hidden="1">"c2874"</definedName>
    <definedName name="IQ_CABLE_CHURN_BASIC" hidden="1">"c2871"</definedName>
    <definedName name="IQ_CABLE_CHURN_BBAND" hidden="1">"c2872"</definedName>
    <definedName name="IQ_CABLE_CHURN_DIG" hidden="1">"c2870"</definedName>
    <definedName name="IQ_CABLE_CHURN_PHONE" hidden="1">"c2873"</definedName>
    <definedName name="IQ_CABLE_HOMES_PER_MILE" hidden="1">"c2849"</definedName>
    <definedName name="IQ_CABLE_HP_BBAND" hidden="1">"c2845"</definedName>
    <definedName name="IQ_CABLE_HP_DIG" hidden="1">"c2844"</definedName>
    <definedName name="IQ_CABLE_HP_PHONE" hidden="1">"c2846"</definedName>
    <definedName name="IQ_CABLE_MILES_PASSED" hidden="1">"c2848"</definedName>
    <definedName name="IQ_CABLE_OTHER_REV" hidden="1">"c2882"</definedName>
    <definedName name="IQ_CABLE_PHONE_PENETRATION" hidden="1">"c2853"</definedName>
    <definedName name="IQ_CABLE_PROGRAMMING_COSTS" hidden="1">"c2884"</definedName>
    <definedName name="IQ_CABLE_REV_ADVERT" hidden="1">"c2880"</definedName>
    <definedName name="IQ_CABLE_REV_ANALOG" hidden="1">"c2875"</definedName>
    <definedName name="IQ_CABLE_REV_BASIC" hidden="1">"c2877"</definedName>
    <definedName name="IQ_CABLE_REV_BBAND" hidden="1">"c2878"</definedName>
    <definedName name="IQ_CABLE_REV_COMMERCIAL" hidden="1">"c2881"</definedName>
    <definedName name="IQ_CABLE_REV_DIG" hidden="1">"c2876"</definedName>
    <definedName name="IQ_CABLE_REV_PHONE" hidden="1">"c2879"</definedName>
    <definedName name="IQ_CABLE_RGU" hidden="1">"c2863"</definedName>
    <definedName name="IQ_CABLE_SUBS_ANALOG" hidden="1">"c2855"</definedName>
    <definedName name="IQ_CABLE_SUBS_BASIC" hidden="1">"c2857"</definedName>
    <definedName name="IQ_CABLE_SUBS_BBAND" hidden="1">"c2858"</definedName>
    <definedName name="IQ_CABLE_SUBS_BUNDLED" hidden="1">"c2861"</definedName>
    <definedName name="IQ_CABLE_SUBS_DIG" hidden="1">"c2856"</definedName>
    <definedName name="IQ_CABLE_SUBS_NON_VIDEO" hidden="1">"c2860"</definedName>
    <definedName name="IQ_CABLE_SUBS_PHONE" hidden="1">"c2859"</definedName>
    <definedName name="IQ_CABLE_SUBS_TOTAL" hidden="1">"c2862"</definedName>
    <definedName name="IQ_CABLE_THP" hidden="1">"c2847"</definedName>
    <definedName name="IQ_CABLE_TOTAL_PENETRATION" hidden="1">"c2854"</definedName>
    <definedName name="IQ_CABLE_TOTAL_REV" hidden="1">"c2883"</definedName>
    <definedName name="IQ_CAL_Q" hidden="1">"c101"</definedName>
    <definedName name="IQ_CAL_Y" hidden="1">"c102"</definedName>
    <definedName name="IQ_CALC_TYPE_BS" hidden="1">"c3086"</definedName>
    <definedName name="IQ_CALC_TYPE_CF" hidden="1">"c3085"</definedName>
    <definedName name="IQ_CALC_TYPE_IS" hidden="1">"c3084"</definedName>
    <definedName name="IQ_CALL_DATE_SCHEDULE" hidden="1">"c2481"</definedName>
    <definedName name="IQ_CALL_FEATURE" hidden="1">"c2197"</definedName>
    <definedName name="IQ_CALL_PRICE_SCHEDULE" hidden="1">"c2482"</definedName>
    <definedName name="IQ_CALLABLE" hidden="1">"c2196"</definedName>
    <definedName name="IQ_CAP_LOSS_CF_1YR" hidden="1">"c3474"</definedName>
    <definedName name="IQ_CAP_LOSS_CF_2YR" hidden="1">"c3475"</definedName>
    <definedName name="IQ_CAP_LOSS_CF_3YR" hidden="1">"c3476"</definedName>
    <definedName name="IQ_CAP_LOSS_CF_4YR" hidden="1">"c3477"</definedName>
    <definedName name="IQ_CAP_LOSS_CF_5YR" hidden="1">"c3478"</definedName>
    <definedName name="IQ_CAP_LOSS_CF_AFTER_FIVE" hidden="1">"c3479"</definedName>
    <definedName name="IQ_CAP_LOSS_CF_MAX_YEAR" hidden="1">"c3482"</definedName>
    <definedName name="IQ_CAP_LOSS_CF_NO_EXP" hidden="1">"c3480"</definedName>
    <definedName name="IQ_CAP_LOSS_CF_TOTAL" hidden="1">"c3481"</definedName>
    <definedName name="IQ_CAPEX" hidden="1">"c103"</definedName>
    <definedName name="IQ_CAPEX_10YR_ANN_CAGR" hidden="1">"c6050"</definedName>
    <definedName name="IQ_CAPEX_10YR_ANN_GROWTH" hidden="1">"c104"</definedName>
    <definedName name="IQ_CAPEX_1YR_ANN_GROWTH" hidden="1">"c105"</definedName>
    <definedName name="IQ_CAPEX_2YR_ANN_CAGR" hidden="1">"c6051"</definedName>
    <definedName name="IQ_CAPEX_2YR_ANN_GROWTH" hidden="1">"c106"</definedName>
    <definedName name="IQ_CAPEX_3YR_ANN_CAGR" hidden="1">"c6052"</definedName>
    <definedName name="IQ_CAPEX_3YR_ANN_GROWTH" hidden="1">"c107"</definedName>
    <definedName name="IQ_CAPEX_5YR_ANN_CAGR" hidden="1">"c6053"</definedName>
    <definedName name="IQ_CAPEX_5YR_ANN_GROWTH" hidden="1">"c108"</definedName>
    <definedName name="IQ_CAPEX_7YR_ANN_CAGR" hidden="1">"c6054"</definedName>
    <definedName name="IQ_CAPEX_7YR_ANN_GROWTH" hidden="1">"c109"</definedName>
    <definedName name="IQ_CAPEX_BNK" hidden="1">"c110"</definedName>
    <definedName name="IQ_CAPEX_BR" hidden="1">"c111"</definedName>
    <definedName name="IQ_CAPEX_FIN" hidden="1">"c112"</definedName>
    <definedName name="IQ_CAPEX_INS" hidden="1">"c113"</definedName>
    <definedName name="IQ_CAPEX_UTI" hidden="1">"c114"</definedName>
    <definedName name="IQ_CAPITAL_LEASE" hidden="1">"c1350"</definedName>
    <definedName name="IQ_CAPITAL_LEASES" hidden="1">"c115"</definedName>
    <definedName name="IQ_CAPITAL_LEASES_TOTAL" hidden="1">"c3031"</definedName>
    <definedName name="IQ_CAPITAL_LEASES_TOTAL_PCT" hidden="1">"c2506"</definedName>
    <definedName name="IQ_CAPITALIZED_INTEREST" hidden="1">"c2076"</definedName>
    <definedName name="IQ_CAPITALIZED_INTEREST_BOP" hidden="1">"c3459"</definedName>
    <definedName name="IQ_CAPITALIZED_INTEREST_EOP" hidden="1">"c3464"</definedName>
    <definedName name="IQ_CAPITALIZED_INTEREST_EXP" hidden="1">"c3461"</definedName>
    <definedName name="IQ_CAPITALIZED_INTEREST_OTHER_ADJ" hidden="1">"c3463"</definedName>
    <definedName name="IQ_CAPITALIZED_INTEREST_WRITE_OFF" hidden="1">"c3462"</definedName>
    <definedName name="IQ_CASH" hidden="1">"c1458"</definedName>
    <definedName name="IQ_CASH_ACQUIRE_CF" hidden="1">"c116"</definedName>
    <definedName name="IQ_CASH_CONVERSION" hidden="1">"c117"</definedName>
    <definedName name="IQ_CASH_DUE_BANKS" hidden="1">"c1351"</definedName>
    <definedName name="IQ_CASH_EQUIV" hidden="1">"c118"</definedName>
    <definedName name="IQ_CASH_FINAN" hidden="1">"c119"</definedName>
    <definedName name="IQ_CASH_FLOW_ACT_OR_EST" hidden="1">"c4154"</definedName>
    <definedName name="IQ_CASH_INTEREST" hidden="1">"c120"</definedName>
    <definedName name="IQ_CASH_INTEREST_FINAN" hidden="1">"c6295"</definedName>
    <definedName name="IQ_CASH_INTEREST_INVEST" hidden="1">"c6294"</definedName>
    <definedName name="IQ_CASH_INTEREST_OPER" hidden="1">"c6293"</definedName>
    <definedName name="IQ_CASH_INVEST" hidden="1">"c121"</definedName>
    <definedName name="IQ_CASH_OPER" hidden="1">"c122"</definedName>
    <definedName name="IQ_CASH_OPER_ACT_OR_EST" hidden="1">"c4164"</definedName>
    <definedName name="IQ_CASH_SEGREG" hidden="1">"c123"</definedName>
    <definedName name="IQ_CASH_SHARE" hidden="1">"c1911"</definedName>
    <definedName name="IQ_CASH_ST" hidden="1">"c1355"</definedName>
    <definedName name="IQ_CASH_ST_INVEST" hidden="1">"c124"</definedName>
    <definedName name="IQ_CASH_TAXES" hidden="1">"c125"</definedName>
    <definedName name="IQ_CASH_TAXES_FINAN" hidden="1">"c6292"</definedName>
    <definedName name="IQ_CASH_TAXES_INVEST" hidden="1">"c6291"</definedName>
    <definedName name="IQ_CASH_TAXES_OPER" hidden="1">"c6290"</definedName>
    <definedName name="IQ_CDS_ASK" hidden="1">"c6027"</definedName>
    <definedName name="IQ_CDS_BID" hidden="1">"c6026"</definedName>
    <definedName name="IQ_CDS_CURRENCY" hidden="1">"c6031"</definedName>
    <definedName name="IQ_CDS_EVAL_DATE" hidden="1">"c6029"</definedName>
    <definedName name="IQ_CDS_MID" hidden="1">"c6028"</definedName>
    <definedName name="IQ_CDS_NAME" hidden="1">"c6034"</definedName>
    <definedName name="IQ_CDS_TERM" hidden="1">"c6030"</definedName>
    <definedName name="IQ_CDS_TYPE" hidden="1">"c6025"</definedName>
    <definedName name="IQ_CEDED_AH_EARNED" hidden="1">"c2743"</definedName>
    <definedName name="IQ_CEDED_CLAIM_EXP_INCUR" hidden="1">"c2756"</definedName>
    <definedName name="IQ_CEDED_CLAIM_EXP_PAID" hidden="1">"c2759"</definedName>
    <definedName name="IQ_CEDED_CLAIM_EXP_RES" hidden="1">"c2753"</definedName>
    <definedName name="IQ_CEDED_EARNED" hidden="1">"c2733"</definedName>
    <definedName name="IQ_CEDED_LIFE_EARNED" hidden="1">"c2738"</definedName>
    <definedName name="IQ_CEDED_LIFE_IN_FORCE" hidden="1">"c2768"</definedName>
    <definedName name="IQ_CEDED_PC_EARNED" hidden="1">"c2748"</definedName>
    <definedName name="IQ_CEDED_WRITTEN" hidden="1">"c2727"</definedName>
    <definedName name="IQ_CFO_10YR_ANN_CAGR" hidden="1">"c6055"</definedName>
    <definedName name="IQ_CFO_10YR_ANN_GROWTH" hidden="1">"c126"</definedName>
    <definedName name="IQ_CFO_1YR_ANN_GROWTH" hidden="1">"c127"</definedName>
    <definedName name="IQ_CFO_2YR_ANN_CAGR" hidden="1">"c6056"</definedName>
    <definedName name="IQ_CFO_2YR_ANN_GROWTH" hidden="1">"c128"</definedName>
    <definedName name="IQ_CFO_3YR_ANN_CAGR" hidden="1">"c6057"</definedName>
    <definedName name="IQ_CFO_3YR_ANN_GROWTH" hidden="1">"c129"</definedName>
    <definedName name="IQ_CFO_5YR_ANN_CAGR" hidden="1">"c6058"</definedName>
    <definedName name="IQ_CFO_5YR_ANN_GROWTH" hidden="1">"c130"</definedName>
    <definedName name="IQ_CFO_7YR_ANN_CAGR" hidden="1">"c6059"</definedName>
    <definedName name="IQ_CFO_7YR_ANN_GROWTH" hidden="1">"c131"</definedName>
    <definedName name="IQ_CFO_CURRENT_LIAB" hidden="1">"c132"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" hidden="1">"c6200"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" hidden="1">"c6201"</definedName>
    <definedName name="IQ_CHANGE_AR_REIT" hidden="1">"c145"</definedName>
    <definedName name="IQ_CHANGE_AR_UTI" hidden="1">"c146"</definedName>
    <definedName name="IQ_CHANGE_DEF_TAX" hidden="1">"c147"</definedName>
    <definedName name="IQ_CHANGE_DEPOSIT_ACCT" hidden="1">"c148"</definedName>
    <definedName name="IQ_CHANGE_INC_TAX" hidden="1">"c149"</definedName>
    <definedName name="IQ_CHANGE_INS_RES_LIAB" hidden="1">"c150"</definedName>
    <definedName name="IQ_CHANGE_INVENTORY" hidden="1">"c151"</definedName>
    <definedName name="IQ_CHANGE_NET_OPER_ASSETS" hidden="1">"c3592"</definedName>
    <definedName name="IQ_CHANGE_NET_WORKING_CAPITAL" hidden="1">"c1909"</definedName>
    <definedName name="IQ_CHANGE_OTHER_NET_OPER_ASSETS" hidden="1">"c3593"</definedName>
    <definedName name="IQ_CHANGE_OTHER_NET_OPER_ASSETS_BNK" hidden="1">"c3594"</definedName>
    <definedName name="IQ_CHANGE_OTHER_NET_OPER_ASSETS_BR" hidden="1">"c3595"</definedName>
    <definedName name="IQ_CHANGE_OTHER_NET_OPER_ASSETS_FIN" hidden="1">"c3596"</definedName>
    <definedName name="IQ_CHANGE_OTHER_NET_OPER_ASSETS_INS" hidden="1">"c3597"</definedName>
    <definedName name="IQ_CHANGE_OTHER_NET_OPER_ASSETS_RE" hidden="1">"c6285"</definedName>
    <definedName name="IQ_CHANGE_OTHER_NET_OPER_ASSETS_REIT" hidden="1">"c3598"</definedName>
    <definedName name="IQ_CHANGE_OTHER_NET_OPER_ASSETS_UTI" hidden="1">"c3599"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TRADING_ASSETS" hidden="1">"c159"</definedName>
    <definedName name="IQ_CHANGE_UNEARN_REV" hidden="1">"c160"</definedName>
    <definedName name="IQ_CHANGE_WORK_CAP" hidden="1">"c161"</definedName>
    <definedName name="IQ_CHANGES_WORK_CAP" hidden="1">"c1357"</definedName>
    <definedName name="IQ_CHARGE_OFFS_GROSS" hidden="1">"c162"</definedName>
    <definedName name="IQ_CHARGE_OFFS_NET" hidden="1">"c163"</definedName>
    <definedName name="IQ_CHARGE_OFFS_RECOVERED" hidden="1">"c164"</definedName>
    <definedName name="IQ_CHARGE_OFFS_TOTAL_AVG_LOANS" hidden="1">"c165"</definedName>
    <definedName name="IQ_CITY" hidden="1">"c166"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_OBLIGATION_IMMEDIATE" hidden="1">"c2253"</definedName>
    <definedName name="IQ_CLASSA_OPTIONS_BEG_OS" hidden="1">"c2679"</definedName>
    <definedName name="IQ_CLASSA_OPTIONS_CANCELLED" hidden="1">"c2682"</definedName>
    <definedName name="IQ_CLASSA_OPTIONS_END_OS" hidden="1">"c2683"</definedName>
    <definedName name="IQ_CLASSA_OPTIONS_EXERCISABLE_END_OS" hidden="1">"c5809"</definedName>
    <definedName name="IQ_CLASSA_OPTIONS_EXERCISED" hidden="1">"c2681"</definedName>
    <definedName name="IQ_CLASSA_OPTIONS_GRANTED" hidden="1">"c2680"</definedName>
    <definedName name="IQ_CLASSA_OPTIONS_STRIKE_PRICE_BEG_OS" hidden="1">"c5810"</definedName>
    <definedName name="IQ_CLASSA_OPTIONS_STRIKE_PRICE_CANCELLED" hidden="1">"c5812"</definedName>
    <definedName name="IQ_CLASSA_OPTIONS_STRIKE_PRICE_EXERCISABLE" hidden="1">"c5813"</definedName>
    <definedName name="IQ_CLASSA_OPTIONS_STRIKE_PRICE_EXERCISED" hidden="1">"c5811"</definedName>
    <definedName name="IQ_CLASSA_OPTIONS_STRIKE_PRICE_OS" hidden="1">"c2684"</definedName>
    <definedName name="IQ_CLASSA_OUTSTANDING_BS_DATE" hidden="1">"c1971"</definedName>
    <definedName name="IQ_CLASSA_OUTSTANDING_FILING_DATE" hidden="1">"c1973"</definedName>
    <definedName name="IQ_CLASSA_STRIKE_PRICE_GRANTED" hidden="1">"c2685"</definedName>
    <definedName name="IQ_CLASSA_WARRANTS_BEG_OS" hidden="1">"c2705"</definedName>
    <definedName name="IQ_CLASSA_WARRANTS_CANCELLED" hidden="1">"c2708"</definedName>
    <definedName name="IQ_CLASSA_WARRANTS_END_OS" hidden="1">"c2709"</definedName>
    <definedName name="IQ_CLASSA_WARRANTS_EXERCISED" hidden="1">"c2707"</definedName>
    <definedName name="IQ_CLASSA_WARRANTS_ISSUED" hidden="1">"c2706"</definedName>
    <definedName name="IQ_CLASSA_WARRANTS_STRIKE_PRICE_ISSUED" hidden="1">"c2711"</definedName>
    <definedName name="IQ_CLASSA_WARRANTS_STRIKE_PRICE_OS" hidden="1">"c2710"</definedName>
    <definedName name="IQ_CLOSEPRICE" hidden="1">"c174"</definedName>
    <definedName name="IQ_CLOSEPRICE_ADJ" hidden="1">"c2115"</definedName>
    <definedName name="IQ_COGS" hidden="1">"c175"</definedName>
    <definedName name="IQ_COMBINED_RATIO" hidden="1">"c176"</definedName>
    <definedName name="IQ_COMMERCIAL_DOM" hidden="1">"c177"</definedName>
    <definedName name="IQ_COMMERCIAL_FIRE_WRITTEN" hidden="1">"c178"</definedName>
    <definedName name="IQ_COMMERCIAL_MORT" hidden="1">"c179"</definedName>
    <definedName name="IQ_COMMISS_FEES" hidden="1">"c180"</definedName>
    <definedName name="IQ_COMMISSION_DEF" hidden="1">"c181"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" hidden="1">"c6202"</definedName>
    <definedName name="IQ_COMMON_APIC_REIT" hidden="1">"c188"</definedName>
    <definedName name="IQ_COMMON_APIC_UTI" hidden="1">"c189"</definedName>
    <definedName name="IQ_COMMON_DIV" hidden="1">"c3006"</definedName>
    <definedName name="IQ_COMMON_DIV_CF" hidden="1">"c190"</definedName>
    <definedName name="IQ_COMMON_EQUITY_10YR_ANN_CAGR" hidden="1">"c6060"</definedName>
    <definedName name="IQ_COMMON_EQUITY_10YR_ANN_GROWTH" hidden="1">"c191"</definedName>
    <definedName name="IQ_COMMON_EQUITY_1YR_ANN_GROWTH" hidden="1">"c192"</definedName>
    <definedName name="IQ_COMMON_EQUITY_2YR_ANN_CAGR" hidden="1">"c6061"</definedName>
    <definedName name="IQ_COMMON_EQUITY_2YR_ANN_GROWTH" hidden="1">"c193"</definedName>
    <definedName name="IQ_COMMON_EQUITY_3YR_ANN_CAGR" hidden="1">"c6062"</definedName>
    <definedName name="IQ_COMMON_EQUITY_3YR_ANN_GROWTH" hidden="1">"c194"</definedName>
    <definedName name="IQ_COMMON_EQUITY_5YR_ANN_CAGR" hidden="1">"c6063"</definedName>
    <definedName name="IQ_COMMON_EQUITY_5YR_ANN_GROWTH" hidden="1">"c195"</definedName>
    <definedName name="IQ_COMMON_EQUITY_7YR_ANN_CAGR" hidden="1">"c6064"</definedName>
    <definedName name="IQ_COMMON_EQUITY_7YR_ANN_GROWTH" hidden="1">"c196"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" hidden="1">"c6203"</definedName>
    <definedName name="IQ_COMMON_ISSUED_REIT" hidden="1">"c202"</definedName>
    <definedName name="IQ_COMMON_ISSUED_UTI" hidden="1">"c203"</definedName>
    <definedName name="IQ_COMMON_PER_ADR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" hidden="1">"c6204"</definedName>
    <definedName name="IQ_COMMON_REP_REIT" hidden="1">"c211"</definedName>
    <definedName name="IQ_COMMON_REP_UTI" hidden="1">"c212"</definedName>
    <definedName name="IQ_COMMON_STOCK" hidden="1">"c1358"</definedName>
    <definedName name="IQ_COMP_BENEFITS" hidden="1">"c213"</definedName>
    <definedName name="IQ_COMPANY_ADDRESS" hidden="1">"c214"</definedName>
    <definedName name="IQ_COMPANY_ID" hidden="1">"c3513"</definedName>
    <definedName name="IQ_COMPANY_NAME" hidden="1">"c215"</definedName>
    <definedName name="IQ_COMPANY_NAME_LONG" hidden="1">"c1585"</definedName>
    <definedName name="IQ_COMPANY_PHONE" hidden="1">"c216"</definedName>
    <definedName name="IQ_COMPANY_STATUS" hidden="1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YPE" hidden="1">"c2096"</definedName>
    <definedName name="IQ_COMPANY_WEBSITE" hidden="1">"c220"</definedName>
    <definedName name="IQ_COMPANY_ZIP" hidden="1">"c221"</definedName>
    <definedName name="IQ_CONSTRUCTION_LOANS" hidden="1">"c222"</definedName>
    <definedName name="IQ_CONSUMER_LOANS" hidden="1">"c223"</definedName>
    <definedName name="IQ_CONV_DATE" hidden="1">"c2191"</definedName>
    <definedName name="IQ_CONV_EXP_DATE" hidden="1">"c3043"</definedName>
    <definedName name="IQ_CONV_PREMIUM" hidden="1">"c2195"</definedName>
    <definedName name="IQ_CONV_PRICE" hidden="1">"c2193"</definedName>
    <definedName name="IQ_CONV_RATIO" hidden="1">"c2192"</definedName>
    <definedName name="IQ_CONV_SECURITY" hidden="1">"c2189"</definedName>
    <definedName name="IQ_CONV_SECURITY_ISSUER" hidden="1">"c2190"</definedName>
    <definedName name="IQ_CONV_SECURITY_PRICE" hidden="1">"c2194"</definedName>
    <definedName name="IQ_CONVERT" hidden="1">"c2536"</definedName>
    <definedName name="IQ_CONVERT_PCT" hidden="1">"c2537"</definedName>
    <definedName name="IQ_CONVEXITY" hidden="1">"c2182"</definedName>
    <definedName name="IQ_COST_BORROWING" hidden="1">"c2936"</definedName>
    <definedName name="IQ_COST_BORROWINGS" hidden="1">"c225"</definedName>
    <definedName name="IQ_COST_REV" hidden="1">"c226"</definedName>
    <definedName name="IQ_COST_REVENUE" hidden="1">"c1359"</definedName>
    <definedName name="IQ_COST_SAVINGS" hidden="1">"c227"</definedName>
    <definedName name="IQ_COST_SERVICE" hidden="1">"c228"</definedName>
    <definedName name="IQ_COST_TOTAL_BORROWINGS" hidden="1">"c229"</definedName>
    <definedName name="IQ_COUNTRY_NAME" hidden="1">"c230"</definedName>
    <definedName name="IQ_COVERED_POPS" hidden="1">"c2124"</definedName>
    <definedName name="IQ_CP" hidden="1">"c2495"</definedName>
    <definedName name="IQ_CP_PCT" hidden="1">"c2496"</definedName>
    <definedName name="IQ_CQ" hidden="1">5000</definedName>
    <definedName name="IQ_CREDIT_CARD_FEE_BNK" hidden="1">"c231"</definedName>
    <definedName name="IQ_CREDIT_CARD_FEE_FIN" hidden="1">"c1583"</definedName>
    <definedName name="IQ_CREDIT_LOSS_CF" hidden="1">"c232"</definedName>
    <definedName name="IQ_CUMULATIVE_SPLIT_FACTOR" hidden="1">"c2094"</definedName>
    <definedName name="IQ_CURR_DOMESTIC_TAXES" hidden="1">"c2074"</definedName>
    <definedName name="IQ_CURR_FOREIGN_TAXES" hidden="1">"c2075"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" hidden="1">"c6205"</definedName>
    <definedName name="IQ_CURRENCY_GAIN_REIT" hidden="1">"c239"</definedName>
    <definedName name="IQ_CURRENCY_GAIN_UTI" hidden="1">"c240"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" hidden="1">"c6283"</definedName>
    <definedName name="IQ_CURRENT_PORT_DEBT_REIT" hidden="1">"c1570"</definedName>
    <definedName name="IQ_CURRENT_PORT_DEBT_UTI" hidden="1">"c1571"</definedName>
    <definedName name="IQ_CURRENT_PORT_FHLB_DEBT" hidden="1">"c5657"</definedName>
    <definedName name="IQ_CURRENT_PORT_LEASES" hidden="1">"c245"</definedName>
    <definedName name="IQ_CURRENT_PORT_PCT" hidden="1">"c2541"</definedName>
    <definedName name="IQ_CURRENT_RATIO" hidden="1">"c246"</definedName>
    <definedName name="IQ_CY" hidden="1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" hidden="1">"c6206"</definedName>
    <definedName name="IQ_DA_CF_REIT" hidden="1">"c254"</definedName>
    <definedName name="IQ_DA_CF_UTI" hidden="1">"c255"</definedName>
    <definedName name="IQ_DA_EBITDA" hidden="1">"c5528"</definedName>
    <definedName name="IQ_DA_FIN" hidden="1">"c256"</definedName>
    <definedName name="IQ_DA_INS" hidden="1">"c257"</definedName>
    <definedName name="IQ_DA_RE" hidden="1">"c6207"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" hidden="1">"c6208"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" hidden="1">"c6209"</definedName>
    <definedName name="IQ_DA_SUPPL_REIT" hidden="1">"c270"</definedName>
    <definedName name="IQ_DA_SUPPL_UTI" hidden="1">"c271"</definedName>
    <definedName name="IQ_DA_UTI" hidden="1">"c272"</definedName>
    <definedName name="IQ_DATED_DATE" hidden="1">"c2185"</definedName>
    <definedName name="IQ_DAY_COUNT" hidden="1">"c2161"</definedName>
    <definedName name="IQ_DAYS_COVER_SHORT" hidden="1">"c1578"</definedName>
    <definedName name="IQ_DAYS_INVENTORY_OUT" hidden="1">"c273"</definedName>
    <definedName name="IQ_DAYS_PAY_OUTST" hidden="1">"c1362"</definedName>
    <definedName name="IQ_DAYS_PAYABLE_OUT" hidden="1">"c274"</definedName>
    <definedName name="IQ_DAYS_SALES_OUT" hidden="1">"c275"</definedName>
    <definedName name="IQ_DAYS_SALES_OUTST" hidden="1">"c1363"</definedName>
    <definedName name="IQ_DEBT_ADJ" hidden="1">"c2515"</definedName>
    <definedName name="IQ_DEBT_ADJ_PCT" hidden="1">"c2516"</definedName>
    <definedName name="IQ_DEBT_EQUIV_NET_PBO" hidden="1">"c2938"</definedName>
    <definedName name="IQ_DEBT_EQUIV_OPER_LEASE" hidden="1">"c2935"</definedName>
    <definedName name="IQ_DEF_ACQ_CST" hidden="1">"c1364"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INTEREST_COST_DOMESTIC" hidden="1">"c2652"</definedName>
    <definedName name="IQ_DEF_BENEFIT_INTEREST_COST_FOREIGN" hidden="1">"c2660"</definedName>
    <definedName name="IQ_DEF_BENEFIT_OTHER_COST" hidden="1">"c284"</definedName>
    <definedName name="IQ_DEF_BENEFIT_OTHER_COST_DOMESTIC" hidden="1">"c2654"</definedName>
    <definedName name="IQ_DEF_BENEFIT_OTHER_COST_FOREIGN" hidden="1">"c2662"</definedName>
    <definedName name="IQ_DEF_BENEFIT_ROA" hidden="1">"c285"</definedName>
    <definedName name="IQ_DEF_BENEFIT_ROA_DOMESTIC" hidden="1">"c2653"</definedName>
    <definedName name="IQ_DEF_BENEFIT_ROA_FOREIGN" hidden="1">"c2661"</definedName>
    <definedName name="IQ_DEF_BENEFIT_SERVICE_COST" hidden="1">"c286"</definedName>
    <definedName name="IQ_DEF_BENEFIT_SERVICE_COST_DOMESTIC" hidden="1">"c2651"</definedName>
    <definedName name="IQ_DEF_BENEFIT_SERVICE_COST_FOREIGN" hidden="1">"c2659"</definedName>
    <definedName name="IQ_DEF_BENEFIT_TOTAL_COST" hidden="1">"c287"</definedName>
    <definedName name="IQ_DEF_BENEFIT_TOTAL_COST_DOMESTIC" hidden="1">"c2655"</definedName>
    <definedName name="IQ_DEF_BENEFIT_TOTAL_COST_FOREIGN" hidden="1">"c2663"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" hidden="1">"c6210"</definedName>
    <definedName name="IQ_DEF_CHARGES_LT_REIT" hidden="1">"c297"</definedName>
    <definedName name="IQ_DEF_CHARGES_LT_UTI" hidden="1">"c298"</definedName>
    <definedName name="IQ_DEF_CHARGES_RE" hidden="1">"c6211"</definedName>
    <definedName name="IQ_DEF_CHARGES_REIT" hidden="1">"c299"</definedName>
    <definedName name="IQ_DEF_CONTRIBUTION_TOTAL_COST" hidden="1">"c300"</definedName>
    <definedName name="IQ_DEF_INC_TAX" hidden="1">"c1365"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" hidden="1">"c6212"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" hidden="1">"c6213"</definedName>
    <definedName name="IQ_DEF_TAX_LIAB_LT_REIT" hidden="1">"c318"</definedName>
    <definedName name="IQ_DEF_TAX_LIAB_LT_UTI" hidden="1">"c319"</definedName>
    <definedName name="IQ_DEFERRED_DOMESTIC_TAXES" hidden="1">"c2077"</definedName>
    <definedName name="IQ_DEFERRED_FOREIGN_TAXES" hidden="1">"c2078"</definedName>
    <definedName name="IQ_DEFERRED_INC_TAX" hidden="1">"c1447"</definedName>
    <definedName name="IQ_DEFERRED_TAXES" hidden="1">"c1356"</definedName>
    <definedName name="IQ_DEMAND_DEP" hidden="1">"c320"</definedName>
    <definedName name="IQ_DEPOSITS_FIN" hidden="1">"c321"</definedName>
    <definedName name="IQ_DEPOSITS_INTEREST_SECURITIES" hidden="1">"c5509"</definedName>
    <definedName name="IQ_DEPRE_AMORT" hidden="1">"c1360"</definedName>
    <definedName name="IQ_DEPRE_AMORT_SUPPL" hidden="1">"c1593"</definedName>
    <definedName name="IQ_DEPRE_DEPLE" hidden="1">"c1361"</definedName>
    <definedName name="IQ_DEPRE_SUPP" hidden="1">"c1443"</definedName>
    <definedName name="IQ_DESCRIPTION_LONG" hidden="1">"c1520"</definedName>
    <definedName name="IQ_DEVELOP_LAND" hidden="1">"c323"</definedName>
    <definedName name="IQ_DILUT_ADJUST" hidden="1">"c1621"</definedName>
    <definedName name="IQ_DILUT_EPS_EXCL" hidden="1">"c324"</definedName>
    <definedName name="IQ_DILUT_EPS_INCL" hidden="1">"c325"</definedName>
    <definedName name="IQ_DILUT_EPS_NORM" hidden="1">"c1903"</definedName>
    <definedName name="IQ_DILUT_NI" hidden="1">"c2079"</definedName>
    <definedName name="IQ_DILUT_NORMAL_EPS" hidden="1">"c1594"</definedName>
    <definedName name="IQ_DILUT_WEIGHT" hidden="1">"c326"</definedName>
    <definedName name="IQ_DIRECT_AH_EARNED" hidden="1">"c2740"</definedName>
    <definedName name="IQ_DIRECT_EARNED" hidden="1">"c2730"</definedName>
    <definedName name="IQ_DIRECT_LIFE_EARNED" hidden="1">"c2735"</definedName>
    <definedName name="IQ_DIRECT_LIFE_IN_FORCE" hidden="1">"c2765"</definedName>
    <definedName name="IQ_DIRECT_PC_EARNED" hidden="1">"c2745"</definedName>
    <definedName name="IQ_DIRECT_WRITTEN" hidden="1">"c2724"</definedName>
    <definedName name="IQ_DISCONT_OPER" hidden="1">"c1367"</definedName>
    <definedName name="IQ_DISCOUNT_RATE_PENSION_DOMESTIC" hidden="1">"c327"</definedName>
    <definedName name="IQ_DISCOUNT_RATE_PENSION_FOREIGN" hidden="1">"c328"</definedName>
    <definedName name="IQ_DISTR_EXCESS_EARN" hidden="1">"c329"</definedName>
    <definedName name="IQ_DISTRIBUTABLE_CASH" hidden="1">"c3002"</definedName>
    <definedName name="IQ_DISTRIBUTABLE_CASH_ACT_OR_EST" hidden="1">"c4278"</definedName>
    <definedName name="IQ_DISTRIBUTABLE_CASH_PAYOUT" hidden="1">"c3005"</definedName>
    <definedName name="IQ_DISTRIBUTABLE_CASH_SHARE" hidden="1">"c3003"</definedName>
    <definedName name="IQ_DISTRIBUTABLE_CASH_SHARE_ACT_OR_EST" hidden="1">"c4286"</definedName>
    <definedName name="IQ_DIV_AMOUNT" hidden="1">"c3041"</definedName>
    <definedName name="IQ_DIV_PAYMENT_DATE" hidden="1">"c2205"</definedName>
    <definedName name="IQ_DIV_RECORD_DATE" hidden="1">"c2204"</definedName>
    <definedName name="IQ_DIV_SHARE" hidden="1">"c330"</definedName>
    <definedName name="IQ_DIVEST_CF" hidden="1">"c331"</definedName>
    <definedName name="IQ_DIVID_SHARE" hidden="1">"c1366"</definedName>
    <definedName name="IQ_DIVIDEND_YIELD" hidden="1">"c332"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OC_CLAUSE" hidden="1">"c6032"</definedName>
    <definedName name="IQ_DPAC_ACC" hidden="1">"c2799"</definedName>
    <definedName name="IQ_DPAC_AMORT" hidden="1">"c2795"</definedName>
    <definedName name="IQ_DPAC_BEG" hidden="1">"c2791"</definedName>
    <definedName name="IQ_DPAC_COMMISSIONS" hidden="1">"c2792"</definedName>
    <definedName name="IQ_DPAC_END" hidden="1">"c2801"</definedName>
    <definedName name="IQ_DPAC_FX" hidden="1">"c2798"</definedName>
    <definedName name="IQ_DPAC_OTHER_ADJ" hidden="1">"c2800"</definedName>
    <definedName name="IQ_DPAC_OTHERS" hidden="1">"c2793"</definedName>
    <definedName name="IQ_DPAC_PERIOD" hidden="1">"c2794"</definedName>
    <definedName name="IQ_DPAC_REAL_GAIN" hidden="1">"c2797"</definedName>
    <definedName name="IQ_DPAC_UNREAL_GAIN" hidden="1">"c2796"</definedName>
    <definedName name="IQ_DPS_10YR_ANN_CAGR" hidden="1">"c6065"</definedName>
    <definedName name="IQ_DPS_10YR_ANN_GROWTH" hidden="1">"c337"</definedName>
    <definedName name="IQ_DPS_1YR_ANN_GROWTH" hidden="1">"c338"</definedName>
    <definedName name="IQ_DPS_2YR_ANN_CAGR" hidden="1">"c6066"</definedName>
    <definedName name="IQ_DPS_2YR_ANN_GROWTH" hidden="1">"c339"</definedName>
    <definedName name="IQ_DPS_3YR_ANN_CAGR" hidden="1">"c6067"</definedName>
    <definedName name="IQ_DPS_3YR_ANN_GROWTH" hidden="1">"c340"</definedName>
    <definedName name="IQ_DPS_5YR_ANN_CAGR" hidden="1">"c6068"</definedName>
    <definedName name="IQ_DPS_5YR_ANN_GROWTH" hidden="1">"c341"</definedName>
    <definedName name="IQ_DPS_7YR_ANN_CAGR" hidden="1">"c6069"</definedName>
    <definedName name="IQ_DPS_7YR_ANN_GROWTH" hidden="1">"c342"</definedName>
    <definedName name="IQ_DURATION" hidden="1">"c2181"</definedName>
    <definedName name="IQ_EARNING_ASSET_YIELD" hidden="1">"c343"</definedName>
    <definedName name="IQ_EARNING_CO" hidden="1">"c344"</definedName>
    <definedName name="IQ_EARNING_CO_10YR_ANN_CAGR" hidden="1">"c6070"</definedName>
    <definedName name="IQ_EARNING_CO_10YR_ANN_GROWTH" hidden="1">"c345"</definedName>
    <definedName name="IQ_EARNING_CO_1YR_ANN_GROWTH" hidden="1">"c346"</definedName>
    <definedName name="IQ_EARNING_CO_2YR_ANN_CAGR" hidden="1">"c6071"</definedName>
    <definedName name="IQ_EARNING_CO_2YR_ANN_GROWTH" hidden="1">"c347"</definedName>
    <definedName name="IQ_EARNING_CO_3YR_ANN_CAGR" hidden="1">"c6072"</definedName>
    <definedName name="IQ_EARNING_CO_3YR_ANN_GROWTH" hidden="1">"c348"</definedName>
    <definedName name="IQ_EARNING_CO_5YR_ANN_CAGR" hidden="1">"c6073"</definedName>
    <definedName name="IQ_EARNING_CO_5YR_ANN_GROWTH" hidden="1">"c349"</definedName>
    <definedName name="IQ_EARNING_CO_7YR_ANN_CAGR" hidden="1">"c6074"</definedName>
    <definedName name="IQ_EARNING_CO_7YR_ANN_GROWTH" hidden="1">"c350"</definedName>
    <definedName name="IQ_EARNING_CO_MARGIN" hidden="1">"c351"</definedName>
    <definedName name="IQ_EARNINGS_ANNOUNCE_DATE" hidden="1">"c1649"</definedName>
    <definedName name="IQ_EARNINGS_ANNOUNCE_DATE_REUT" hidden="1">"c5314"</definedName>
    <definedName name="IQ_EBIT" hidden="1">"c352"</definedName>
    <definedName name="IQ_EBIT_10YR_ANN_CAGR" hidden="1">"c6075"</definedName>
    <definedName name="IQ_EBIT_10YR_ANN_GROWTH" hidden="1">"c353"</definedName>
    <definedName name="IQ_EBIT_1YR_ANN_GROWTH" hidden="1">"c354"</definedName>
    <definedName name="IQ_EBIT_2YR_ANN_CAGR" hidden="1">"c6076"</definedName>
    <definedName name="IQ_EBIT_2YR_ANN_GROWTH" hidden="1">"c355"</definedName>
    <definedName name="IQ_EBIT_3YR_ANN_CAGR" hidden="1">"c6077"</definedName>
    <definedName name="IQ_EBIT_3YR_ANN_GROWTH" hidden="1">"c356"</definedName>
    <definedName name="IQ_EBIT_5YR_ANN_CAGR" hidden="1">"c6078"</definedName>
    <definedName name="IQ_EBIT_5YR_ANN_GROWTH" hidden="1">"c357"</definedName>
    <definedName name="IQ_EBIT_7YR_ANN_CAGR" hidden="1">"c6079"</definedName>
    <definedName name="IQ_EBIT_7YR_ANN_GROWTH" hidden="1">"c358"</definedName>
    <definedName name="IQ_EBIT_EQ_INC" hidden="1">"c3498"</definedName>
    <definedName name="IQ_EBIT_EQ_INC_EXCL_SBC" hidden="1">"c3502"</definedName>
    <definedName name="IQ_EBIT_EXCL_SBC" hidden="1">"c3082"</definedName>
    <definedName name="IQ_EBIT_GW_ACT_OR_EST" hidden="1">"c4306"</definedName>
    <definedName name="IQ_EBIT_INT" hidden="1">"c360"</definedName>
    <definedName name="IQ_EBIT_MARGIN" hidden="1">"c359"</definedName>
    <definedName name="IQ_EBIT_OVER_IE" hidden="1">"c1369"</definedName>
    <definedName name="IQ_EBIT_SBC_ACT_OR_EST" hidden="1">"c4316"</definedName>
    <definedName name="IQ_EBIT_SBC_GW_ACT_OR_EST" hidden="1">"c4320"</definedName>
    <definedName name="IQ_EBITA" hidden="1">"c1910"</definedName>
    <definedName name="IQ_EBITA_10YR_ANN_CAGR" hidden="1">"c6184"</definedName>
    <definedName name="IQ_EBITA_10YR_ANN_GROWTH" hidden="1">"c1954"</definedName>
    <definedName name="IQ_EBITA_1YR_ANN_GROWTH" hidden="1">"c1949"</definedName>
    <definedName name="IQ_EBITA_2YR_ANN_CAGR" hidden="1">"c6180"</definedName>
    <definedName name="IQ_EBITA_2YR_ANN_GROWTH" hidden="1">"c1950"</definedName>
    <definedName name="IQ_EBITA_3YR_ANN_CAGR" hidden="1">"c6181"</definedName>
    <definedName name="IQ_EBITA_3YR_ANN_GROWTH" hidden="1">"c1951"</definedName>
    <definedName name="IQ_EBITA_5YR_ANN_CAGR" hidden="1">"c6182"</definedName>
    <definedName name="IQ_EBITA_5YR_ANN_GROWTH" hidden="1">"c1952"</definedName>
    <definedName name="IQ_EBITA_7YR_ANN_CAGR" hidden="1">"c6183"</definedName>
    <definedName name="IQ_EBITA_7YR_ANN_GROWTH" hidden="1">"c1953"</definedName>
    <definedName name="IQ_EBITA_EQ_INC" hidden="1">"c3497"</definedName>
    <definedName name="IQ_EBITA_EQ_INC_EXCL_SBC" hidden="1">"c3501"</definedName>
    <definedName name="IQ_EBITA_EXCL_SBC" hidden="1">"c3080"</definedName>
    <definedName name="IQ_EBITA_MARGIN" hidden="1">"c1963"</definedName>
    <definedName name="IQ_EBITDA" hidden="1">"c361"</definedName>
    <definedName name="IQ_EBITDA_10YR_ANN_CAGR" hidden="1">"c6080"</definedName>
    <definedName name="IQ_EBITDA_10YR_ANN_GROWTH" hidden="1">"c362"</definedName>
    <definedName name="IQ_EBITDA_1YR_ANN_GROWTH" hidden="1">"c363"</definedName>
    <definedName name="IQ_EBITDA_2YR_ANN_CAGR" hidden="1">"c6081"</definedName>
    <definedName name="IQ_EBITDA_2YR_ANN_GROWTH" hidden="1">"c364"</definedName>
    <definedName name="IQ_EBITDA_3YR_ANN_CAGR" hidden="1">"c6082"</definedName>
    <definedName name="IQ_EBITDA_3YR_ANN_GROWTH" hidden="1">"c365"</definedName>
    <definedName name="IQ_EBITDA_5YR_ANN_CAGR" hidden="1">"c6083"</definedName>
    <definedName name="IQ_EBITDA_5YR_ANN_GROWTH" hidden="1">"c366"</definedName>
    <definedName name="IQ_EBITDA_7YR_ANN_CAGR" hidden="1">"c6084"</definedName>
    <definedName name="IQ_EBITDA_7YR_ANN_GROWTH" hidden="1">"c367"</definedName>
    <definedName name="IQ_EBITDA_CAPEX_INT" hidden="1">"c368"</definedName>
    <definedName name="IQ_EBITDA_CAPEX_OVER_TOTAL_IE" hidden="1">"c1370"</definedName>
    <definedName name="IQ_EBITDA_EQ_INC" hidden="1">"c3496"</definedName>
    <definedName name="IQ_EBITDA_EQ_INC_EXCL_SBC" hidden="1">"c3500"</definedName>
    <definedName name="IQ_EBITDA_EST" hidden="1">"c369"</definedName>
    <definedName name="IQ_EBITDA_EST_REUT" hidden="1">"c3640"</definedName>
    <definedName name="IQ_EBITDA_EXCL_SBC" hidden="1">"c3081"</definedName>
    <definedName name="IQ_EBITDA_HIGH_EST" hidden="1">"c370"</definedName>
    <definedName name="IQ_EBITDA_HIGH_EST_REUT" hidden="1">"c3642"</definedName>
    <definedName name="IQ_EBITDA_INT" hidden="1">"c373"</definedName>
    <definedName name="IQ_EBITDA_LOW_EST" hidden="1">"c371"</definedName>
    <definedName name="IQ_EBITDA_LOW_EST_REUT" hidden="1">"c3643"</definedName>
    <definedName name="IQ_EBITDA_MARGIN" hidden="1">"c372"</definedName>
    <definedName name="IQ_EBITDA_MEDIAN_EST" hidden="1">"c1663"</definedName>
    <definedName name="IQ_EBITDA_MEDIAN_EST_REUT" hidden="1">"c3641"</definedName>
    <definedName name="IQ_EBITDA_NUM_EST" hidden="1">"c374"</definedName>
    <definedName name="IQ_EBITDA_NUM_EST_REUT" hidden="1">"c3644"</definedName>
    <definedName name="IQ_EBITDA_OVER_TOTAL_IE" hidden="1">"c1371"</definedName>
    <definedName name="IQ_EBITDA_SBC_ACT_OR_EST" hidden="1">"c4337"</definedName>
    <definedName name="IQ_EBITDA_STDDEV_EST" hidden="1">"c375"</definedName>
    <definedName name="IQ_EBITDA_STDDEV_EST_REUT" hidden="1">"c3645"</definedName>
    <definedName name="IQ_EBITDAR" hidden="1">"c2989"</definedName>
    <definedName name="IQ_EBITDAR_EQ_INC" hidden="1">"c3499"</definedName>
    <definedName name="IQ_EBITDAR_EQ_INC_EXCL_SBC" hidden="1">"c3503"</definedName>
    <definedName name="IQ_EBITDAR_EXCL_SBC" hidden="1">"c3083"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" hidden="1">"c6214"</definedName>
    <definedName name="IQ_EBT_EXCL_REIT" hidden="1">"c384"</definedName>
    <definedName name="IQ_EBT_EXCL_UTI" hidden="1">"c385"</definedName>
    <definedName name="IQ_EBT_FIN" hidden="1">"c386"</definedName>
    <definedName name="IQ_EBT_INCL_MARGIN" hidden="1">"c387"</definedName>
    <definedName name="IQ_EBT_INS" hidden="1">"c388"</definedName>
    <definedName name="IQ_EBT_RE" hidden="1">"c6215"</definedName>
    <definedName name="IQ_EBT_REIT" hidden="1">"c389"</definedName>
    <definedName name="IQ_EBT_SBC_ACT_OR_EST" hidden="1">"c4350"</definedName>
    <definedName name="IQ_EBT_SBC_GW_ACT_OR_EST" hidden="1">"c4354"</definedName>
    <definedName name="IQ_EBT_UTI" hidden="1">"c390"</definedName>
    <definedName name="IQ_ECS_AUTHORIZED_SHARES" hidden="1">"c5583"</definedName>
    <definedName name="IQ_ECS_AUTHORIZED_SHARES_ABS" hidden="1">"c5597"</definedName>
    <definedName name="IQ_ECS_CONVERT_FACTOR" hidden="1">"c5581"</definedName>
    <definedName name="IQ_ECS_CONVERT_FACTOR_ABS" hidden="1">"c5595"</definedName>
    <definedName name="IQ_ECS_CONVERT_INTO" hidden="1">"c5580"</definedName>
    <definedName name="IQ_ECS_CONVERT_INTO_ABS" hidden="1">"c5594"</definedName>
    <definedName name="IQ_ECS_CONVERT_TYPE" hidden="1">"c5579"</definedName>
    <definedName name="IQ_ECS_CONVERT_TYPE_ABS" hidden="1">"c5593"</definedName>
    <definedName name="IQ_ECS_INACTIVE_DATE" hidden="1">"c5576"</definedName>
    <definedName name="IQ_ECS_INACTIVE_DATE_ABS" hidden="1">"c5590"</definedName>
    <definedName name="IQ_ECS_NAME" hidden="1">"c5571"</definedName>
    <definedName name="IQ_ECS_NAME_ABS" hidden="1">"c5585"</definedName>
    <definedName name="IQ_ECS_NUM_SHAREHOLDERS" hidden="1">"c5584"</definedName>
    <definedName name="IQ_ECS_NUM_SHAREHOLDERS_ABS" hidden="1">"c5598"</definedName>
    <definedName name="IQ_ECS_PAR_VALUE" hidden="1">"c5577"</definedName>
    <definedName name="IQ_ECS_PAR_VALUE_ABS" hidden="1">"c5591"</definedName>
    <definedName name="IQ_ECS_PAR_VALUE_CURRENCY" hidden="1">"c5578"</definedName>
    <definedName name="IQ_ECS_PAR_VALUE_CURRENCY_ABS" hidden="1">"c5592"</definedName>
    <definedName name="IQ_ECS_SHARES_OUT_BS_DATE" hidden="1">"c5572"</definedName>
    <definedName name="IQ_ECS_SHARES_OUT_BS_DATE_ABS" hidden="1">"c5586"</definedName>
    <definedName name="IQ_ECS_SHARES_OUT_FILING_DATE" hidden="1">"c5573"</definedName>
    <definedName name="IQ_ECS_SHARES_OUT_FILING_DATE_ABS" hidden="1">"c5587"</definedName>
    <definedName name="IQ_ECS_START_DATE" hidden="1">"c5575"</definedName>
    <definedName name="IQ_ECS_START_DATE_ABS" hidden="1">"c5589"</definedName>
    <definedName name="IQ_ECS_TYPE" hidden="1">"c5574"</definedName>
    <definedName name="IQ_ECS_TYPE_ABS" hidden="1">"c5588"</definedName>
    <definedName name="IQ_ECS_VOTING" hidden="1">"c5582"</definedName>
    <definedName name="IQ_ECS_VOTING_ABS" hidden="1">"c5596"</definedName>
    <definedName name="IQ_EFFECT_SPECIAL_CHARGE" hidden="1">"c1595"</definedName>
    <definedName name="IQ_EFFECT_TAX_RATE" hidden="1">"c1899"</definedName>
    <definedName name="IQ_EFFICIENCY_RATIO" hidden="1">"c391"</definedName>
    <definedName name="IQ_EMPLOYEES" hidden="1">"c392"</definedName>
    <definedName name="IQ_ENTERPRISE_VALUE" hidden="1">"c1348"</definedName>
    <definedName name="IQ_EPS_10YR_ANN_CAGR" hidden="1">"c6085"</definedName>
    <definedName name="IQ_EPS_10YR_ANN_GROWTH" hidden="1">"c393"</definedName>
    <definedName name="IQ_EPS_1YR_ANN_GROWTH" hidden="1">"c394"</definedName>
    <definedName name="IQ_EPS_2YR_ANN_CAGR" hidden="1">"c6086"</definedName>
    <definedName name="IQ_EPS_2YR_ANN_GROWTH" hidden="1">"c395"</definedName>
    <definedName name="IQ_EPS_3YR_ANN_CAGR" hidden="1">"c6087"</definedName>
    <definedName name="IQ_EPS_3YR_ANN_GROWTH" hidden="1">"c396"</definedName>
    <definedName name="IQ_EPS_5YR_ANN_CAGR" hidden="1">"c6088"</definedName>
    <definedName name="IQ_EPS_5YR_ANN_GROWTH" hidden="1">"c397"</definedName>
    <definedName name="IQ_EPS_7YR_ANN_CAGR" hidden="1">"c6089"</definedName>
    <definedName name="IQ_EPS_7YR_ANN_GROWTH" hidden="1">"c398"</definedName>
    <definedName name="IQ_EPS_EST" hidden="1">"c399"</definedName>
    <definedName name="IQ_EPS_EST_REUT" hidden="1">"c5453"</definedName>
    <definedName name="IQ_EPS_GW_EST" hidden="1">"c1737"</definedName>
    <definedName name="IQ_EPS_GW_EST_REUT" hidden="1">"c5389"</definedName>
    <definedName name="IQ_EPS_GW_HIGH_EST" hidden="1">"c1739"</definedName>
    <definedName name="IQ_EPS_GW_HIGH_EST_REUT" hidden="1">"c5391"</definedName>
    <definedName name="IQ_EPS_GW_LOW_EST" hidden="1">"c1740"</definedName>
    <definedName name="IQ_EPS_GW_LOW_EST_REUT" hidden="1">"c5392"</definedName>
    <definedName name="IQ_EPS_GW_MEDIAN_EST" hidden="1">"c1738"</definedName>
    <definedName name="IQ_EPS_GW_MEDIAN_EST_REUT" hidden="1">"c5390"</definedName>
    <definedName name="IQ_EPS_GW_NUM_EST" hidden="1">"c1741"</definedName>
    <definedName name="IQ_EPS_GW_NUM_EST_REUT" hidden="1">"c5393"</definedName>
    <definedName name="IQ_EPS_GW_STDDEV_EST" hidden="1">"c1742"</definedName>
    <definedName name="IQ_EPS_GW_STDDEV_EST_REUT" hidden="1">"c5394"</definedName>
    <definedName name="IQ_EPS_HIGH_EST" hidden="1">"c400"</definedName>
    <definedName name="IQ_EPS_HIGH_EST_REUT" hidden="1">"c5454"</definedName>
    <definedName name="IQ_EPS_LOW_EST" hidden="1">"c401"</definedName>
    <definedName name="IQ_EPS_LOW_EST_REUT" hidden="1">"c5455"</definedName>
    <definedName name="IQ_EPS_MEDIAN_EST" hidden="1">"c1661"</definedName>
    <definedName name="IQ_EPS_MEDIAN_EST_REUT" hidden="1">"c5456"</definedName>
    <definedName name="IQ_EPS_NORM" hidden="1">"c1902"</definedName>
    <definedName name="IQ_EPS_NORM_EST" hidden="1">"c2226"</definedName>
    <definedName name="IQ_EPS_NORM_EST_REUT" hidden="1">"c5326"</definedName>
    <definedName name="IQ_EPS_NORM_HIGH_EST" hidden="1">"c2228"</definedName>
    <definedName name="IQ_EPS_NORM_HIGH_EST_REUT" hidden="1">"c5328"</definedName>
    <definedName name="IQ_EPS_NORM_LOW_EST" hidden="1">"c2229"</definedName>
    <definedName name="IQ_EPS_NORM_LOW_EST_REUT" hidden="1">"c5329"</definedName>
    <definedName name="IQ_EPS_NORM_MEDIAN_EST" hidden="1">"c2227"</definedName>
    <definedName name="IQ_EPS_NORM_MEDIAN_EST_REUT" hidden="1">"c5327"</definedName>
    <definedName name="IQ_EPS_NORM_NUM_EST" hidden="1">"c2230"</definedName>
    <definedName name="IQ_EPS_NORM_NUM_EST_REUT" hidden="1">"c5330"</definedName>
    <definedName name="IQ_EPS_NORM_STDDEV_EST" hidden="1">"c2231"</definedName>
    <definedName name="IQ_EPS_NORM_STDDEV_EST_REUT" hidden="1">"c5331"</definedName>
    <definedName name="IQ_EPS_NUM_EST" hidden="1">"c402"</definedName>
    <definedName name="IQ_EPS_NUM_EST_REUT" hidden="1">"c5451"</definedName>
    <definedName name="IQ_EPS_REPORTED_EST" hidden="1">"c1744"</definedName>
    <definedName name="IQ_EPS_REPORTED_EST_REUT" hidden="1">"c5396"</definedName>
    <definedName name="IQ_EPS_REPORTED_HIGH_EST" hidden="1">"c1746"</definedName>
    <definedName name="IQ_EPS_REPORTED_HIGH_EST_REUT" hidden="1">"c5398"</definedName>
    <definedName name="IQ_EPS_REPORTED_LOW_EST" hidden="1">"c1747"</definedName>
    <definedName name="IQ_EPS_REPORTED_LOW_EST_REUT" hidden="1">"c5399"</definedName>
    <definedName name="IQ_EPS_REPORTED_MEDIAN_EST" hidden="1">"c1745"</definedName>
    <definedName name="IQ_EPS_REPORTED_MEDIAN_EST_REUT" hidden="1">"c5397"</definedName>
    <definedName name="IQ_EPS_REPORTED_NUM_EST" hidden="1">"c1748"</definedName>
    <definedName name="IQ_EPS_REPORTED_NUM_EST_REUT" hidden="1">"c5400"</definedName>
    <definedName name="IQ_EPS_REPORTED_STDDEV_EST" hidden="1">"c1749"</definedName>
    <definedName name="IQ_EPS_REPORTED_STDDEV_EST_REUT" hidden="1">"c5401"</definedName>
    <definedName name="IQ_EPS_SBC_ACT_OR_EST" hidden="1">"c4376"</definedName>
    <definedName name="IQ_EPS_SBC_GW_ACT_OR_EST" hidden="1">"c4380"</definedName>
    <definedName name="IQ_EPS_STDDEV_EST" hidden="1">"c403"</definedName>
    <definedName name="IQ_EPS_STDDEV_EST_REUT" hidden="1">"c5452"</definedName>
    <definedName name="IQ_EQUITY_AFFIL" hidden="1">"c1451"</definedName>
    <definedName name="IQ_EQUITY_METHOD" hidden="1">"c404"</definedName>
    <definedName name="IQ_EQV_OVER_BV" hidden="1">"c1596"</definedName>
    <definedName name="IQ_EQV_OVER_LTM_PRETAX_INC" hidden="1">"c1390"</definedName>
    <definedName name="IQ_ESOP_DEBT" hidden="1">"c1597"</definedName>
    <definedName name="IQ_EST_ACT_EPS_GW" hidden="1">"c1743"</definedName>
    <definedName name="IQ_EST_ACT_EPS_GW_REUT" hidden="1">"c5395"</definedName>
    <definedName name="IQ_EST_ACT_EPS_NORM" hidden="1">"c2232"</definedName>
    <definedName name="IQ_EST_ACT_EPS_NORM_REUT" hidden="1">"c5332"</definedName>
    <definedName name="IQ_EST_ACT_EPS_REPORTED" hidden="1">"c1750"</definedName>
    <definedName name="IQ_EST_ACT_EPS_REPORTED_REUT" hidden="1">"c5402"</definedName>
    <definedName name="IQ_EST_CURRENCY" hidden="1">"c2140"</definedName>
    <definedName name="IQ_EST_CURRENCY_REUT" hidden="1">"c5437"</definedName>
    <definedName name="IQ_EST_DATE" hidden="1">"c1634"</definedName>
    <definedName name="IQ_EST_DATE_REUT" hidden="1">"c5438"</definedName>
    <definedName name="IQ_EST_EPS_GROWTH_1YR" hidden="1">"c1636"</definedName>
    <definedName name="IQ_EST_EPS_GROWTH_1YR_REUT" hidden="1">"c3646"</definedName>
    <definedName name="IQ_EST_EPS_GROWTH_5YR" hidden="1">"c1655"</definedName>
    <definedName name="IQ_EST_EPS_GROWTH_5YR_REUT" hidden="1">"c3633"</definedName>
    <definedName name="IQ_EST_EPS_GROWTH_Q_1YR" hidden="1">"c1641"</definedName>
    <definedName name="IQ_EST_EPS_GROWTH_Q_1YR_REUT" hidden="1">"c5410"</definedName>
    <definedName name="IQ_EST_EPS_GW_DIFF" hidden="1">"c1891"</definedName>
    <definedName name="IQ_EST_EPS_GW_DIFF_REUT" hidden="1">"c5429"</definedName>
    <definedName name="IQ_EST_EPS_GW_SURPRISE_PERCENT" hidden="1">"c1892"</definedName>
    <definedName name="IQ_EST_EPS_GW_SURPRISE_PERCENT_REUT" hidden="1">"c5430"</definedName>
    <definedName name="IQ_EST_EPS_NORM_DIFF" hidden="1">"c2247"</definedName>
    <definedName name="IQ_EST_EPS_NORM_DIFF_REUT" hidden="1">"c5411"</definedName>
    <definedName name="IQ_EST_EPS_NORM_SURPRISE_PERCENT" hidden="1">"c2248"</definedName>
    <definedName name="IQ_EST_EPS_NORM_SURPRISE_PERCENT_REUT" hidden="1">"c5412"</definedName>
    <definedName name="IQ_EST_EPS_REPORT_DIFF" hidden="1">"c1893"</definedName>
    <definedName name="IQ_EST_EPS_REPORT_DIFF_REUT" hidden="1">"c5431"</definedName>
    <definedName name="IQ_EST_EPS_REPORT_SURPRISE_PERCENT" hidden="1">"c1894"</definedName>
    <definedName name="IQ_EST_EPS_REPORT_SURPRISE_PERCENT_REUT" hidden="1">"c5432"</definedName>
    <definedName name="IQ_EST_VENDOR" hidden="1">"c5564"</definedName>
    <definedName name="IQ_EV_OVER_EMPLOYEE" hidden="1">"c1428"</definedName>
    <definedName name="IQ_EV_OVER_LTM_EBIT" hidden="1">"c1426"</definedName>
    <definedName name="IQ_EV_OVER_LTM_EBITDA" hidden="1">"c1427"</definedName>
    <definedName name="IQ_EV_OVER_LTM_REVENUE" hidden="1">"c1429"</definedName>
    <definedName name="IQ_EVAL_DATE" hidden="1">"c2180"</definedName>
    <definedName name="IQ_EXCHANGE" hidden="1">"c405"</definedName>
    <definedName name="IQ_EXCISE_TAXES_EXCL_SALES" hidden="1">"c5515"</definedName>
    <definedName name="IQ_EXCISE_TAXES_INCL_SALES" hidden="1">"c5514"</definedName>
    <definedName name="IQ_EXERCISE_PRICE" hidden="1">"c1897"</definedName>
    <definedName name="IQ_EXERCISED" hidden="1">"c406"</definedName>
    <definedName name="IQ_EXP_RETURN_PENSION_DOMESTIC" hidden="1">"c407"</definedName>
    <definedName name="IQ_EXP_RETURN_PENSION_FOREIGN" hidden="1">"c408"</definedName>
    <definedName name="IQ_EXPLORE_DRILL" hidden="1">"c409"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" hidden="1">"c6216"</definedName>
    <definedName name="IQ_EXTRA_ACC_ITEMS_REIT" hidden="1">"c415"</definedName>
    <definedName name="IQ_EXTRA_ACC_ITEMS_UTI" hidden="1">"c416"</definedName>
    <definedName name="IQ_EXTRA_ITEMS" hidden="1">"c1459"</definedName>
    <definedName name="IQ_FDIC" hidden="1">"c417"</definedName>
    <definedName name="IQ_FEDFUNDS_SOLD" hidden="1">"c2256"</definedName>
    <definedName name="IQ_FFO" hidden="1">"c1574"</definedName>
    <definedName name="IQ_FFO_ADJ_ACT_OR_EST" hidden="1">"c4435"</definedName>
    <definedName name="IQ_FFO_PAYOUT_RATIO" hidden="1">"c3492"</definedName>
    <definedName name="IQ_FFO_SHARE_ACT_OR_EST" hidden="1">"c4446"</definedName>
    <definedName name="IQ_FHLB_DEBT" hidden="1">"c423"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ILING_CURRENCY" hidden="1">"c2129"</definedName>
    <definedName name="IQ_FILINGDATE_BS" hidden="1">"c424"</definedName>
    <definedName name="IQ_FILINGDATE_CF" hidden="1">"c425"</definedName>
    <definedName name="IQ_FILINGDATE_IS" hidden="1">"c426"</definedName>
    <definedName name="IQ_FILM_RIGHTS" hidden="1">"c2254"</definedName>
    <definedName name="IQ_FIN_DIV_ASSETS_CURRENT" hidden="1">"c427"</definedName>
    <definedName name="IQ_FIN_DIV_ASSETS_LT" hidden="1">"c428"</definedName>
    <definedName name="IQ_FIN_DIV_CASH_EQUIV" hidden="1">"c6289"</definedName>
    <definedName name="IQ_FIN_DIV_DEBT_CURRENT" hidden="1">"c429"</definedName>
    <definedName name="IQ_FIN_DIV_DEBT_LT" hidden="1">"c430"</definedName>
    <definedName name="IQ_FIN_DIV_DEBT_TOTAL" hidden="1">"c5656"</definedName>
    <definedName name="IQ_FIN_DIV_EXP" hidden="1">"c431"</definedName>
    <definedName name="IQ_FIN_DIV_INT_EXP" hidden="1">"c432"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LT_DEBT_TOTAL" hidden="1">"c5655"</definedName>
    <definedName name="IQ_FIN_DIV_REV" hidden="1">"c437"</definedName>
    <definedName name="IQ_FIN_DIV_ST_DEBT_TOTAL" hidden="1">"c5527"</definedName>
    <definedName name="IQ_FIN_DIV_ST_INVEST" hidden="1">"c6288"</definedName>
    <definedName name="IQ_FINANCING_CASH" hidden="1">"c1405"</definedName>
    <definedName name="IQ_FINANCING_CASH_SUPPL" hidden="1">"c1406"</definedName>
    <definedName name="IQ_FINANCING_OBLIG_CURRENT" hidden="1">"c6190"</definedName>
    <definedName name="IQ_FINANCING_OBLIG_NON_CURRENT" hidden="1">"c6191"</definedName>
    <definedName name="IQ_FINISHED_INV" hidden="1">"c438"</definedName>
    <definedName name="IQ_FIRST_INT_DATE" hidden="1">"c2186"</definedName>
    <definedName name="IQ_FIRST_YEAR_LIFE" hidden="1">"c439"</definedName>
    <definedName name="IQ_FIRST_YEAR_LIFE_PREM" hidden="1">"c2787"</definedName>
    <definedName name="IQ_FIRST_YEAR_PREM" hidden="1">"c2786"</definedName>
    <definedName name="IQ_FIRSTPRICINGDATE" hidden="1">"c3050"</definedName>
    <definedName name="IQ_FISCAL_Q" hidden="1">"c440"</definedName>
    <definedName name="IQ_FISCAL_Y" hidden="1">"c441"</definedName>
    <definedName name="IQ_FIVE_PERCENT_OWNER" hidden="1">"c442"</definedName>
    <definedName name="IQ_FIVEPERCENT_PERCENT" hidden="1">"c443"</definedName>
    <definedName name="IQ_FIVEPERCENT_SHARES" hidden="1">"c444"</definedName>
    <definedName name="IQ_FIXED_ASSET_TURNS" hidden="1">"c445"</definedName>
    <definedName name="IQ_FLOAT_PERCENT" hidden="1">"c1575"</definedName>
    <definedName name="IQ_FOREIGN_DEP_IB" hidden="1">"c446"</definedName>
    <definedName name="IQ_FOREIGN_DEP_NON_IB" hidden="1">"c447"</definedName>
    <definedName name="IQ_FOREIGN_EXCHANGE" hidden="1">"c1376"</definedName>
    <definedName name="IQ_FOREIGN_LOANS" hidden="1">"c448"</definedName>
    <definedName name="IQ_FQ" hidden="1">500</definedName>
    <definedName name="IQ_FUEL" hidden="1">"c449"</definedName>
    <definedName name="IQ_FULL_TIME" hidden="1">"c450"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X" hidden="1">"c451"</definedName>
    <definedName name="IQ_FY" hidden="1">1000</definedName>
    <definedName name="IQ_GA_EXP" hidden="1">"c2241"</definedName>
    <definedName name="IQ_GAAP_IS" hidden="1">"c6194"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" hidden="1">"c6217"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" hidden="1">"c6218"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" hidden="1">"c6219"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" hidden="1">"c6220"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" hidden="1">"c6278"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" hidden="1">"c6221"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SALE_ASSETS" hidden="1">"c1377"</definedName>
    <definedName name="IQ_GEO_SEG_ASSETS" hidden="1">"c4069"</definedName>
    <definedName name="IQ_GEO_SEG_ASSETS_ABS" hidden="1">"c4091"</definedName>
    <definedName name="IQ_GEO_SEG_ASSETS_TOTAL" hidden="1">"c4123"</definedName>
    <definedName name="IQ_GEO_SEG_CAPEX" hidden="1">"c4083"</definedName>
    <definedName name="IQ_GEO_SEG_CAPEX_ABS" hidden="1">"c4105"</definedName>
    <definedName name="IQ_GEO_SEG_CAPEX_TOTAL" hidden="1">"c4127"</definedName>
    <definedName name="IQ_GEO_SEG_DA" hidden="1">"c4082"</definedName>
    <definedName name="IQ_GEO_SEG_DA_ABS" hidden="1">"c4104"</definedName>
    <definedName name="IQ_GEO_SEG_DA_TOTAL" hidden="1">"c4126"</definedName>
    <definedName name="IQ_GEO_SEG_EARNINGS_OP" hidden="1">"c4073"</definedName>
    <definedName name="IQ_GEO_SEG_EARNINGS_OP_ABS" hidden="1">"c4095"</definedName>
    <definedName name="IQ_GEO_SEG_EARNINGS_OP_TOTAL" hidden="1">"c4119"</definedName>
    <definedName name="IQ_GEO_SEG_EBT" hidden="1">"c4072"</definedName>
    <definedName name="IQ_GEO_SEG_EBT_ABS" hidden="1">"c4094"</definedName>
    <definedName name="IQ_GEO_SEG_EBT_TOTAL" hidden="1">"c4121"</definedName>
    <definedName name="IQ_GEO_SEG_GP" hidden="1">"c4070"</definedName>
    <definedName name="IQ_GEO_SEG_GP_ABS" hidden="1">"c4092"</definedName>
    <definedName name="IQ_GEO_SEG_GP_TOTAL" hidden="1">"c4120"</definedName>
    <definedName name="IQ_GEO_SEG_INC_TAX" hidden="1">"c4081"</definedName>
    <definedName name="IQ_GEO_SEG_INC_TAX_ABS" hidden="1">"c4103"</definedName>
    <definedName name="IQ_GEO_SEG_INC_TAX_TOTAL" hidden="1">"c4125"</definedName>
    <definedName name="IQ_GEO_SEG_INTEREST_EXP" hidden="1">"c4080"</definedName>
    <definedName name="IQ_GEO_SEG_INTEREST_EXP_ABS" hidden="1">"c4102"</definedName>
    <definedName name="IQ_GEO_SEG_INTEREST_EXP_TOTAL" hidden="1">"c4124"</definedName>
    <definedName name="IQ_GEO_SEG_NAME" hidden="1">"c5484"</definedName>
    <definedName name="IQ_GEO_SEG_NAME_ABS" hidden="1">"c5485"</definedName>
    <definedName name="IQ_GEO_SEG_NI" hidden="1">"c4071"</definedName>
    <definedName name="IQ_GEO_SEG_NI_ABS" hidden="1">"c4093"</definedName>
    <definedName name="IQ_GEO_SEG_NI_TOTAL" hidden="1">"c4122"</definedName>
    <definedName name="IQ_GEO_SEG_OPER_INC" hidden="1">"c4075"</definedName>
    <definedName name="IQ_GEO_SEG_OPER_INC_ABS" hidden="1">"c4097"</definedName>
    <definedName name="IQ_GEO_SEG_OPER_INC_TOTAL" hidden="1">"c4118"</definedName>
    <definedName name="IQ_GEO_SEG_REV" hidden="1">"c4074"</definedName>
    <definedName name="IQ_GEO_SEG_REV_ABS" hidden="1">"c4096"</definedName>
    <definedName name="IQ_GEO_SEG_REV_TOTAL" hidden="1">"c4117"</definedName>
    <definedName name="IQ_GOODWILL_NET" hidden="1">"c1380"</definedName>
    <definedName name="IQ_GP" hidden="1">"c511"</definedName>
    <definedName name="IQ_GP_10YR_ANN_CAGR" hidden="1">"c6090"</definedName>
    <definedName name="IQ_GP_10YR_ANN_GROWTH" hidden="1">"c512"</definedName>
    <definedName name="IQ_GP_1YR_ANN_GROWTH" hidden="1">"c513"</definedName>
    <definedName name="IQ_GP_2YR_ANN_CAGR" hidden="1">"c6091"</definedName>
    <definedName name="IQ_GP_2YR_ANN_GROWTH" hidden="1">"c514"</definedName>
    <definedName name="IQ_GP_3YR_ANN_CAGR" hidden="1">"c6092"</definedName>
    <definedName name="IQ_GP_3YR_ANN_GROWTH" hidden="1">"c515"</definedName>
    <definedName name="IQ_GP_5YR_ANN_CAGR" hidden="1">"c6093"</definedName>
    <definedName name="IQ_GP_5YR_ANN_GROWTH" hidden="1">"c516"</definedName>
    <definedName name="IQ_GP_7YR_ANN_CAGR" hidden="1">"c6094"</definedName>
    <definedName name="IQ_GP_7YR_ANN_GROWTH" hidden="1">"c517"</definedName>
    <definedName name="IQ_GPPE" hidden="1">"c518"</definedName>
    <definedName name="IQ_GROSS_AH_EARNED" hidden="1">"c2742"</definedName>
    <definedName name="IQ_GROSS_CLAIM_EXP_INCUR" hidden="1">"c2755"</definedName>
    <definedName name="IQ_GROSS_CLAIM_EXP_PAID" hidden="1">"c2758"</definedName>
    <definedName name="IQ_GROSS_CLAIM_EXP_RES" hidden="1">"c2752"</definedName>
    <definedName name="IQ_GROSS_DIVID" hidden="1">"c1446"</definedName>
    <definedName name="IQ_GROSS_EARNED" hidden="1">"c2732"</definedName>
    <definedName name="IQ_GROSS_LIFE_EARNED" hidden="1">"c2737"</definedName>
    <definedName name="IQ_GROSS_LIFE_IN_FORCE" hidden="1">"c2767"</definedName>
    <definedName name="IQ_GROSS_LOANS" hidden="1">"c521"</definedName>
    <definedName name="IQ_GROSS_LOANS_10YR_ANN_CAGR" hidden="1">"c6095"</definedName>
    <definedName name="IQ_GROSS_LOANS_10YR_ANN_GROWTH" hidden="1">"c522"</definedName>
    <definedName name="IQ_GROSS_LOANS_1YR_ANN_GROWTH" hidden="1">"c523"</definedName>
    <definedName name="IQ_GROSS_LOANS_2YR_ANN_CAGR" hidden="1">"c6096"</definedName>
    <definedName name="IQ_GROSS_LOANS_2YR_ANN_GROWTH" hidden="1">"c524"</definedName>
    <definedName name="IQ_GROSS_LOANS_3YR_ANN_CAGR" hidden="1">"c6097"</definedName>
    <definedName name="IQ_GROSS_LOANS_3YR_ANN_GROWTH" hidden="1">"c525"</definedName>
    <definedName name="IQ_GROSS_LOANS_5YR_ANN_CAGR" hidden="1">"c6098"</definedName>
    <definedName name="IQ_GROSS_LOANS_5YR_ANN_GROWTH" hidden="1">"c526"</definedName>
    <definedName name="IQ_GROSS_LOANS_7YR_ANN_CAGR" hidden="1">"c6099"</definedName>
    <definedName name="IQ_GROSS_LOANS_7YR_ANN_GROWTH" hidden="1">"c527"</definedName>
    <definedName name="IQ_GROSS_LOANS_TOTAL_DEPOSITS" hidden="1">"c528"</definedName>
    <definedName name="IQ_GROSS_MARGIN" hidden="1">"c529"</definedName>
    <definedName name="IQ_GROSS_PC_EARNED" hidden="1">"c2747"</definedName>
    <definedName name="IQ_GROSS_PROFIT" hidden="1">"c1378"</definedName>
    <definedName name="IQ_GROSS_SPRD" hidden="1">"c2155"</definedName>
    <definedName name="IQ_GROSS_WRITTEN" hidden="1">"c2726"</definedName>
    <definedName name="IQ_GW" hidden="1">"c530"</definedName>
    <definedName name="IQ_GW_AMORT_BR" hidden="1">"c532"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" hidden="1">"c6279"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" hidden="1">"c6280"</definedName>
    <definedName name="IQ_GW_INTAN_AMORT_REIT" hidden="1">"c1480"</definedName>
    <definedName name="IQ_GW_INTAN_AMORT_UTI" hidden="1">"c1481"</definedName>
    <definedName name="IQ_HC_ADMISSIONS" hidden="1">"c5953"</definedName>
    <definedName name="IQ_HC_ADMISSIONS_GROWTH" hidden="1">"c5997"</definedName>
    <definedName name="IQ_HC_ADMISSIONS_MANAGED_CARE" hidden="1">"c5956"</definedName>
    <definedName name="IQ_HC_ADMISSIONS_MEDICAID" hidden="1">"c5955"</definedName>
    <definedName name="IQ_HC_ADMISSIONS_MEDICARE" hidden="1">"c5954"</definedName>
    <definedName name="IQ_HC_ADMISSIONS_OTHER" hidden="1">"c5957"</definedName>
    <definedName name="IQ_HC_ADMISSIONS_SF" hidden="1">"c6006"</definedName>
    <definedName name="IQ_HC_ALFS" hidden="1">"c5952"</definedName>
    <definedName name="IQ_HC_AVG_BEDS_SVC" hidden="1">"c5951"</definedName>
    <definedName name="IQ_HC_AVG_DAILY_CENSUS" hidden="1">"c5965"</definedName>
    <definedName name="IQ_HC_AVG_LICENSED_BEDS" hidden="1">"c5949"</definedName>
    <definedName name="IQ_HC_AVG_LICENSED_BEDS_SF" hidden="1">"c6004"</definedName>
    <definedName name="IQ_HC_AVG_STAY" hidden="1">"c5966"</definedName>
    <definedName name="IQ_HC_AVG_STAY_SF" hidden="1">"c6016"</definedName>
    <definedName name="IQ_HC_BEDS_SVC" hidden="1">"c5950"</definedName>
    <definedName name="IQ_HC_DAYS_REV_OUT" hidden="1">"c5993"</definedName>
    <definedName name="IQ_HC_EQUIV_ADMISSIONS_GROWTH" hidden="1">"c5998"</definedName>
    <definedName name="IQ_HC_EQUIVALENT_ADMISSIONS" hidden="1">"c5958"</definedName>
    <definedName name="IQ_HC_EQUIVALENT_ADMISSIONS_SF" hidden="1">"c6007"</definedName>
    <definedName name="IQ_HC_ER_VISITS" hidden="1">"c5964"</definedName>
    <definedName name="IQ_HC_ER_VISITS_SF" hidden="1">"c6017"</definedName>
    <definedName name="IQ_HC_GROSS_INPATIENT_REV" hidden="1">"c5987"</definedName>
    <definedName name="IQ_HC_GROSS_OUTPATIENT_REV" hidden="1">"c5988"</definedName>
    <definedName name="IQ_HC_GROSS_PATIENT_REV" hidden="1">"c5989"</definedName>
    <definedName name="IQ_HC_HOSP_FACILITIES_CONSOL" hidden="1">"c5945"</definedName>
    <definedName name="IQ_HC_HOSP_FACILITIES_CONSOL_SF" hidden="1">"c6000"</definedName>
    <definedName name="IQ_HC_HOSP_FACILITIES_NON_CONSOL" hidden="1">"c5946"</definedName>
    <definedName name="IQ_HC_HOSP_FACILITIES_NON_CONSOL_SF" hidden="1">"c6001"</definedName>
    <definedName name="IQ_HC_HOSP_FACILITIES_TOTAL" hidden="1">"c5947"</definedName>
    <definedName name="IQ_HC_HOSP_FACILITIES_TOTAL_SF" hidden="1">"c6002"</definedName>
    <definedName name="IQ_HC_INPATIENT_PROCEDURES" hidden="1">"c5961"</definedName>
    <definedName name="IQ_HC_INPATIENT_PROCEDURES_SF" hidden="1">"c6011"</definedName>
    <definedName name="IQ_HC_INPATIENT_REV_PER_ADMISSION" hidden="1">"c5994"</definedName>
    <definedName name="IQ_HC_INTPATIENT_SVCS_PCT_REV" hidden="1">"c5975"</definedName>
    <definedName name="IQ_HC_INTPATIENT_SVCS_PCT_REV_SF" hidden="1">"c6015"</definedName>
    <definedName name="IQ_HC_LICENSED_BEDS" hidden="1">"c5948"</definedName>
    <definedName name="IQ_HC_LICENSED_BEDS_SF" hidden="1">"c6003"</definedName>
    <definedName name="IQ_HC_MANAGED_CARE_PCT_ADMISSIONS" hidden="1">"c5982"</definedName>
    <definedName name="IQ_HC_MANAGED_CARE_PCT_REV" hidden="1">"c5978"</definedName>
    <definedName name="IQ_HC_MEDICAID_PCT_ADMISSIONS" hidden="1">"c5981"</definedName>
    <definedName name="IQ_HC_MEDICAID_PCT_REV" hidden="1">"c5977"</definedName>
    <definedName name="IQ_HC_MEDICARE_PCT_ADMISSIONS" hidden="1">"c5980"</definedName>
    <definedName name="IQ_HC_MEDICARE_PCT_REV" hidden="1">"c5976"</definedName>
    <definedName name="IQ_HC_NET_INPATIENT_REV" hidden="1">"c5984"</definedName>
    <definedName name="IQ_HC_NET_OUTPATIENT_REV" hidden="1">"c5985"</definedName>
    <definedName name="IQ_HC_NET_PATIENT_REV" hidden="1">"c5986"</definedName>
    <definedName name="IQ_HC_NET_PATIENT_REV_SF" hidden="1">"c6005"</definedName>
    <definedName name="IQ_HC_OCC_RATE" hidden="1">"c5967"</definedName>
    <definedName name="IQ_HC_OCC_RATE_LICENSED_BEDS" hidden="1">"c5968"</definedName>
    <definedName name="IQ_HC_OCC_RATE_SF" hidden="1">"c6009"</definedName>
    <definedName name="IQ_HC_OPEX_SUPPLIES" hidden="1">"c5990"</definedName>
    <definedName name="IQ_HC_OTHER_OPEX_PCT_REV" hidden="1">"c5973"</definedName>
    <definedName name="IQ_HC_OUTPATIENT_PROCEDURES" hidden="1">"c5962"</definedName>
    <definedName name="IQ_HC_OUTPATIENT_PROCEDURES_SF" hidden="1">"c6012"</definedName>
    <definedName name="IQ_HC_OUTPATIENT_REV_PER_ADMISSION" hidden="1">"c5995"</definedName>
    <definedName name="IQ_HC_OUTPATIENT_SVCS_PCT_REV" hidden="1">"c5974"</definedName>
    <definedName name="IQ_HC_OUTPATIENT_SVCS_PCT_REV_SF" hidden="1">"c6014"</definedName>
    <definedName name="IQ_HC_PATIENT_DAYS" hidden="1">"c5960"</definedName>
    <definedName name="IQ_HC_PATIENT_DAYS_SF" hidden="1">"c6010"</definedName>
    <definedName name="IQ_HC_PROF_GEN_LIAB_CLAIM_PAID" hidden="1">"c5991"</definedName>
    <definedName name="IQ_HC_PROF_GEN_LIAB_EXP_BENEFIT" hidden="1">"c5992"</definedName>
    <definedName name="IQ_HC_PROVISION_DOUBTFUL_PCT_REV" hidden="1">"c5972"</definedName>
    <definedName name="IQ_HC_REV_GROWTH" hidden="1">"c5996"</definedName>
    <definedName name="IQ_HC_REV_PER_EQUIV_ADMISSION" hidden="1">"c5959"</definedName>
    <definedName name="IQ_HC_REV_PER_EQUIV_ADMISSION_SF" hidden="1">"c6008"</definedName>
    <definedName name="IQ_HC_REV_PER_EQUIV_ADMISSIONS_GROWTH" hidden="1">"c5999"</definedName>
    <definedName name="IQ_HC_REV_PER_PATIENT_DAY" hidden="1">"c5969"</definedName>
    <definedName name="IQ_HC_REV_PER_PATIENT_DAY_SF" hidden="1">"c6018"</definedName>
    <definedName name="IQ_HC_SALARIES_PCT_REV" hidden="1">"c5970"</definedName>
    <definedName name="IQ_HC_SUPPLIES_PCT_REV" hidden="1">"c5971"</definedName>
    <definedName name="IQ_HC_TOTAL_PROCEDURES" hidden="1">"c5963"</definedName>
    <definedName name="IQ_HC_TOTAL_PROCEDURES_SF" hidden="1">"c6013"</definedName>
    <definedName name="IQ_HC_UNINSURED_PCT_ADMISSIONS" hidden="1">"c5983"</definedName>
    <definedName name="IQ_HC_UNINSURED_PCT_REV" hidden="1">"c5979"</definedName>
    <definedName name="IQ_HIGH_TARGET_PRICE" hidden="1">"c1651"</definedName>
    <definedName name="IQ_HIGH_TARGET_PRICE_REUT" hidden="1">"c5317"</definedName>
    <definedName name="IQ_HIGHPRICE" hidden="1">"c545"</definedName>
    <definedName name="IQ_HOME_AVG_LOAN_SIZE" hidden="1">"c5911"</definedName>
    <definedName name="IQ_HOME_BACKLOG" hidden="1">"c5844"</definedName>
    <definedName name="IQ_HOME_BACKLOG_AVG_JV" hidden="1">"c5848"</definedName>
    <definedName name="IQ_HOME_BACKLOG_AVG_JV_GROWTH" hidden="1">"c5928"</definedName>
    <definedName name="IQ_HOME_BACKLOG_AVG_JV_INC" hidden="1">"c5851"</definedName>
    <definedName name="IQ_HOME_BACKLOG_AVG_JV_INC_GROWTH" hidden="1">"c5931"</definedName>
    <definedName name="IQ_HOME_BACKLOG_AVG_PRICE" hidden="1">"c5845"</definedName>
    <definedName name="IQ_HOME_BACKLOG_AVG_PRICE_GROWTH" hidden="1">"c5925"</definedName>
    <definedName name="IQ_HOME_BACKLOG_GROWTH" hidden="1">"c5924"</definedName>
    <definedName name="IQ_HOME_BACKLOG_JV" hidden="1">"c5847"</definedName>
    <definedName name="IQ_HOME_BACKLOG_JV_GROWTH" hidden="1">"c5927"</definedName>
    <definedName name="IQ_HOME_BACKLOG_JV_INC" hidden="1">"c5850"</definedName>
    <definedName name="IQ_HOME_BACKLOG_JV_INC_GROWTH" hidden="1">"c5930"</definedName>
    <definedName name="IQ_HOME_BACKLOG_VALUE" hidden="1">"c5846"</definedName>
    <definedName name="IQ_HOME_BACKLOG_VALUE_GROWTH" hidden="1">"c5926"</definedName>
    <definedName name="IQ_HOME_BACKLOG_VALUE_JV" hidden="1">"c5849"</definedName>
    <definedName name="IQ_HOME_BACKLOG_VALUE_JV_GROWTH" hidden="1">"c5929"</definedName>
    <definedName name="IQ_HOME_BACKLOG_VALUE_JV_INC" hidden="1">"c5852"</definedName>
    <definedName name="IQ_HOME_BACKLOG_VALUE_JV_INC_GROWTH" hidden="1">"c5932"</definedName>
    <definedName name="IQ_HOME_COMMUNITIES_ACTIVE" hidden="1">"c5862"</definedName>
    <definedName name="IQ_HOME_COMMUNITIES_ACTIVE_GROWTH" hidden="1">"c5942"</definedName>
    <definedName name="IQ_HOME_COMMUNITIES_ACTIVE_JV" hidden="1">"c5863"</definedName>
    <definedName name="IQ_HOME_COMMUNITIES_ACTIVE_JV_GROWTH" hidden="1">"c5943"</definedName>
    <definedName name="IQ_HOME_COMMUNITIES_ACTIVE_JV_INC" hidden="1">"c5864"</definedName>
    <definedName name="IQ_HOME_COMMUNITIES_ACTIVE_JV_INC_GROWTH" hidden="1">"c5944"</definedName>
    <definedName name="IQ_HOME_COST_CONSTRUCTION_SVCS" hidden="1">"c5882"</definedName>
    <definedName name="IQ_HOME_COST_ELIMINATIONS_OTHER" hidden="1">"c5883"</definedName>
    <definedName name="IQ_HOME_COST_FINANCIAL_SVCS" hidden="1">"c5881"</definedName>
    <definedName name="IQ_HOME_COST_HOUSING" hidden="1">"c5877"</definedName>
    <definedName name="IQ_HOME_COST_LAND_LOT" hidden="1">"c5878"</definedName>
    <definedName name="IQ_HOME_COST_OTHER_HOMEBUILDING" hidden="1">"c5879"</definedName>
    <definedName name="IQ_HOME_COST_TOTAL" hidden="1">"c5884"</definedName>
    <definedName name="IQ_HOME_COST_TOTAL_HOMEBUILDING" hidden="1">"c5880"</definedName>
    <definedName name="IQ_HOME_DELIVERED" hidden="1">"c5835"</definedName>
    <definedName name="IQ_HOME_DELIVERED_AVG_PRICE" hidden="1">"c5836"</definedName>
    <definedName name="IQ_HOME_DELIVERED_AVG_PRICE_GROWTH" hidden="1">"c5916"</definedName>
    <definedName name="IQ_HOME_DELIVERED_AVG_PRICE_JV" hidden="1">"c5839"</definedName>
    <definedName name="IQ_HOME_DELIVERED_AVG_PRICE_JV_GROWTH" hidden="1">"c5919"</definedName>
    <definedName name="IQ_HOME_DELIVERED_AVG_PRICE_JV_INC" hidden="1">"c5842"</definedName>
    <definedName name="IQ_HOME_DELIVERED_AVG_PRICE_JV_INC_GROWTH" hidden="1">"c5922"</definedName>
    <definedName name="IQ_HOME_DELIVERED_GROWTH" hidden="1">"c5915"</definedName>
    <definedName name="IQ_HOME_DELIVERED_JV" hidden="1">"c5838"</definedName>
    <definedName name="IQ_HOME_DELIVERED_JV_GROWTH" hidden="1">"c5918"</definedName>
    <definedName name="IQ_HOME_DELIVERED_JV_INC" hidden="1">"c5841"</definedName>
    <definedName name="IQ_HOME_DELIVERED_JV_INC_GROWTH" hidden="1">"c5921"</definedName>
    <definedName name="IQ_HOME_DELIVERED_VALUE" hidden="1">"c5837"</definedName>
    <definedName name="IQ_HOME_DELIVERED_VALUE_GROWTH" hidden="1">"c5917"</definedName>
    <definedName name="IQ_HOME_DELIVERED_VALUE_JV" hidden="1">"c5840"</definedName>
    <definedName name="IQ_HOME_DELIVERED_VALUE_JV_GROWTH" hidden="1">"c5920"</definedName>
    <definedName name="IQ_HOME_DELIVERED_VALUE_JV_INC" hidden="1">"c5843"</definedName>
    <definedName name="IQ_HOME_DELIVERED_VALUE_JV_INC_GROWTH" hidden="1">"c5923"</definedName>
    <definedName name="IQ_HOME_FINISHED_HOMES_CIP" hidden="1">"c5865"</definedName>
    <definedName name="IQ_HOME_FIRSTLIEN_MORT_ORIGINATED" hidden="1">"c5905"</definedName>
    <definedName name="IQ_HOME_FIRSTLIEN_MORT_ORIGINATED_VOL" hidden="1">"c5908"</definedName>
    <definedName name="IQ_HOME_HUC" hidden="1">"c5822"</definedName>
    <definedName name="IQ_HOME_HUC_JV" hidden="1">"c5823"</definedName>
    <definedName name="IQ_HOME_HUC_JV_INC" hidden="1">"c5824"</definedName>
    <definedName name="IQ_HOME_INV_NOT_OWNED" hidden="1">"c5868"</definedName>
    <definedName name="IQ_HOME_LAND_DEVELOPMENT" hidden="1">"c5866"</definedName>
    <definedName name="IQ_HOME_LAND_FUTURE_DEVELOPMENT" hidden="1">"c5867"</definedName>
    <definedName name="IQ_HOME_LOAN_APPLICATIONS" hidden="1">"c5910"</definedName>
    <definedName name="IQ_HOME_LOANS_SOLD_COUNT" hidden="1">"c5912"</definedName>
    <definedName name="IQ_HOME_LOANS_SOLD_VALUE" hidden="1">"c5913"</definedName>
    <definedName name="IQ_HOME_LOTS_CONTROLLED" hidden="1">"c5831"</definedName>
    <definedName name="IQ_HOME_LOTS_FINISHED" hidden="1">"c5827"</definedName>
    <definedName name="IQ_HOME_LOTS_HELD_SALE" hidden="1">"c5830"</definedName>
    <definedName name="IQ_HOME_LOTS_JV" hidden="1">"c5833"</definedName>
    <definedName name="IQ_HOME_LOTS_JV_INC" hidden="1">"c5834"</definedName>
    <definedName name="IQ_HOME_LOTS_OTHER" hidden="1">"c5832"</definedName>
    <definedName name="IQ_HOME_LOTS_OWNED" hidden="1">"c5828"</definedName>
    <definedName name="IQ_HOME_LOTS_UNDER_DEVELOPMENT" hidden="1">"c5826"</definedName>
    <definedName name="IQ_HOME_LOTS_UNDER_OPTION" hidden="1">"c5829"</definedName>
    <definedName name="IQ_HOME_LOTS_UNDEVELOPED" hidden="1">"c5825"</definedName>
    <definedName name="IQ_HOME_MORT_CAPTURE_RATE" hidden="1">"c5906"</definedName>
    <definedName name="IQ_HOME_MORT_ORIGINATED" hidden="1">"c5907"</definedName>
    <definedName name="IQ_HOME_OBLIGATIONS_INV_NOT_OWNED" hidden="1">"c5914"</definedName>
    <definedName name="IQ_HOME_ORDERS" hidden="1">"c5853"</definedName>
    <definedName name="IQ_HOME_ORDERS_AVG_PRICE" hidden="1">"c5854"</definedName>
    <definedName name="IQ_HOME_ORDERS_AVG_PRICE_GROWTH" hidden="1">"c5934"</definedName>
    <definedName name="IQ_HOME_ORDERS_AVG_PRICE_JV" hidden="1">"c5857"</definedName>
    <definedName name="IQ_HOME_ORDERS_AVG_PRICE_JV_GROWTH" hidden="1">"c5937"</definedName>
    <definedName name="IQ_HOME_ORDERS_AVG_PRICE_JV_INC" hidden="1">"c5860"</definedName>
    <definedName name="IQ_HOME_ORDERS_AVG_PRICE_JV_INC_GROWTH" hidden="1">"c5940"</definedName>
    <definedName name="IQ_HOME_ORDERS_GROWTH" hidden="1">"c5933"</definedName>
    <definedName name="IQ_HOME_ORDERS_JV" hidden="1">"c5856"</definedName>
    <definedName name="IQ_HOME_ORDERS_JV_GROWTH" hidden="1">"c5936"</definedName>
    <definedName name="IQ_HOME_ORDERS_JV_INC" hidden="1">"c5859"</definedName>
    <definedName name="IQ_HOME_ORDERS_JV_INC_GROWTH" hidden="1">"c5939"</definedName>
    <definedName name="IQ_HOME_ORDERS_VALUE" hidden="1">"c5855"</definedName>
    <definedName name="IQ_HOME_ORDERS_VALUE_GROWTH" hidden="1">"c5935"</definedName>
    <definedName name="IQ_HOME_ORDERS_VALUE_JV" hidden="1">"c5858"</definedName>
    <definedName name="IQ_HOME_ORDERS_VALUE_JV_GROWTH" hidden="1">"c5938"</definedName>
    <definedName name="IQ_HOME_ORDERS_VALUE_JV_INC" hidden="1">"c5861"</definedName>
    <definedName name="IQ_HOME_ORDERS_VALUE_JV_INC_GROWTH" hidden="1">"c5941"</definedName>
    <definedName name="IQ_HOME_ORIGINATION_TOTAL" hidden="1">"c5909"</definedName>
    <definedName name="IQ_HOME_PRETAX_INC_CONSTRUCTION_SVCS" hidden="1">"c5890"</definedName>
    <definedName name="IQ_HOME_PRETAX_INC_ELIMINATIONS_OTHER" hidden="1">"c5891"</definedName>
    <definedName name="IQ_HOME_PRETAX_INC_FINANCIAL_SVCS" hidden="1">"c5889"</definedName>
    <definedName name="IQ_HOME_PRETAX_INC_HOUSING" hidden="1">"c5885"</definedName>
    <definedName name="IQ_HOME_PRETAX_INC_LAND_LOT" hidden="1">"c5886"</definedName>
    <definedName name="IQ_HOME_PRETAX_INC_OTHER_HOMEBUILDING" hidden="1">"c5887"</definedName>
    <definedName name="IQ_HOME_PRETAX_INC_TOTAL" hidden="1">"c5892"</definedName>
    <definedName name="IQ_HOME_PRETAX_INC_TOTAL_HOMEBUILDING" hidden="1">"c5888"</definedName>
    <definedName name="IQ_HOME_PURCH_OBLIGATION_1YR" hidden="1">"c5898"</definedName>
    <definedName name="IQ_HOME_PURCH_OBLIGATION_2YR" hidden="1">"c5899"</definedName>
    <definedName name="IQ_HOME_PURCH_OBLIGATION_3YR" hidden="1">"c5900"</definedName>
    <definedName name="IQ_HOME_PURCH_OBLIGATION_4YR" hidden="1">"c5901"</definedName>
    <definedName name="IQ_HOME_PURCH_OBLIGATION_5YR" hidden="1">"c5902"</definedName>
    <definedName name="IQ_HOME_PURCH_OBLIGATION_AFTER5" hidden="1">"c5903"</definedName>
    <definedName name="IQ_HOME_PURCH_OBLIGATION_TOTAL" hidden="1">"c5904"</definedName>
    <definedName name="IQ_HOME_REV_CONSTRUCTION_SERVICES" hidden="1">"c5874"</definedName>
    <definedName name="IQ_HOME_REV_ELIMINATIONS_OTHER" hidden="1">"c5875"</definedName>
    <definedName name="IQ_HOME_REV_FINANCIAL_SERVICES" hidden="1">"c5873"</definedName>
    <definedName name="IQ_HOME_REV_HOUSING" hidden="1">"c5872"</definedName>
    <definedName name="IQ_HOME_REV_LAND_LOT" hidden="1">"c5870"</definedName>
    <definedName name="IQ_HOME_REV_OTHER_HOMEBUILDING" hidden="1">"c5871"</definedName>
    <definedName name="IQ_HOME_REV_TOTAL" hidden="1">"c5876"</definedName>
    <definedName name="IQ_HOME_TOTAL_INV" hidden="1">"c5869"</definedName>
    <definedName name="IQ_HOME_WARRANTY_RES_BEG" hidden="1">"c5893"</definedName>
    <definedName name="IQ_HOME_WARRANTY_RES_END" hidden="1">"c5897"</definedName>
    <definedName name="IQ_HOME_WARRANTY_RES_ISS" hidden="1">"c5894"</definedName>
    <definedName name="IQ_HOME_WARRANTY_RES_OTHER" hidden="1">"c5896"</definedName>
    <definedName name="IQ_HOME_WARRANTY_RES_PAY" hidden="1">"c5895"</definedName>
    <definedName name="IQ_HOMEOWNERS_WRITTEN" hidden="1">"c546"</definedName>
    <definedName name="IQ_IMPAIR_OIL" hidden="1">"c547"</definedName>
    <definedName name="IQ_IMPAIRMENT_GW" hidden="1">"c548"</definedName>
    <definedName name="IQ_IMPUT_OPER_LEASE_DEPR" hidden="1">"c2987"</definedName>
    <definedName name="IQ_IMPUT_OPER_LEASE_INT_EXP" hidden="1">"c2986"</definedName>
    <definedName name="IQ_INC_AFTER_TAX" hidden="1">"c1598"</definedName>
    <definedName name="IQ_INC_AVAIL_EXCL" hidden="1">"c1395"</definedName>
    <definedName name="IQ_INC_AVAIL_INCL" hidden="1">"c1396"</definedName>
    <definedName name="IQ_INC_BEFORE_TAX" hidden="1">"c1375"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" hidden="1">"c6222"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DUSTRY" hidden="1">"c3601"</definedName>
    <definedName name="IQ_INDUSTRY_GROUP" hidden="1">"c3602"</definedName>
    <definedName name="IQ_INDUSTRY_SECTOR" hidden="1">"c3603"</definedName>
    <definedName name="IQ_INS_ANNUITY_LIAB" hidden="1">"c563"</definedName>
    <definedName name="IQ_INS_ANNUITY_REV" hidden="1">"c2788"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" hidden="1">"c6223"</definedName>
    <definedName name="IQ_INS_SETTLE_REIT" hidden="1">"c575"</definedName>
    <definedName name="IQ_INS_SETTLE_UTI" hidden="1">"c576"</definedName>
    <definedName name="IQ_INSIDER_3MTH_BOUGHT_PCT" hidden="1">"c1534"</definedName>
    <definedName name="IQ_INSIDER_3MTH_NET_PCT" hidden="1">"c1535"</definedName>
    <definedName name="IQ_INSIDER_3MTH_SOLD_PCT" hidden="1">"c1533"</definedName>
    <definedName name="IQ_INSIDER_6MTH_BOUGHT_PCT" hidden="1">"c1537"</definedName>
    <definedName name="IQ_INSIDER_6MTH_NET_PCT" hidden="1">"c1538"</definedName>
    <definedName name="IQ_INSIDER_6MTH_SOLD_PCT" hidden="1">"c1536"</definedName>
    <definedName name="IQ_INSIDER_OVER_TOTAL" hidden="1">"c1581"</definedName>
    <definedName name="IQ_INSIDER_OWNER" hidden="1">"c577"</definedName>
    <definedName name="IQ_INSIDER_PERCENT" hidden="1">"c578"</definedName>
    <definedName name="IQ_INSIDER_SHARES" hidden="1">"c579"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SHARES" hidden="1">"c582"</definedName>
    <definedName name="IQ_INSUR_RECEIV" hidden="1">"c1600"</definedName>
    <definedName name="IQ_INT_BORROW" hidden="1">"c583"</definedName>
    <definedName name="IQ_INT_DEPOSITS" hidden="1">"c584"</definedName>
    <definedName name="IQ_INT_DIV_INC" hidden="1">"c585"</definedName>
    <definedName name="IQ_INT_EXP_BR" hidden="1">"c586"</definedName>
    <definedName name="IQ_INT_EXP_COVERAGE" hidden="1">"c587"</definedName>
    <definedName name="IQ_INT_EXP_FIN" hidden="1">"c588"</definedName>
    <definedName name="IQ_INT_EXP_INCL_CAP" hidden="1">"c2988"</definedName>
    <definedName name="IQ_INT_EXP_INS" hidden="1">"c589"</definedName>
    <definedName name="IQ_INT_EXP_LTD" hidden="1">"c2086"</definedName>
    <definedName name="IQ_INT_EXP_RE" hidden="1">"c6224"</definedName>
    <definedName name="IQ_INT_EXP_REIT" hidden="1">"c590"</definedName>
    <definedName name="IQ_INT_EXP_TOTAL" hidden="1">"c591"</definedName>
    <definedName name="IQ_INT_EXP_UTI" hidden="1">"c592"</definedName>
    <definedName name="IQ_INT_INC_BR" hidden="1">"c593"</definedName>
    <definedName name="IQ_INT_INC_FIN" hidden="1">"c594"</definedName>
    <definedName name="IQ_INT_INC_INVEST" hidden="1">"c595"</definedName>
    <definedName name="IQ_INT_INC_LOANS" hidden="1">"c596"</definedName>
    <definedName name="IQ_INT_INC_RE" hidden="1">"c6225"</definedName>
    <definedName name="IQ_INT_INC_REIT" hidden="1">"c597"</definedName>
    <definedName name="IQ_INT_INC_TOTAL" hidden="1">"c598"</definedName>
    <definedName name="IQ_INT_INC_UTI" hidden="1">"c599"</definedName>
    <definedName name="IQ_INT_INV_INC" hidden="1">"c600"</definedName>
    <definedName name="IQ_INT_INV_INC_RE" hidden="1">"c6226"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RATE_SPREAD" hidden="1">"c604"</definedName>
    <definedName name="IQ_INTANGIBLES_NET" hidden="1">"c1407"</definedName>
    <definedName name="IQ_INTEREST_CASH_DEPOSITS" hidden="1">"c2255"</definedName>
    <definedName name="IQ_INTEREST_EXP" hidden="1">"c618"</definedName>
    <definedName name="IQ_INTEREST_EXP_NET" hidden="1">"c1450"</definedName>
    <definedName name="IQ_INTEREST_EXP_NON" hidden="1">"c1383"</definedName>
    <definedName name="IQ_INTEREST_EXP_SUPPL" hidden="1">"c1460"</definedName>
    <definedName name="IQ_INTEREST_INC" hidden="1">"c1393"</definedName>
    <definedName name="IQ_INTEREST_INC_NON" hidden="1">"c1384"</definedName>
    <definedName name="IQ_INTEREST_INVEST_INC" hidden="1">"c619"</definedName>
    <definedName name="IQ_INV_10YR_ANN_CAGR" hidden="1">"c6164"</definedName>
    <definedName name="IQ_INV_10YR_ANN_GROWTH" hidden="1">"c1930"</definedName>
    <definedName name="IQ_INV_1YR_ANN_GROWTH" hidden="1">"c1925"</definedName>
    <definedName name="IQ_INV_2YR_ANN_CAGR" hidden="1">"c6160"</definedName>
    <definedName name="IQ_INV_2YR_ANN_GROWTH" hidden="1">"c1926"</definedName>
    <definedName name="IQ_INV_3YR_ANN_CAGR" hidden="1">"c6161"</definedName>
    <definedName name="IQ_INV_3YR_ANN_GROWTH" hidden="1">"c1927"</definedName>
    <definedName name="IQ_INV_5YR_ANN_CAGR" hidden="1">"c6162"</definedName>
    <definedName name="IQ_INV_5YR_ANN_GROWTH" hidden="1">"c1928"</definedName>
    <definedName name="IQ_INV_7YR_ANN_CAGR" hidden="1">"c6163"</definedName>
    <definedName name="IQ_INV_7YR_ANN_GROWTH" hidden="1">"c1929"</definedName>
    <definedName name="IQ_INV_BANKING_FEE" hidden="1">"c620"</definedName>
    <definedName name="IQ_INV_METHOD" hidden="1">"c621"</definedName>
    <definedName name="IQ_INVENTORY" hidden="1">"c622"</definedName>
    <definedName name="IQ_INVENTORY_TURNS" hidden="1">"c623"</definedName>
    <definedName name="IQ_INVENTORY_UTI" hidden="1">"c624"</definedName>
    <definedName name="IQ_INVEST_DEBT" hidden="1">"c625"</definedName>
    <definedName name="IQ_INVEST_EQUITY_PREF" hidden="1">"c626"</definedName>
    <definedName name="IQ_INVEST_FHLB" hidden="1">"c627"</definedName>
    <definedName name="IQ_INVEST_GOV_SECURITY" hidden="1">"c5510"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" hidden="1">"c6227"</definedName>
    <definedName name="IQ_INVEST_LOANS_CF_REIT" hidden="1">"c633"</definedName>
    <definedName name="IQ_INVEST_LOANS_CF_UTI" hidden="1">"c634"</definedName>
    <definedName name="IQ_INVEST_MUNI_SECURITY" hidden="1">"c5512"</definedName>
    <definedName name="IQ_INVEST_REAL_ESTATE" hidden="1">"c635"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" hidden="1">"c6228"</definedName>
    <definedName name="IQ_INVEST_SECURITY_CF_REIT" hidden="1">"c642"</definedName>
    <definedName name="IQ_INVEST_SECURITY_CF_UTI" hidden="1">"c643"</definedName>
    <definedName name="IQ_INVEST_SECURITY_SUPPL" hidden="1">"c5511"</definedName>
    <definedName name="IQ_IPRD" hidden="1">"c644"</definedName>
    <definedName name="IQ_ISS_DEBT_NET" hidden="1">"c1391"</definedName>
    <definedName name="IQ_ISS_STOCK_NET" hidden="1">"c1601"</definedName>
    <definedName name="IQ_ISSUE_CURRENCY" hidden="1">"c2156"</definedName>
    <definedName name="IQ_ISSUE_NAME" hidden="1">"c2142"</definedName>
    <definedName name="IQ_ISSUER" hidden="1">"c2143"</definedName>
    <definedName name="IQ_ISSUER_CIQID" hidden="1">"c2258"</definedName>
    <definedName name="IQ_ISSUER_PARENT" hidden="1">"c2144"</definedName>
    <definedName name="IQ_ISSUER_PARENT_CIQID" hidden="1">"c2260"</definedName>
    <definedName name="IQ_ISSUER_PARENT_TICKER" hidden="1">"c2259"</definedName>
    <definedName name="IQ_ISSUER_TICKER" hidden="1">"c2252"</definedName>
    <definedName name="IQ_JR_SUB_DEBT" hidden="1">"c2534"</definedName>
    <definedName name="IQ_JR_SUB_DEBT_EBITDA" hidden="1">"c2560"</definedName>
    <definedName name="IQ_JR_SUB_DEBT_EBITDA_CAPEX" hidden="1">"c2561"</definedName>
    <definedName name="IQ_JR_SUB_DEBT_PCT" hidden="1">"c2535"</definedName>
    <definedName name="IQ_LAND" hidden="1">"c645"</definedName>
    <definedName name="IQ_LAST_PMT_DATE" hidden="1">"c2188"</definedName>
    <definedName name="IQ_LAST_SPLIT_DATE" hidden="1">"c2095"</definedName>
    <definedName name="IQ_LAST_SPLIT_FACTOR" hidden="1">"c2093"</definedName>
    <definedName name="IQ_LASTPRICINGDATE" hidden="1">"c3051"</definedName>
    <definedName name="IQ_LASTSALEPRICE" hidden="1">"c646"</definedName>
    <definedName name="IQ_LASTSALEPRICE_DATE" hidden="1">"c2109"</definedName>
    <definedName name="IQ_LATESTK" hidden="1">1000</definedName>
    <definedName name="IQ_LATESTQ" hidden="1">500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" hidden="1">"c6229"</definedName>
    <definedName name="IQ_LEGAL_SETTLE_REIT" hidden="1">"c652"</definedName>
    <definedName name="IQ_LEGAL_SETTLE_UTI" hidden="1">"c653"</definedName>
    <definedName name="IQ_LEVERAGE_RATIO" hidden="1">"c654"</definedName>
    <definedName name="IQ_LEVERED_FCF" hidden="1">"c1907"</definedName>
    <definedName name="IQ_LFCF_10YR_ANN_CAGR" hidden="1">"c6174"</definedName>
    <definedName name="IQ_LFCF_10YR_ANN_GROWTH" hidden="1">"c1942"</definedName>
    <definedName name="IQ_LFCF_1YR_ANN_GROWTH" hidden="1">"c1937"</definedName>
    <definedName name="IQ_LFCF_2YR_ANN_CAGR" hidden="1">"c6170"</definedName>
    <definedName name="IQ_LFCF_2YR_ANN_GROWTH" hidden="1">"c1938"</definedName>
    <definedName name="IQ_LFCF_3YR_ANN_CAGR" hidden="1">"c6171"</definedName>
    <definedName name="IQ_LFCF_3YR_ANN_GROWTH" hidden="1">"c1939"</definedName>
    <definedName name="IQ_LFCF_5YR_ANN_CAGR" hidden="1">"c6172"</definedName>
    <definedName name="IQ_LFCF_5YR_ANN_GROWTH" hidden="1">"c1940"</definedName>
    <definedName name="IQ_LFCF_7YR_ANN_CAGR" hidden="1">"c6173"</definedName>
    <definedName name="IQ_LFCF_7YR_ANN_GROWTH" hidden="1">"c1941"</definedName>
    <definedName name="IQ_LFCF_MARGIN" hidden="1">"c1961"</definedName>
    <definedName name="IQ_LH_STATUTORY_SURPLUS" hidden="1">"c2771"</definedName>
    <definedName name="IQ_LICENSED_POPS" hidden="1">"c2123"</definedName>
    <definedName name="IQ_LIFE_EARNED" hidden="1">"c2739"</definedName>
    <definedName name="IQ_LIFOR" hidden="1">"c655"</definedName>
    <definedName name="IQ_LL" hidden="1">"c656"</definedName>
    <definedName name="IQ_LOAN_LEASE_RECEIV" hidden="1">"c657"</definedName>
    <definedName name="IQ_LOAN_LOSS" hidden="1">"c1386"</definedName>
    <definedName name="IQ_LOAN_SERVICE_REV" hidden="1">"c658"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" hidden="1">"c6230"</definedName>
    <definedName name="IQ_LOANS_CF_REIT" hidden="1">"c664"</definedName>
    <definedName name="IQ_LOANS_CF_UTI" hidden="1">"c665"</definedName>
    <definedName name="IQ_LOANS_FOR_SALE" hidden="1">"c666"</definedName>
    <definedName name="IQ_LOANS_PAST_DUE" hidden="1">"c667"</definedName>
    <definedName name="IQ_LOANS_RECEIV_CURRENT" hidden="1">"c668"</definedName>
    <definedName name="IQ_LOANS_RECEIV_LT" hidden="1">"c669"</definedName>
    <definedName name="IQ_LOANS_RECEIV_LT_UTI" hidden="1">"c670"</definedName>
    <definedName name="IQ_LONG_TERM_DEBT" hidden="1">"c1387"</definedName>
    <definedName name="IQ_LONG_TERM_DEBT_OVER_TOTAL_CAP" hidden="1">"c1388"</definedName>
    <definedName name="IQ_LONG_TERM_GROWTH" hidden="1">"c671"</definedName>
    <definedName name="IQ_LONG_TERM_INV" hidden="1">"c1389"</definedName>
    <definedName name="IQ_LOSS_LOSS_EXP" hidden="1">"c672"</definedName>
    <definedName name="IQ_LOSS_TO_NET_EARNED" hidden="1">"c2751"</definedName>
    <definedName name="IQ_LOW_TARGET_PRICE" hidden="1">"c1652"</definedName>
    <definedName name="IQ_LOW_TARGET_PRICE_REUT" hidden="1">"c5318"</definedName>
    <definedName name="IQ_LOWPRICE" hidden="1">"c673"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CAPITAL_LEASES" hidden="1">"c2542"</definedName>
    <definedName name="IQ_LT_DEBT_CAPITAL_LEASES_PCT" hidden="1">"c2543"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" hidden="1">"c6231"</definedName>
    <definedName name="IQ_LT_DEBT_ISSUED_REIT" hidden="1">"c686"</definedName>
    <definedName name="IQ_LT_DEBT_ISSUED_UTI" hidden="1">"c687"</definedName>
    <definedName name="IQ_LT_DEBT_RE" hidden="1">"c6232"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" hidden="1">"c6233"</definedName>
    <definedName name="IQ_LT_DEBT_REPAID_REIT" hidden="1">"c694"</definedName>
    <definedName name="IQ_LT_DEBT_REPAID_UTI" hidden="1">"c695"</definedName>
    <definedName name="IQ_LT_DEBT_UTI" hidden="1">"c696"</definedName>
    <definedName name="IQ_LT_INVEST" hidden="1">"c697"</definedName>
    <definedName name="IQ_LT_INVEST_BR" hidden="1">"c698"</definedName>
    <definedName name="IQ_LT_INVEST_FIN" hidden="1">"c699"</definedName>
    <definedName name="IQ_LT_INVEST_RE" hidden="1">"c6234"</definedName>
    <definedName name="IQ_LT_INVEST_REIT" hidden="1">"c700"</definedName>
    <definedName name="IQ_LT_INVEST_UTI" hidden="1">"c701"</definedName>
    <definedName name="IQ_LT_NOTE_RECEIV" hidden="1">"c1602"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 hidden="1">2000</definedName>
    <definedName name="IQ_LTM_REVENUE_OVER_EMPLOYEES" hidden="1">"c1437"</definedName>
    <definedName name="IQ_MACHINERY" hidden="1">"c711"</definedName>
    <definedName name="IQ_MAINT_CAPEX" hidden="1">"c2947"</definedName>
    <definedName name="IQ_MAINT_CAPEX_ACT_OR_EST" hidden="1">"c4458"</definedName>
    <definedName name="IQ_MAINT_REPAIR" hidden="1">"c2087"</definedName>
    <definedName name="IQ_MAKE_WHOLE_END_DATE" hidden="1">"c2493"</definedName>
    <definedName name="IQ_MAKE_WHOLE_SPREAD" hidden="1">"c2494"</definedName>
    <definedName name="IQ_MAKE_WHOLE_START_DATE" hidden="1">"c2492"</definedName>
    <definedName name="IQ_MARKET_CAP_LFCF" hidden="1">"c2209"</definedName>
    <definedName name="IQ_MARKETCAP" hidden="1">"c712"</definedName>
    <definedName name="IQ_MARKETING" hidden="1">"c2239"</definedName>
    <definedName name="IQ_MATURITY_DATE" hidden="1">"c2146"</definedName>
    <definedName name="IQ_MC_RATIO" hidden="1">"c2783"</definedName>
    <definedName name="IQ_MC_STATUTORY_SURPLUS" hidden="1">"c2772"</definedName>
    <definedName name="IQ_MEDIAN_TARGET_PRICE" hidden="1">"c1650"</definedName>
    <definedName name="IQ_MEDIAN_TARGET_PRICE_REUT" hidden="1">"c5316"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" hidden="1">"c6235"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" hidden="1">"c6236"</definedName>
    <definedName name="IQ_MERGER_RESTRUCTURE_REIT" hidden="1">"c724"</definedName>
    <definedName name="IQ_MERGER_RESTRUCTURE_UTI" hidden="1">"c725"</definedName>
    <definedName name="IQ_MERGER_UTI" hidden="1">"c726"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" hidden="1">"c6237"</definedName>
    <definedName name="IQ_MINORITY_INTEREST_REIT" hidden="1">"c734"</definedName>
    <definedName name="IQ_MINORITY_INTEREST_TOTAL" hidden="1">"c1905"</definedName>
    <definedName name="IQ_MINORITY_INTEREST_UTI" hidden="1">"c735"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KTCAP_TOTAL_REV_FWD" hidden="1">"c742"</definedName>
    <definedName name="IQ_MKTCAP_TOTAL_REV_FWD_REUT" hidden="1">"c4048"</definedName>
    <definedName name="IQ_MM_ACCOUNT" hidden="1">"c743"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MORTGAGE_SERV_RIGHTS" hidden="1">"c2242"</definedName>
    <definedName name="IQ_NET_CHANGE" hidden="1">"c749"</definedName>
    <definedName name="IQ_NET_CLAIM_EXP_INCUR" hidden="1">"c2757"</definedName>
    <definedName name="IQ_NET_CLAIM_EXP_INCUR_CY" hidden="1">"c2761"</definedName>
    <definedName name="IQ_NET_CLAIM_EXP_INCUR_PY" hidden="1">"c2762"</definedName>
    <definedName name="IQ_NET_CLAIM_EXP_PAID" hidden="1">"c2760"</definedName>
    <definedName name="IQ_NET_CLAIM_EXP_PAID_CY" hidden="1">"c2763"</definedName>
    <definedName name="IQ_NET_CLAIM_EXP_PAID_PY" hidden="1">"c2764"</definedName>
    <definedName name="IQ_NET_CLAIM_EXP_RES" hidden="1">"c2754"</definedName>
    <definedName name="IQ_NET_DEBT" hidden="1">"c1584"</definedName>
    <definedName name="IQ_NET_DEBT_EBITDA" hidden="1">"c750"</definedName>
    <definedName name="IQ_NET_DEBT_EBITDA_CAPEX" hidden="1">"c2949"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" hidden="1">"c6238"</definedName>
    <definedName name="IQ_NET_DEBT_ISSUED_REIT" hidden="1">"c756"</definedName>
    <definedName name="IQ_NET_DEBT_ISSUED_UTI" hidden="1">"c757"</definedName>
    <definedName name="IQ_NET_EARNED" hidden="1">"c2734"</definedName>
    <definedName name="IQ_NET_INC" hidden="1">"c1394"</definedName>
    <definedName name="IQ_NET_INC_BEFORE" hidden="1">"c1368"</definedName>
    <definedName name="IQ_NET_INC_CF" hidden="1">"c1397"</definedName>
    <definedName name="IQ_NET_INC_MARGIN" hidden="1">"c1398"</definedName>
    <definedName name="IQ_NET_INT_INC_10YR_ANN_CAGR" hidden="1">"c6100"</definedName>
    <definedName name="IQ_NET_INT_INC_10YR_ANN_GROWTH" hidden="1">"c758"</definedName>
    <definedName name="IQ_NET_INT_INC_1YR_ANN_GROWTH" hidden="1">"c759"</definedName>
    <definedName name="IQ_NET_INT_INC_2YR_ANN_CAGR" hidden="1">"c6101"</definedName>
    <definedName name="IQ_NET_INT_INC_2YR_ANN_GROWTH" hidden="1">"c760"</definedName>
    <definedName name="IQ_NET_INT_INC_3YR_ANN_CAGR" hidden="1">"c6102"</definedName>
    <definedName name="IQ_NET_INT_INC_3YR_ANN_GROWTH" hidden="1">"c761"</definedName>
    <definedName name="IQ_NET_INT_INC_5YR_ANN_CAGR" hidden="1">"c6103"</definedName>
    <definedName name="IQ_NET_INT_INC_5YR_ANN_GROWTH" hidden="1">"c762"</definedName>
    <definedName name="IQ_NET_INT_INC_7YR_ANN_CAGR" hidden="1">"c6104"</definedName>
    <definedName name="IQ_NET_INT_INC_7YR_ANN_GROWTH" hidden="1">"c763"</definedName>
    <definedName name="IQ_NET_INT_INC_BNK" hidden="1">"c764"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MARGIN" hidden="1">"c768"</definedName>
    <definedName name="IQ_NET_INTEREST_EXP" hidden="1">"c769"</definedName>
    <definedName name="IQ_NET_INTEREST_EXP_RE" hidden="1">"c6239"</definedName>
    <definedName name="IQ_NET_INTEREST_EXP_REIT" hidden="1">"c770"</definedName>
    <definedName name="IQ_NET_INTEREST_EXP_UTI" hidden="1">"c771"</definedName>
    <definedName name="IQ_NET_INTEREST_INC" hidden="1">"c1392"</definedName>
    <definedName name="IQ_NET_INTEREST_INC_AFTER_LL" hidden="1">"c1604"</definedName>
    <definedName name="IQ_NET_LIFE_INS_IN_FORCE" hidden="1">"c2769"</definedName>
    <definedName name="IQ_NET_LOANS" hidden="1">"c772"</definedName>
    <definedName name="IQ_NET_LOANS_10YR_ANN_CAGR" hidden="1">"c6105"</definedName>
    <definedName name="IQ_NET_LOANS_10YR_ANN_GROWTH" hidden="1">"c773"</definedName>
    <definedName name="IQ_NET_LOANS_1YR_ANN_GROWTH" hidden="1">"c774"</definedName>
    <definedName name="IQ_NET_LOANS_2YR_ANN_CAGR" hidden="1">"c6106"</definedName>
    <definedName name="IQ_NET_LOANS_2YR_ANN_GROWTH" hidden="1">"c775"</definedName>
    <definedName name="IQ_NET_LOANS_3YR_ANN_CAGR" hidden="1">"c6107"</definedName>
    <definedName name="IQ_NET_LOANS_3YR_ANN_GROWTH" hidden="1">"c776"</definedName>
    <definedName name="IQ_NET_LOANS_5YR_ANN_CAGR" hidden="1">"c6108"</definedName>
    <definedName name="IQ_NET_LOANS_5YR_ANN_GROWTH" hidden="1">"c777"</definedName>
    <definedName name="IQ_NET_LOANS_7YR_ANN_CAGR" hidden="1">"c6109"</definedName>
    <definedName name="IQ_NET_LOANS_7YR_ANN_GROWTH" hidden="1">"c778"</definedName>
    <definedName name="IQ_NET_LOANS_TOTAL_DEPOSITS" hidden="1">"c779"</definedName>
    <definedName name="IQ_NET_RENTAL_EXP_FN" hidden="1">"c780"</definedName>
    <definedName name="IQ_NET_TO_GROSS_EARNED" hidden="1">"c2750"</definedName>
    <definedName name="IQ_NET_TO_GROSS_WRITTEN" hidden="1">"c2729"</definedName>
    <definedName name="IQ_NET_WORKING_CAP" hidden="1">"c3493"</definedName>
    <definedName name="IQ_NET_WRITTEN" hidden="1">"c2728"</definedName>
    <definedName name="IQ_NEW_PREM" hidden="1">"c2785"</definedName>
    <definedName name="IQ_NEXT_CALL_DATE" hidden="1">"c2198"</definedName>
    <definedName name="IQ_NEXT_CALL_PRICE" hidden="1">"c2199"</definedName>
    <definedName name="IQ_NEXT_INT_DATE" hidden="1">"c2187"</definedName>
    <definedName name="IQ_NEXT_PUT_DATE" hidden="1">"c2200"</definedName>
    <definedName name="IQ_NEXT_PUT_PRICE" hidden="1">"c2201"</definedName>
    <definedName name="IQ_NEXT_SINK_FUND_AMOUNT" hidden="1">"c2490"</definedName>
    <definedName name="IQ_NEXT_SINK_FUND_DATE" hidden="1">"c2489"</definedName>
    <definedName name="IQ_NEXT_SINK_FUND_PRICE" hidden="1">"c2491"</definedName>
    <definedName name="IQ_NI" hidden="1">"c781"</definedName>
    <definedName name="IQ_NI_10YR_ANN_CAGR" hidden="1">"c6110"</definedName>
    <definedName name="IQ_NI_10YR_ANN_GROWTH" hidden="1">"c782"</definedName>
    <definedName name="IQ_NI_1YR_ANN_GROWTH" hidden="1">"c783"</definedName>
    <definedName name="IQ_NI_2YR_ANN_CAGR" hidden="1">"c6111"</definedName>
    <definedName name="IQ_NI_2YR_ANN_GROWTH" hidden="1">"c784"</definedName>
    <definedName name="IQ_NI_3YR_ANN_CAGR" hidden="1">"c6112"</definedName>
    <definedName name="IQ_NI_3YR_ANN_GROWTH" hidden="1">"c785"</definedName>
    <definedName name="IQ_NI_5YR_ANN_CAGR" hidden="1">"c6113"</definedName>
    <definedName name="IQ_NI_5YR_ANN_GROWTH" hidden="1">"c786"</definedName>
    <definedName name="IQ_NI_7YR_ANN_CAGR" hidden="1">"c6114"</definedName>
    <definedName name="IQ_NI_7YR_ANN_GROWTH" hidden="1">"c787"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BEFORE_CAPITALIZED" hidden="1">"c792"</definedName>
    <definedName name="IQ_NI_CF" hidden="1">"c793"</definedName>
    <definedName name="IQ_NI_MARGIN" hidden="1">"c794"</definedName>
    <definedName name="IQ_NI_NORM" hidden="1">"c1901"</definedName>
    <definedName name="IQ_NI_NORM_10YR_ANN_CAGR" hidden="1">"c6189"</definedName>
    <definedName name="IQ_NI_NORM_10YR_ANN_GROWTH" hidden="1">"c1960"</definedName>
    <definedName name="IQ_NI_NORM_1YR_ANN_GROWTH" hidden="1">"c1955"</definedName>
    <definedName name="IQ_NI_NORM_2YR_ANN_CAGR" hidden="1">"c6185"</definedName>
    <definedName name="IQ_NI_NORM_2YR_ANN_GROWTH" hidden="1">"c1956"</definedName>
    <definedName name="IQ_NI_NORM_3YR_ANN_CAGR" hidden="1">"c6186"</definedName>
    <definedName name="IQ_NI_NORM_3YR_ANN_GROWTH" hidden="1">"c1957"</definedName>
    <definedName name="IQ_NI_NORM_5YR_ANN_CAGR" hidden="1">"c6187"</definedName>
    <definedName name="IQ_NI_NORM_5YR_ANN_GROWTH" hidden="1">"c1958"</definedName>
    <definedName name="IQ_NI_NORM_7YR_ANN_CAGR" hidden="1">"c6188"</definedName>
    <definedName name="IQ_NI_NORM_7YR_ANN_GROWTH" hidden="1">"c1959"</definedName>
    <definedName name="IQ_NI_NORM_MARGIN" hidden="1">"c1964"</definedName>
    <definedName name="IQ_NI_SBC_ACT_OR_EST" hidden="1">"c4474"</definedName>
    <definedName name="IQ_NI_SBC_GW_ACT_OR_EST" hidden="1">"c4478"</definedName>
    <definedName name="IQ_NI_SFAS" hidden="1">"c795"</definedName>
    <definedName name="IQ_NOL_CF_1YR" hidden="1">"c3465"</definedName>
    <definedName name="IQ_NOL_CF_2YR" hidden="1">"c3466"</definedName>
    <definedName name="IQ_NOL_CF_3YR" hidden="1">"c3467"</definedName>
    <definedName name="IQ_NOL_CF_4YR" hidden="1">"c3468"</definedName>
    <definedName name="IQ_NOL_CF_5YR" hidden="1">"c3469"</definedName>
    <definedName name="IQ_NOL_CF_AFTER_FIVE" hidden="1">"c3470"</definedName>
    <definedName name="IQ_NOL_CF_MAX_YEAR" hidden="1">"c3473"</definedName>
    <definedName name="IQ_NOL_CF_NO_EXP" hidden="1">"c3471"</definedName>
    <definedName name="IQ_NOL_CF_TOTAL" hidden="1">"c3472"</definedName>
    <definedName name="IQ_NON_ACCRUAL_LOANS" hidden="1">"c796"</definedName>
    <definedName name="IQ_NON_CASH" hidden="1">"c1399"</definedName>
    <definedName name="IQ_NON_CASH_ITEMS" hidden="1">"c797"</definedName>
    <definedName name="IQ_NON_INS_EXP" hidden="1">"c798"</definedName>
    <definedName name="IQ_NON_INS_REV" hidden="1">"c799"</definedName>
    <definedName name="IQ_NON_INT_BEAR_CD" hidden="1">"c800"</definedName>
    <definedName name="IQ_NON_INT_EXP" hidden="1">"c801"</definedName>
    <definedName name="IQ_NON_INT_INC" hidden="1">"c802"</definedName>
    <definedName name="IQ_NON_INT_INC_10YR_ANN_CAGR" hidden="1">"c6115"</definedName>
    <definedName name="IQ_NON_INT_INC_10YR_ANN_GROWTH" hidden="1">"c803"</definedName>
    <definedName name="IQ_NON_INT_INC_1YR_ANN_GROWTH" hidden="1">"c804"</definedName>
    <definedName name="IQ_NON_INT_INC_2YR_ANN_CAGR" hidden="1">"c6116"</definedName>
    <definedName name="IQ_NON_INT_INC_2YR_ANN_GROWTH" hidden="1">"c805"</definedName>
    <definedName name="IQ_NON_INT_INC_3YR_ANN_CAGR" hidden="1">"c6117"</definedName>
    <definedName name="IQ_NON_INT_INC_3YR_ANN_GROWTH" hidden="1">"c806"</definedName>
    <definedName name="IQ_NON_INT_INC_5YR_ANN_CAGR" hidden="1">"c6118"</definedName>
    <definedName name="IQ_NON_INT_INC_5YR_ANN_GROWTH" hidden="1">"c807"</definedName>
    <definedName name="IQ_NON_INT_INC_7YR_ANN_CAGR" hidden="1">"c6119"</definedName>
    <definedName name="IQ_NON_INT_INC_7YR_ANN_GROWTH" hidden="1">"c808"</definedName>
    <definedName name="IQ_NON_INTEREST_EXP" hidden="1">"c1400"</definedName>
    <definedName name="IQ_NON_INTEREST_INC" hidden="1">"c1401"</definedName>
    <definedName name="IQ_NON_OPER_EXP" hidden="1">"c809"</definedName>
    <definedName name="IQ_NON_OPER_INC" hidden="1">"c810"</definedName>
    <definedName name="IQ_NON_PERF_ASSETS_10YR_ANN_CAGR" hidden="1">"c6120"</definedName>
    <definedName name="IQ_NON_PERF_ASSETS_10YR_ANN_GROWTH" hidden="1">"c811"</definedName>
    <definedName name="IQ_NON_PERF_ASSETS_1YR_ANN_GROWTH" hidden="1">"c812"</definedName>
    <definedName name="IQ_NON_PERF_ASSETS_2YR_ANN_CAGR" hidden="1">"c6121"</definedName>
    <definedName name="IQ_NON_PERF_ASSETS_2YR_ANN_GROWTH" hidden="1">"c813"</definedName>
    <definedName name="IQ_NON_PERF_ASSETS_3YR_ANN_CAGR" hidden="1">"c6122"</definedName>
    <definedName name="IQ_NON_PERF_ASSETS_3YR_ANN_GROWTH" hidden="1">"c814"</definedName>
    <definedName name="IQ_NON_PERF_ASSETS_5YR_ANN_CAGR" hidden="1">"c6123"</definedName>
    <definedName name="IQ_NON_PERF_ASSETS_5YR_ANN_GROWTH" hidden="1">"c815"</definedName>
    <definedName name="IQ_NON_PERF_ASSETS_7YR_ANN_CAGR" hidden="1">"c6124"</definedName>
    <definedName name="IQ_NON_PERF_ASSETS_7YR_ANN_GROWTH" hidden="1">"c816"</definedName>
    <definedName name="IQ_NON_PERF_ASSETS_TOTAL_ASSETS" hidden="1">"c817"</definedName>
    <definedName name="IQ_NON_PERF_LOANS_10YR_ANN_CAGR" hidden="1">"c6125"</definedName>
    <definedName name="IQ_NON_PERF_LOANS_10YR_ANN_GROWTH" hidden="1">"c818"</definedName>
    <definedName name="IQ_NON_PERF_LOANS_1YR_ANN_GROWTH" hidden="1">"c819"</definedName>
    <definedName name="IQ_NON_PERF_LOANS_2YR_ANN_CAGR" hidden="1">"c6126"</definedName>
    <definedName name="IQ_NON_PERF_LOANS_2YR_ANN_GROWTH" hidden="1">"c820"</definedName>
    <definedName name="IQ_NON_PERF_LOANS_3YR_ANN_CAGR" hidden="1">"c6127"</definedName>
    <definedName name="IQ_NON_PERF_LOANS_3YR_ANN_GROWTH" hidden="1">"c821"</definedName>
    <definedName name="IQ_NON_PERF_LOANS_5YR_ANN_CAGR" hidden="1">"c6128"</definedName>
    <definedName name="IQ_NON_PERF_LOANS_5YR_ANN_GROWTH" hidden="1">"c822"</definedName>
    <definedName name="IQ_NON_PERF_LOANS_7YR_ANN_CAGR" hidden="1">"c6129"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LOANS" hidden="1">"c827"</definedName>
    <definedName name="IQ_NONCASH_PENSION_EXP" hidden="1">"c3000"</definedName>
    <definedName name="IQ_NONRECOURSE_DEBT" hidden="1">"c2550"</definedName>
    <definedName name="IQ_NONRECOURSE_DEBT_PCT" hidden="1">"c2551"</definedName>
    <definedName name="IQ_NONUTIL_REV" hidden="1">"c2089"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"c1423"</definedName>
    <definedName name="IQ_NOW_ACCOUNT" hidden="1">"c828"</definedName>
    <definedName name="IQ_NPPE" hidden="1">"c829"</definedName>
    <definedName name="IQ_NPPE_10YR_ANN_CAGR" hidden="1">"c6130"</definedName>
    <definedName name="IQ_NPPE_10YR_ANN_GROWTH" hidden="1">"c830"</definedName>
    <definedName name="IQ_NPPE_1YR_ANN_GROWTH" hidden="1">"c831"</definedName>
    <definedName name="IQ_NPPE_2YR_ANN_CAGR" hidden="1">"c6131"</definedName>
    <definedName name="IQ_NPPE_2YR_ANN_GROWTH" hidden="1">"c832"</definedName>
    <definedName name="IQ_NPPE_3YR_ANN_CAGR" hidden="1">"c6132"</definedName>
    <definedName name="IQ_NPPE_3YR_ANN_GROWTH" hidden="1">"c833"</definedName>
    <definedName name="IQ_NPPE_5YR_ANN_CAGR" hidden="1">"c6133"</definedName>
    <definedName name="IQ_NPPE_5YR_ANN_GROWTH" hidden="1">"c834"</definedName>
    <definedName name="IQ_NPPE_7YR_ANN_CAGR" hidden="1">"c6134"</definedName>
    <definedName name="IQ_NPPE_7YR_ANN_GROWTH" hidden="1">"c835"</definedName>
    <definedName name="IQ_NTM" hidden="1">6000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BER_ADRHOLDERS" hidden="1">"c1970"</definedName>
    <definedName name="IQ_NUMBER_DAYS" hidden="1">"c1904"</definedName>
    <definedName name="IQ_NUMBER_SHAREHOLDERS" hidden="1">"c1967"</definedName>
    <definedName name="IQ_NUMBER_SHAREHOLDERS_CLASSA" hidden="1">"c1968"</definedName>
    <definedName name="IQ_NUMBER_SHAREHOLDERS_OTHER" hidden="1">"c1969"</definedName>
    <definedName name="IQ_OCCUPY_EXP" hidden="1">"c839"</definedName>
    <definedName name="IQ_OFFER_AMOUNT" hidden="1">"c2152"</definedName>
    <definedName name="IQ_OFFER_COUPON" hidden="1">"c2147"</definedName>
    <definedName name="IQ_OFFER_COUPON_TYPE" hidden="1">"c2148"</definedName>
    <definedName name="IQ_OFFER_DATE" hidden="1">"c2149"</definedName>
    <definedName name="IQ_OFFER_PRICE" hidden="1">"c2150"</definedName>
    <definedName name="IQ_OFFER_YIELD" hidden="1">"c2151"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AVG_DAILY_PROD_GAS" hidden="1">"c2910"</definedName>
    <definedName name="IQ_OG_AVG_DAILY_PROD_NGL" hidden="1">"c2911"</definedName>
    <definedName name="IQ_OG_AVG_DAILY_PROD_OIL" hidden="1">"c2909"</definedName>
    <definedName name="IQ_OG_AVG_DAILY_SALES_VOL_EQ_INC_GAS" hidden="1">"c5797"</definedName>
    <definedName name="IQ_OG_AVG_DAILY_SALES_VOL_EQ_INC_NGL" hidden="1">"c5798"</definedName>
    <definedName name="IQ_OG_AVG_DAILY_SALES_VOL_EQ_INC_OIL" hidden="1">"c5796"</definedName>
    <definedName name="IQ_OG_CLOSE_BALANCE_GAS" hidden="1">"c2049"</definedName>
    <definedName name="IQ_OG_CLOSE_BALANCE_NGL" hidden="1">"c2920"</definedName>
    <definedName name="IQ_OG_CLOSE_BALANCE_OIL" hidden="1">"c2037"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ACRE_GROSS_EQ_INC" hidden="1">"c5802"</definedName>
    <definedName name="IQ_OG_DEVELOPED_ACRE_NET_EQ_INC" hidden="1">"c5803"</definedName>
    <definedName name="IQ_OG_DEVELOPED_RESERVES_GAS" hidden="1">"c2053"</definedName>
    <definedName name="IQ_OG_DEVELOPED_RESERVES_NGL" hidden="1">"c2922"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DCF" hidden="1">"c2002"</definedName>
    <definedName name="IQ_OG_EQUITY_DCF_GAS" hidden="1">"c2022"</definedName>
    <definedName name="IQ_OG_EQUITY_DCF_OIL" hidden="1">"c2012"</definedName>
    <definedName name="IQ_OG_EQUTY_RESERVES_GAS" hidden="1">"c2050"</definedName>
    <definedName name="IQ_OG_EQUTY_RESERVES_NGL" hidden="1">"c2921"</definedName>
    <definedName name="IQ_OG_EQUTY_RESERVES_OIL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T_DISC_GAS" hidden="1">"c2043"</definedName>
    <definedName name="IQ_OG_EXT_DISC_NGL" hidden="1">"c2914"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IMPROVED_RECOVERY_GAS" hidden="1">"c2044"</definedName>
    <definedName name="IQ_OG_IMPROVED_RECOVERY_NGL" hidden="1">"c2915"</definedName>
    <definedName name="IQ_OG_IMPROVED_RECOVERY_OIL" hidden="1">"c2032"</definedName>
    <definedName name="IQ_OG_LIQUID_GAS_PRICE_HEDGED" hidden="1">"c2233"</definedName>
    <definedName name="IQ_OG_LIQUID_GAS_PRICE_UNHEDGED" hidden="1">"c2234"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NGL" hidden="1">"c2912"</definedName>
    <definedName name="IQ_OG_OPEN_BALANCE_OIL" hidden="1">"c2029"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NGL" hidden="1">"c2919"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ODUCTION_GAS" hidden="1">"c2047"</definedName>
    <definedName name="IQ_OG_PRODUCTION_NGL" hidden="1">"c2918"</definedName>
    <definedName name="IQ_OG_PRODUCTION_OIL" hidden="1">"c2035"</definedName>
    <definedName name="IQ_OG_PURCHASES_GAS" hidden="1">"c2045"</definedName>
    <definedName name="IQ_OG_PURCHASES_NGL" hidden="1">"c2916"</definedName>
    <definedName name="IQ_OG_PURCHASES_OIL" hidden="1">"c2033"</definedName>
    <definedName name="IQ_OG_RESERVE_REPLACEMENT_RATIO" hidden="1">"c5799"</definedName>
    <definedName name="IQ_OG_REVISIONS_GAS" hidden="1">"c2042"</definedName>
    <definedName name="IQ_OG_REVISIONS_NGL" hidden="1">"c2913"</definedName>
    <definedName name="IQ_OG_REVISIONS_OIL" hidden="1">"c2030"</definedName>
    <definedName name="IQ_OG_SALES_IN_PLACE_GAS" hidden="1">"c2046"</definedName>
    <definedName name="IQ_OG_SALES_IN_PLACE_NGL" hidden="1">"c2917"</definedName>
    <definedName name="IQ_OG_SALES_IN_PLACE_OIL" hidden="1">"c2034"</definedName>
    <definedName name="IQ_OG_SALES_VOL_EQ_INC_GAS" hidden="1">"c5794"</definedName>
    <definedName name="IQ_OG_SALES_VOL_EQ_INC_NGL" hidden="1">"c5795"</definedName>
    <definedName name="IQ_OG_SALES_VOL_EQ_INC_OIL" hidden="1">"c5793"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PRODUCTION" hidden="1">"c2060"</definedName>
    <definedName name="IQ_OG_TOTAL_LIQUID_GAS_PRODUCTION" hidden="1">"c2235"</definedName>
    <definedName name="IQ_OG_TOTAL_OIL_PRODUCTION" hidden="1">"c2059"</definedName>
    <definedName name="IQ_OG_UNDEVELOPED_ACRE_GROSS_EQ_INC" hidden="1">"c5800"</definedName>
    <definedName name="IQ_OG_UNDEVELOPED_ACRE_NET_EQ_INC" hidden="1">"c5801"</definedName>
    <definedName name="IQ_OG_UNDEVELOPED_RESERVES_GAS" hidden="1">"c2051"</definedName>
    <definedName name="IQ_OG_UNDEVELOPED_RESERVES_NGL" hidden="1">"c2923"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B_ACCRUED_LIAB" hidden="1">"c3308"</definedName>
    <definedName name="IQ_OPEB_ACCRUED_LIAB_DOM" hidden="1">"c3306"</definedName>
    <definedName name="IQ_OPEB_ACCRUED_LIAB_FOREIGN" hidden="1">"c3307"</definedName>
    <definedName name="IQ_OPEB_ACCUM_OTHER_CI" hidden="1">"c3314"</definedName>
    <definedName name="IQ_OPEB_ACCUM_OTHER_CI_DOM" hidden="1">"c3312"</definedName>
    <definedName name="IQ_OPEB_ACCUM_OTHER_CI_FOREIGN" hidden="1">"c3313"</definedName>
    <definedName name="IQ_OPEB_ACT_NEXT" hidden="1">"c5774"</definedName>
    <definedName name="IQ_OPEB_ACT_NEXT_DOM" hidden="1">"c5772"</definedName>
    <definedName name="IQ_OPEB_ACT_NEXT_FOREIGN" hidden="1">"c5773"</definedName>
    <definedName name="IQ_OPEB_AMT_RECOG_NEXT" hidden="1">"c5783"</definedName>
    <definedName name="IQ_OPEB_AMT_RECOG_NEXT_DOM" hidden="1">"c5781"</definedName>
    <definedName name="IQ_OPEB_AMT_RECOG_NEXT_FOREIGN" hidden="1">"c5782"</definedName>
    <definedName name="IQ_OPEB_ASSETS" hidden="1">"c3356"</definedName>
    <definedName name="IQ_OPEB_ASSETS_ACQ" hidden="1">"c3347"</definedName>
    <definedName name="IQ_OPEB_ASSETS_ACQ_DOM" hidden="1">"c3345"</definedName>
    <definedName name="IQ_OPEB_ASSETS_ACQ_FOREIGN" hidden="1">"c3346"</definedName>
    <definedName name="IQ_OPEB_ASSETS_ACTUAL_RETURN" hidden="1">"c3332"</definedName>
    <definedName name="IQ_OPEB_ASSETS_ACTUAL_RETURN_DOM" hidden="1">"c3330"</definedName>
    <definedName name="IQ_OPEB_ASSETS_ACTUAL_RETURN_FOREIGN" hidden="1">"c3331"</definedName>
    <definedName name="IQ_OPEB_ASSETS_BEG" hidden="1">"c3329"</definedName>
    <definedName name="IQ_OPEB_ASSETS_BEG_DOM" hidden="1">"c3327"</definedName>
    <definedName name="IQ_OPEB_ASSETS_BEG_FOREIGN" hidden="1">"c3328"</definedName>
    <definedName name="IQ_OPEB_ASSETS_BENEFITS_PAID" hidden="1">"c3341"</definedName>
    <definedName name="IQ_OPEB_ASSETS_BENEFITS_PAID_DOM" hidden="1">"c3339"</definedName>
    <definedName name="IQ_OPEB_ASSETS_BENEFITS_PAID_FOREIGN" hidden="1">"c3340"</definedName>
    <definedName name="IQ_OPEB_ASSETS_CURTAIL" hidden="1">"c3350"</definedName>
    <definedName name="IQ_OPEB_ASSETS_CURTAIL_DOM" hidden="1">"c3348"</definedName>
    <definedName name="IQ_OPEB_ASSETS_CURTAIL_FOREIGN" hidden="1">"c3349"</definedName>
    <definedName name="IQ_OPEB_ASSETS_DOM" hidden="1">"c3354"</definedName>
    <definedName name="IQ_OPEB_ASSETS_EMPLOYER_CONTRIBUTIONS" hidden="1">"c3335"</definedName>
    <definedName name="IQ_OPEB_ASSETS_EMPLOYER_CONTRIBUTIONS_DOM" hidden="1">"c3333"</definedName>
    <definedName name="IQ_OPEB_ASSETS_EMPLOYER_CONTRIBUTIONS_FOREIGN" hidden="1">"c3334"</definedName>
    <definedName name="IQ_OPEB_ASSETS_FOREIGN" hidden="1">"c3355"</definedName>
    <definedName name="IQ_OPEB_ASSETS_FX_ADJ" hidden="1">"c3344"</definedName>
    <definedName name="IQ_OPEB_ASSETS_FX_ADJ_DOM" hidden="1">"c3342"</definedName>
    <definedName name="IQ_OPEB_ASSETS_FX_ADJ_FOREIGN" hidden="1">"c3343"</definedName>
    <definedName name="IQ_OPEB_ASSETS_OTHER_PLAN_ADJ" hidden="1">"c3353"</definedName>
    <definedName name="IQ_OPEB_ASSETS_OTHER_PLAN_ADJ_DOM" hidden="1">"c3351"</definedName>
    <definedName name="IQ_OPEB_ASSETS_OTHER_PLAN_ADJ_FOREIGN" hidden="1">"c3352"</definedName>
    <definedName name="IQ_OPEB_ASSETS_PARTICIP_CONTRIBUTIONS" hidden="1">"c3338"</definedName>
    <definedName name="IQ_OPEB_ASSETS_PARTICIP_CONTRIBUTIONS_DOM" hidden="1">"c3336"</definedName>
    <definedName name="IQ_OPEB_ASSETS_PARTICIP_CONTRIBUTIONS_FOREIGN" hidden="1">"c3337"</definedName>
    <definedName name="IQ_OPEB_BENEFIT_INFO_DATE" hidden="1">"c3410"</definedName>
    <definedName name="IQ_OPEB_BENEFIT_INFO_DATE_DOM" hidden="1">"c3408"</definedName>
    <definedName name="IQ_OPEB_BENEFIT_INFO_DATE_FOREIGN" hidden="1">"c3409"</definedName>
    <definedName name="IQ_OPEB_BREAKDOWN_EQ" hidden="1">"c3275"</definedName>
    <definedName name="IQ_OPEB_BREAKDOWN_EQ_DOM" hidden="1">"c3273"</definedName>
    <definedName name="IQ_OPEB_BREAKDOWN_EQ_FOREIGN" hidden="1">"c3274"</definedName>
    <definedName name="IQ_OPEB_BREAKDOWN_FI" hidden="1">"c3278"</definedName>
    <definedName name="IQ_OPEB_BREAKDOWN_FI_DOM" hidden="1">"c3276"</definedName>
    <definedName name="IQ_OPEB_BREAKDOWN_FI_FOREIGN" hidden="1">"c3277"</definedName>
    <definedName name="IQ_OPEB_BREAKDOWN_OTHER" hidden="1">"c3284"</definedName>
    <definedName name="IQ_OPEB_BREAKDOWN_OTHER_DOM" hidden="1">"c3282"</definedName>
    <definedName name="IQ_OPEB_BREAKDOWN_OTHER_FOREIGN" hidden="1">"c3283"</definedName>
    <definedName name="IQ_OPEB_BREAKDOWN_PCT_EQ" hidden="1">"c3263"</definedName>
    <definedName name="IQ_OPEB_BREAKDOWN_PCT_EQ_DOM" hidden="1">"c3261"</definedName>
    <definedName name="IQ_OPEB_BREAKDOWN_PCT_EQ_FOREIGN" hidden="1">"c3262"</definedName>
    <definedName name="IQ_OPEB_BREAKDOWN_PCT_FI" hidden="1">"c3266"</definedName>
    <definedName name="IQ_OPEB_BREAKDOWN_PCT_FI_DOM" hidden="1">"c3264"</definedName>
    <definedName name="IQ_OPEB_BREAKDOWN_PCT_FI_FOREIGN" hidden="1">"c3265"</definedName>
    <definedName name="IQ_OPEB_BREAKDOWN_PCT_OTHER" hidden="1">"c3272"</definedName>
    <definedName name="IQ_OPEB_BREAKDOWN_PCT_OTHER_DOM" hidden="1">"c3270"</definedName>
    <definedName name="IQ_OPEB_BREAKDOWN_PCT_OTHER_FOREIGN" hidden="1">"c3271"</definedName>
    <definedName name="IQ_OPEB_BREAKDOWN_PCT_RE" hidden="1">"c3269"</definedName>
    <definedName name="IQ_OPEB_BREAKDOWN_PCT_RE_DOM" hidden="1">"c3267"</definedName>
    <definedName name="IQ_OPEB_BREAKDOWN_PCT_RE_FOREIGN" hidden="1">"c3268"</definedName>
    <definedName name="IQ_OPEB_BREAKDOWN_RE" hidden="1">"c3281"</definedName>
    <definedName name="IQ_OPEB_BREAKDOWN_RE_DOM" hidden="1">"c3279"</definedName>
    <definedName name="IQ_OPEB_BREAKDOWN_RE_FOREIGN" hidden="1">"c3280"</definedName>
    <definedName name="IQ_OPEB_CI_ACT" hidden="1">"c5759"</definedName>
    <definedName name="IQ_OPEB_CI_ACT_DOM" hidden="1">"c5757"</definedName>
    <definedName name="IQ_OPEB_CI_ACT_FOREIGN" hidden="1">"c5758"</definedName>
    <definedName name="IQ_OPEB_CI_NET_AMT_RECOG" hidden="1">"c5771"</definedName>
    <definedName name="IQ_OPEB_CI_NET_AMT_RECOG_DOM" hidden="1">"c5769"</definedName>
    <definedName name="IQ_OPEB_CI_NET_AMT_RECOG_FOREIGN" hidden="1">"c5770"</definedName>
    <definedName name="IQ_OPEB_CI_OTHER_MISC_ADJ" hidden="1">"c5768"</definedName>
    <definedName name="IQ_OPEB_CI_OTHER_MISC_ADJ_DOM" hidden="1">"c5766"</definedName>
    <definedName name="IQ_OPEB_CI_OTHER_MISC_ADJ_FOREIGN" hidden="1">"c5767"</definedName>
    <definedName name="IQ_OPEB_CI_PRIOR_SERVICE" hidden="1">"c5762"</definedName>
    <definedName name="IQ_OPEB_CI_PRIOR_SERVICE_DOM" hidden="1">"c5760"</definedName>
    <definedName name="IQ_OPEB_CI_PRIOR_SERVICE_FOREIGN" hidden="1">"c5761"</definedName>
    <definedName name="IQ_OPEB_CI_TRANSITION" hidden="1">"c5765"</definedName>
    <definedName name="IQ_OPEB_CI_TRANSITION_DOM" hidden="1">"c5763"</definedName>
    <definedName name="IQ_OPEB_CI_TRANSITION_FOREIGN" hidden="1">"c5764"</definedName>
    <definedName name="IQ_OPEB_CL" hidden="1">"c5789"</definedName>
    <definedName name="IQ_OPEB_CL_DOM" hidden="1">"c5787"</definedName>
    <definedName name="IQ_OPEB_CL_FOREIGN" hidden="1">"c5788"</definedName>
    <definedName name="IQ_OPEB_DECREASE_EFFECT_PBO" hidden="1">"c3458"</definedName>
    <definedName name="IQ_OPEB_DECREASE_EFFECT_PBO_DOM" hidden="1">"c3456"</definedName>
    <definedName name="IQ_OPEB_DECREASE_EFFECT_PBO_FOREIGN" hidden="1">"c3457"</definedName>
    <definedName name="IQ_OPEB_DECREASE_EFFECT_SERVICE_INT_COST" hidden="1">"c3455"</definedName>
    <definedName name="IQ_OPEB_DECREASE_EFFECT_SERVICE_INT_COST_DOM" hidden="1">"c3453"</definedName>
    <definedName name="IQ_OPEB_DECREASE_EFFECT_SERVICE_INT_COST_FOREIGN" hidden="1">"c3454"</definedName>
    <definedName name="IQ_OPEB_DISC_RATE_MAX" hidden="1">"c3422"</definedName>
    <definedName name="IQ_OPEB_DISC_RATE_MAX_DOM" hidden="1">"c3420"</definedName>
    <definedName name="IQ_OPEB_DISC_RATE_MAX_FOREIGN" hidden="1">"c3421"</definedName>
    <definedName name="IQ_OPEB_DISC_RATE_MIN" hidden="1">"c3419"</definedName>
    <definedName name="IQ_OPEB_DISC_RATE_MIN_DOM" hidden="1">"c3417"</definedName>
    <definedName name="IQ_OPEB_DISC_RATE_MIN_FOREIGN" hidden="1">"c3418"</definedName>
    <definedName name="IQ_OPEB_EST_BENEFIT_1YR" hidden="1">"c3287"</definedName>
    <definedName name="IQ_OPEB_EST_BENEFIT_1YR_DOM" hidden="1">"c3285"</definedName>
    <definedName name="IQ_OPEB_EST_BENEFIT_1YR_FOREIGN" hidden="1">"c3286"</definedName>
    <definedName name="IQ_OPEB_EST_BENEFIT_2YR" hidden="1">"c3290"</definedName>
    <definedName name="IQ_OPEB_EST_BENEFIT_2YR_DOM" hidden="1">"c3288"</definedName>
    <definedName name="IQ_OPEB_EST_BENEFIT_2YR_FOREIGN" hidden="1">"c3289"</definedName>
    <definedName name="IQ_OPEB_EST_BENEFIT_3YR" hidden="1">"c3293"</definedName>
    <definedName name="IQ_OPEB_EST_BENEFIT_3YR_DOM" hidden="1">"c3291"</definedName>
    <definedName name="IQ_OPEB_EST_BENEFIT_3YR_FOREIGN" hidden="1">"c3292"</definedName>
    <definedName name="IQ_OPEB_EST_BENEFIT_4YR" hidden="1">"c3296"</definedName>
    <definedName name="IQ_OPEB_EST_BENEFIT_4YR_DOM" hidden="1">"c3294"</definedName>
    <definedName name="IQ_OPEB_EST_BENEFIT_4YR_FOREIGN" hidden="1">"c3295"</definedName>
    <definedName name="IQ_OPEB_EST_BENEFIT_5YR" hidden="1">"c3299"</definedName>
    <definedName name="IQ_OPEB_EST_BENEFIT_5YR_DOM" hidden="1">"c3297"</definedName>
    <definedName name="IQ_OPEB_EST_BENEFIT_5YR_FOREIGN" hidden="1">"c3298"</definedName>
    <definedName name="IQ_OPEB_EST_BENEFIT_AFTER5" hidden="1">"c3302"</definedName>
    <definedName name="IQ_OPEB_EST_BENEFIT_AFTER5_DOM" hidden="1">"c3300"</definedName>
    <definedName name="IQ_OPEB_EST_BENEFIT_AFTER5_FOREIGN" hidden="1">"c3301"</definedName>
    <definedName name="IQ_OPEB_EXP_RATE_RETURN_MAX" hidden="1">"c3434"</definedName>
    <definedName name="IQ_OPEB_EXP_RATE_RETURN_MAX_DOM" hidden="1">"c3432"</definedName>
    <definedName name="IQ_OPEB_EXP_RATE_RETURN_MAX_FOREIGN" hidden="1">"c3433"</definedName>
    <definedName name="IQ_OPEB_EXP_RATE_RETURN_MIN" hidden="1">"c3431"</definedName>
    <definedName name="IQ_OPEB_EXP_RATE_RETURN_MIN_DOM" hidden="1">"c3429"</definedName>
    <definedName name="IQ_OPEB_EXP_RATE_RETURN_MIN_FOREIGN" hidden="1">"c3430"</definedName>
    <definedName name="IQ_OPEB_EXP_RETURN" hidden="1">"c3398"</definedName>
    <definedName name="IQ_OPEB_EXP_RETURN_DOM" hidden="1">"c3396"</definedName>
    <definedName name="IQ_OPEB_EXP_RETURN_FOREIGN" hidden="1">"c3397"</definedName>
    <definedName name="IQ_OPEB_HEALTH_COST_TREND_INITIAL" hidden="1">"c3413"</definedName>
    <definedName name="IQ_OPEB_HEALTH_COST_TREND_INITIAL_DOM" hidden="1">"c3411"</definedName>
    <definedName name="IQ_OPEB_HEALTH_COST_TREND_INITIAL_FOREIGN" hidden="1">"c3412"</definedName>
    <definedName name="IQ_OPEB_HEALTH_COST_TREND_ULTIMATE" hidden="1">"c3416"</definedName>
    <definedName name="IQ_OPEB_HEALTH_COST_TREND_ULTIMATE_DOM" hidden="1">"c3414"</definedName>
    <definedName name="IQ_OPEB_HEALTH_COST_TREND_ULTIMATE_FOREIGN" hidden="1">"c3415"</definedName>
    <definedName name="IQ_OPEB_INCREASE_EFFECT_PBO" hidden="1">"c3452"</definedName>
    <definedName name="IQ_OPEB_INCREASE_EFFECT_PBO_DOM" hidden="1">"c3450"</definedName>
    <definedName name="IQ_OPEB_INCREASE_EFFECT_PBO_FOREIGN" hidden="1">"c3451"</definedName>
    <definedName name="IQ_OPEB_INCREASE_EFFECT_SERVICE_INT_COST" hidden="1">"c3449"</definedName>
    <definedName name="IQ_OPEB_INCREASE_EFFECT_SERVICE_INT_COST_DOM" hidden="1">"c3447"</definedName>
    <definedName name="IQ_OPEB_INCREASE_EFFECT_SERVICE_INT_COST_FOREIGN" hidden="1">"c3448"</definedName>
    <definedName name="IQ_OPEB_INTAN_ASSETS" hidden="1">"c3311"</definedName>
    <definedName name="IQ_OPEB_INTAN_ASSETS_DOM" hidden="1">"c3309"</definedName>
    <definedName name="IQ_OPEB_INTAN_ASSETS_FOREIGN" hidden="1">"c3310"</definedName>
    <definedName name="IQ_OPEB_INTEREST_COST" hidden="1">"c3395"</definedName>
    <definedName name="IQ_OPEB_INTEREST_COST_DOM" hidden="1">"c3393"</definedName>
    <definedName name="IQ_OPEB_INTEREST_COST_FOREIGN" hidden="1">"c3394"</definedName>
    <definedName name="IQ_OPEB_LT_ASSETS" hidden="1">"c5786"</definedName>
    <definedName name="IQ_OPEB_LT_ASSETS_DOM" hidden="1">"c5784"</definedName>
    <definedName name="IQ_OPEB_LT_ASSETS_FOREIGN" hidden="1">"c5785"</definedName>
    <definedName name="IQ_OPEB_LT_LIAB" hidden="1">"c5792"</definedName>
    <definedName name="IQ_OPEB_LT_LIAB_DOM" hidden="1">"c5790"</definedName>
    <definedName name="IQ_OPEB_LT_LIAB_FOREIGN" hidden="1">"c5791"</definedName>
    <definedName name="IQ_OPEB_NET_ASSET_RECOG" hidden="1">"c3326"</definedName>
    <definedName name="IQ_OPEB_NET_ASSET_RECOG_DOM" hidden="1">"c3324"</definedName>
    <definedName name="IQ_OPEB_NET_ASSET_RECOG_FOREIGN" hidden="1">"c3325"</definedName>
    <definedName name="IQ_OPEB_OBLIGATION_ACCUMULATED" hidden="1">"c3407"</definedName>
    <definedName name="IQ_OPEB_OBLIGATION_ACCUMULATED_DOM" hidden="1">"c3405"</definedName>
    <definedName name="IQ_OPEB_OBLIGATION_ACCUMULATED_FOREIGN" hidden="1">"c3406"</definedName>
    <definedName name="IQ_OPEB_OBLIGATION_ACQ" hidden="1">"c3380"</definedName>
    <definedName name="IQ_OPEB_OBLIGATION_ACQ_DOM" hidden="1">"c3378"</definedName>
    <definedName name="IQ_OPEB_OBLIGATION_ACQ_FOREIGN" hidden="1">"c3379"</definedName>
    <definedName name="IQ_OPEB_OBLIGATION_ACTUARIAL_GAIN_LOSS" hidden="1">"c3371"</definedName>
    <definedName name="IQ_OPEB_OBLIGATION_ACTUARIAL_GAIN_LOSS_DOM" hidden="1">"c3369"</definedName>
    <definedName name="IQ_OPEB_OBLIGATION_ACTUARIAL_GAIN_LOSS_FOREIGN" hidden="1">"c3370"</definedName>
    <definedName name="IQ_OPEB_OBLIGATION_BEG" hidden="1">"c3359"</definedName>
    <definedName name="IQ_OPEB_OBLIGATION_BEG_DOM" hidden="1">"c3357"</definedName>
    <definedName name="IQ_OPEB_OBLIGATION_BEG_FOREIGN" hidden="1">"c3358"</definedName>
    <definedName name="IQ_OPEB_OBLIGATION_CURTAIL" hidden="1">"c3383"</definedName>
    <definedName name="IQ_OPEB_OBLIGATION_CURTAIL_DOM" hidden="1">"c3381"</definedName>
    <definedName name="IQ_OPEB_OBLIGATION_CURTAIL_FOREIGN" hidden="1">"c3382"</definedName>
    <definedName name="IQ_OPEB_OBLIGATION_EMPLOYEE_CONTRIBUTIONS" hidden="1">"c3368"</definedName>
    <definedName name="IQ_OPEB_OBLIGATION_EMPLOYEE_CONTRIBUTIONS_DOM" hidden="1">"c3366"</definedName>
    <definedName name="IQ_OPEB_OBLIGATION_EMPLOYEE_CONTRIBUTIONS_FOREIGN" hidden="1">"c3367"</definedName>
    <definedName name="IQ_OPEB_OBLIGATION_FX_ADJ" hidden="1">"c3377"</definedName>
    <definedName name="IQ_OPEB_OBLIGATION_FX_ADJ_DOM" hidden="1">"c3375"</definedName>
    <definedName name="IQ_OPEB_OBLIGATION_FX_ADJ_FOREIGN" hidden="1">"c3376"</definedName>
    <definedName name="IQ_OPEB_OBLIGATION_INTEREST_COST" hidden="1">"c3365"</definedName>
    <definedName name="IQ_OPEB_OBLIGATION_INTEREST_COST_DOM" hidden="1">"c3363"</definedName>
    <definedName name="IQ_OPEB_OBLIGATION_INTEREST_COST_FOREIGN" hidden="1">"c3364"</definedName>
    <definedName name="IQ_OPEB_OBLIGATION_OTHER_PLAN_ADJ" hidden="1">"c3386"</definedName>
    <definedName name="IQ_OPEB_OBLIGATION_OTHER_PLAN_ADJ_DOM" hidden="1">"c3384"</definedName>
    <definedName name="IQ_OPEB_OBLIGATION_OTHER_PLAN_ADJ_FOREIGN" hidden="1">"c3385"</definedName>
    <definedName name="IQ_OPEB_OBLIGATION_PAID" hidden="1">"c3374"</definedName>
    <definedName name="IQ_OPEB_OBLIGATION_PAID_DOM" hidden="1">"c3372"</definedName>
    <definedName name="IQ_OPEB_OBLIGATION_PAID_FOREIGN" hidden="1">"c3373"</definedName>
    <definedName name="IQ_OPEB_OBLIGATION_PROJECTED" hidden="1">"c3389"</definedName>
    <definedName name="IQ_OPEB_OBLIGATION_PROJECTED_DOM" hidden="1">"c3387"</definedName>
    <definedName name="IQ_OPEB_OBLIGATION_PROJECTED_FOREIGN" hidden="1">"c3388"</definedName>
    <definedName name="IQ_OPEB_OBLIGATION_SERVICE_COST" hidden="1">"c3362"</definedName>
    <definedName name="IQ_OPEB_OBLIGATION_SERVICE_COST_DOM" hidden="1">"c3360"</definedName>
    <definedName name="IQ_OPEB_OBLIGATION_SERVICE_COST_FOREIGN" hidden="1">"c3361"</definedName>
    <definedName name="IQ_OPEB_OTHER" hidden="1">"c3317"</definedName>
    <definedName name="IQ_OPEB_OTHER_ADJ" hidden="1">"c3323"</definedName>
    <definedName name="IQ_OPEB_OTHER_ADJ_DOM" hidden="1">"c3321"</definedName>
    <definedName name="IQ_OPEB_OTHER_ADJ_FOREIGN" hidden="1">"c3322"</definedName>
    <definedName name="IQ_OPEB_OTHER_COST" hidden="1">"c3401"</definedName>
    <definedName name="IQ_OPEB_OTHER_COST_DOM" hidden="1">"c3399"</definedName>
    <definedName name="IQ_OPEB_OTHER_COST_FOREIGN" hidden="1">"c3400"</definedName>
    <definedName name="IQ_OPEB_OTHER_DOM" hidden="1">"c3315"</definedName>
    <definedName name="IQ_OPEB_OTHER_FOREIGN" hidden="1">"c3316"</definedName>
    <definedName name="IQ_OPEB_PBO_ASSUMED_RATE_RET_MAX" hidden="1">"c3440"</definedName>
    <definedName name="IQ_OPEB_PBO_ASSUMED_RATE_RET_MAX_DOM" hidden="1">"c3438"</definedName>
    <definedName name="IQ_OPEB_PBO_ASSUMED_RATE_RET_MAX_FOREIGN" hidden="1">"c3439"</definedName>
    <definedName name="IQ_OPEB_PBO_ASSUMED_RATE_RET_MIN" hidden="1">"c3437"</definedName>
    <definedName name="IQ_OPEB_PBO_ASSUMED_RATE_RET_MIN_DOM" hidden="1">"c3435"</definedName>
    <definedName name="IQ_OPEB_PBO_ASSUMED_RATE_RET_MIN_FOREIGN" hidden="1">"c3436"</definedName>
    <definedName name="IQ_OPEB_PBO_RATE_COMP_INCREASE_MAX" hidden="1">"c3446"</definedName>
    <definedName name="IQ_OPEB_PBO_RATE_COMP_INCREASE_MAX_DOM" hidden="1">"c3444"</definedName>
    <definedName name="IQ_OPEB_PBO_RATE_COMP_INCREASE_MAX_FOREIGN" hidden="1">"c3445"</definedName>
    <definedName name="IQ_OPEB_PBO_RATE_COMP_INCREASE_MIN" hidden="1">"c3443"</definedName>
    <definedName name="IQ_OPEB_PBO_RATE_COMP_INCREASE_MIN_DOM" hidden="1">"c3441"</definedName>
    <definedName name="IQ_OPEB_PBO_RATE_COMP_INCREASE_MIN_FOREIGN" hidden="1">"c3442"</definedName>
    <definedName name="IQ_OPEB_PREPAID_COST" hidden="1">"c3305"</definedName>
    <definedName name="IQ_OPEB_PREPAID_COST_DOM" hidden="1">"c3303"</definedName>
    <definedName name="IQ_OPEB_PREPAID_COST_FOREIGN" hidden="1">"c3304"</definedName>
    <definedName name="IQ_OPEB_PRIOR_SERVICE_NEXT" hidden="1">"c5777"</definedName>
    <definedName name="IQ_OPEB_PRIOR_SERVICE_NEXT_DOM" hidden="1">"c5775"</definedName>
    <definedName name="IQ_OPEB_PRIOR_SERVICE_NEXT_FOREIGN" hidden="1">"c5776"</definedName>
    <definedName name="IQ_OPEB_RATE_COMP_INCREASE_MAX" hidden="1">"c3428"</definedName>
    <definedName name="IQ_OPEB_RATE_COMP_INCREASE_MAX_DOM" hidden="1">"c3426"</definedName>
    <definedName name="IQ_OPEB_RATE_COMP_INCREASE_MAX_FOREIGN" hidden="1">"c3427"</definedName>
    <definedName name="IQ_OPEB_RATE_COMP_INCREASE_MIN" hidden="1">"c3425"</definedName>
    <definedName name="IQ_OPEB_RATE_COMP_INCREASE_MIN_DOM" hidden="1">"c3423"</definedName>
    <definedName name="IQ_OPEB_RATE_COMP_INCREASE_MIN_FOREIGN" hidden="1">"c3424"</definedName>
    <definedName name="IQ_OPEB_SERVICE_COST" hidden="1">"c3392"</definedName>
    <definedName name="IQ_OPEB_SERVICE_COST_DOM" hidden="1">"c3390"</definedName>
    <definedName name="IQ_OPEB_SERVICE_COST_FOREIGN" hidden="1">"c3391"</definedName>
    <definedName name="IQ_OPEB_TOTAL_COST" hidden="1">"c3404"</definedName>
    <definedName name="IQ_OPEB_TOTAL_COST_DOM" hidden="1">"c3402"</definedName>
    <definedName name="IQ_OPEB_TOTAL_COST_FOREIGN" hidden="1">"c3403"</definedName>
    <definedName name="IQ_OPEB_TRANSITION_NEXT" hidden="1">"c5780"</definedName>
    <definedName name="IQ_OPEB_TRANSITION_NEXT_DOM" hidden="1">"c5778"</definedName>
    <definedName name="IQ_OPEB_TRANSITION_NEXT_FOREIGN" hidden="1">"c5779"</definedName>
    <definedName name="IQ_OPEB_UNRECOG_PRIOR" hidden="1">"c3320"</definedName>
    <definedName name="IQ_OPEB_UNRECOG_PRIOR_DOM" hidden="1">"c3318"</definedName>
    <definedName name="IQ_OPEB_UNRECOG_PRIOR_FOREIGN" hidden="1">"c3319"</definedName>
    <definedName name="IQ_OPENPRICE" hidden="1">"c848"</definedName>
    <definedName name="IQ_OPER_INC" hidden="1">"c849"</definedName>
    <definedName name="IQ_OPER_INC_BR" hidden="1">"c850"</definedName>
    <definedName name="IQ_OPER_INC_FIN" hidden="1">"c851"</definedName>
    <definedName name="IQ_OPER_INC_INS" hidden="1">"c852"</definedName>
    <definedName name="IQ_OPER_INC_MARGIN" hidden="1">"c1448"</definedName>
    <definedName name="IQ_OPER_INC_RE" hidden="1">"c6240"</definedName>
    <definedName name="IQ_OPER_INC_REIT" hidden="1">"c853"</definedName>
    <definedName name="IQ_OPER_INC_UTI" hidden="1">"c854"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ERCISABLE_END_OS" hidden="1">"c5804"</definedName>
    <definedName name="IQ_OPTIONS_EXERCISED" hidden="1">"c2116"</definedName>
    <definedName name="IQ_OPTIONS_GRANTED" hidden="1">"c2673"</definedName>
    <definedName name="IQ_OPTIONS_ISSUED" hidden="1">"c857"</definedName>
    <definedName name="IQ_OPTIONS_STRIKE_PRICE_BEG_OS" hidden="1">"c5805"</definedName>
    <definedName name="IQ_OPTIONS_STRIKE_PRICE_CANCELLED" hidden="1">"c5807"</definedName>
    <definedName name="IQ_OPTIONS_STRIKE_PRICE_EXERCISABLE" hidden="1">"c5808"</definedName>
    <definedName name="IQ_OPTIONS_STRIKE_PRICE_EXERCISED" hidden="1">"c5806"</definedName>
    <definedName name="IQ_OPTIONS_STRIKE_PRICE_GRANTED" hidden="1">"c2678"</definedName>
    <definedName name="IQ_OPTIONS_STRIKE_PRICE_OS" hidden="1">"c2677"</definedName>
    <definedName name="IQ_ORDER_BACKLOG" hidden="1">"c2090"</definedName>
    <definedName name="IQ_OTHER_ADJUST_GROSS_LOANS" hidden="1">"c859"</definedName>
    <definedName name="IQ_OTHER_AMORT" hidden="1">"c5563"</definedName>
    <definedName name="IQ_OTHER_AMORT_BNK" hidden="1">"c5565"</definedName>
    <definedName name="IQ_OTHER_AMORT_BR" hidden="1">"c5566"</definedName>
    <definedName name="IQ_OTHER_AMORT_FIN" hidden="1">"c5567"</definedName>
    <definedName name="IQ_OTHER_AMORT_INS" hidden="1">"c5568"</definedName>
    <definedName name="IQ_OTHER_AMORT_RE" hidden="1">"c6287"</definedName>
    <definedName name="IQ_OTHER_AMORT_REIT" hidden="1">"c5569"</definedName>
    <definedName name="IQ_OTHER_AMORT_UTI" hidden="1">"c5570"</definedName>
    <definedName name="IQ_OTHER_ASSETS" hidden="1">"c860"</definedName>
    <definedName name="IQ_OTHER_ASSETS_BNK" hidden="1">"c861"</definedName>
    <definedName name="IQ_OTHER_ASSETS_BR" hidden="1">"c862"</definedName>
    <definedName name="IQ_OTHER_ASSETS_FIN" hidden="1">"c863"</definedName>
    <definedName name="IQ_OTHER_ASSETS_INS" hidden="1">"c864"</definedName>
    <definedName name="IQ_OTHER_ASSETS_RE" hidden="1">"c6241"</definedName>
    <definedName name="IQ_OTHER_ASSETS_REIT" hidden="1">"c865"</definedName>
    <definedName name="IQ_OTHER_ASSETS_SERV_RIGHTS" hidden="1">"c2243"</definedName>
    <definedName name="IQ_OTHER_ASSETS_UTI" hidden="1">"c866"</definedName>
    <definedName name="IQ_OTHER_BEARING_LIAB" hidden="1">"c1608"</definedName>
    <definedName name="IQ_OTHER_BENEFITS_OBLIGATION" hidden="1">"c867"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" hidden="1">"c6242"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INS" hidden="1">"C6021"</definedName>
    <definedName name="IQ_OTHER_CL_SUPPL_RE" hidden="1">"c6243"</definedName>
    <definedName name="IQ_OTHER_CL_SUPPL_REIT" hidden="1">"c882"</definedName>
    <definedName name="IQ_OTHER_CL_SUPPL_UTI" hidden="1">"c883"</definedName>
    <definedName name="IQ_OTHER_CL_UTI" hidden="1">"c884"</definedName>
    <definedName name="IQ_OTHER_CURRENT_ASSETS" hidden="1">"c1403"</definedName>
    <definedName name="IQ_OTHER_CURRENT_LIAB" hidden="1">"c1404"</definedName>
    <definedName name="IQ_OTHER_DEBT" hidden="1">"c2507"</definedName>
    <definedName name="IQ_OTHER_DEBT_PCT" hidden="1">"c2508"</definedName>
    <definedName name="IQ_OTHER_DEP" hidden="1">"c885"</definedName>
    <definedName name="IQ_OTHER_EARNING" hidden="1">"c1609"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FIN" hidden="1">"c889"</definedName>
    <definedName name="IQ_OTHER_EQUITY_INS" hidden="1">"c890"</definedName>
    <definedName name="IQ_OTHER_EQUITY_RE" hidden="1">"c6244"</definedName>
    <definedName name="IQ_OTHER_EQUITY_REIT" hidden="1">"c891"</definedName>
    <definedName name="IQ_OTHER_EQUITY_UTI" hidden="1">"c892"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" hidden="1">"c6245"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" hidden="1">"c6246"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" hidden="1">"c6247"</definedName>
    <definedName name="IQ_OTHER_INTAN_REIT" hidden="1">"c912"</definedName>
    <definedName name="IQ_OTHER_INTAN_UTI" hidden="1">"c913"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" hidden="1">"c6248"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" hidden="1">"c6249"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"c1408"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" hidden="1">"c6250"</definedName>
    <definedName name="IQ_OTHER_LIAB_LT_REIT" hidden="1">"c940"</definedName>
    <definedName name="IQ_OTHER_LIAB_LT_UTI" hidden="1">"c941"</definedName>
    <definedName name="IQ_OTHER_LIAB_RE" hidden="1">"c6251"</definedName>
    <definedName name="IQ_OTHER_LIAB_REIT" hidden="1">"c942"</definedName>
    <definedName name="IQ_OTHER_LIAB_UTI" hidden="1">"c943"</definedName>
    <definedName name="IQ_OTHER_LIAB_WRITTEN" hidden="1">"c944"</definedName>
    <definedName name="IQ_OTHER_LOANS" hidden="1">"c945"</definedName>
    <definedName name="IQ_OTHER_LONG_TERM" hidden="1">"c1409"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" hidden="1">"c6252"</definedName>
    <definedName name="IQ_OTHER_LT_ASSETS_REIT" hidden="1">"c951"</definedName>
    <definedName name="IQ_OTHER_LT_ASSETS_UTI" hidden="1">"c952"</definedName>
    <definedName name="IQ_OTHER_NET" hidden="1">"c1453"</definedName>
    <definedName name="IQ_OTHER_NON_INT_EXP" hidden="1">"c953"</definedName>
    <definedName name="IQ_OTHER_NON_INT_EXP_TOTAL" hidden="1">"c954"</definedName>
    <definedName name="IQ_OTHER_NON_INT_INC" hidden="1">"c955"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" hidden="1">"c6253"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" hidden="1">"c6254"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" hidden="1">"c6255"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" hidden="1">"c6256"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" hidden="1">"c6257"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" hidden="1">"c6258"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PTIONS_BEG_OS" hidden="1">"c2686"</definedName>
    <definedName name="IQ_OTHER_OPTIONS_CANCELLED" hidden="1">"c2689"</definedName>
    <definedName name="IQ_OTHER_OPTIONS_END_OS" hidden="1">"c2690"</definedName>
    <definedName name="IQ_OTHER_OPTIONS_EXERCISABLE_END_OS" hidden="1">"c5814"</definedName>
    <definedName name="IQ_OTHER_OPTIONS_EXERCISED" hidden="1">"c2688"</definedName>
    <definedName name="IQ_OTHER_OPTIONS_GRANTED" hidden="1">"c2687"</definedName>
    <definedName name="IQ_OTHER_OPTIONS_STRIKE_PRICE_BEG_OS" hidden="1">"c5815"</definedName>
    <definedName name="IQ_OTHER_OPTIONS_STRIKE_PRICE_CANCELLED" hidden="1">"c5817"</definedName>
    <definedName name="IQ_OTHER_OPTIONS_STRIKE_PRICE_EXERCISABLE" hidden="1">"c5818"</definedName>
    <definedName name="IQ_OTHER_OPTIONS_STRIKE_PRICE_EXERCISED" hidden="1">"c5816"</definedName>
    <definedName name="IQ_OTHER_OPTIONS_STRIKE_PRICE_OS" hidden="1">"c2691"</definedName>
    <definedName name="IQ_OTHER_OUTSTANDING_BS_DATE" hidden="1">"c1972"</definedName>
    <definedName name="IQ_OTHER_OUTSTANDING_FILING_DATE" hidden="1">"c1974"</definedName>
    <definedName name="IQ_OTHER_PC_WRITTEN" hidden="1">"c1006"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" hidden="1">"c6259"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" hidden="1">"c6260"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"c1410"</definedName>
    <definedName name="IQ_OTHER_STRIKE_PRICE_GRANTED" hidden="1">"c2692"</definedName>
    <definedName name="IQ_OTHER_UNDRAWN" hidden="1">"c2522"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" hidden="1">"c6282"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" hidden="1">"c6281"</definedName>
    <definedName name="IQ_OTHER_UNUSUAL_SUPPL_REIT" hidden="1">"c1499"</definedName>
    <definedName name="IQ_OTHER_UNUSUAL_SUPPL_UTI" hidden="1">"c1500"</definedName>
    <definedName name="IQ_OTHER_UNUSUAL_UTI" hidden="1">"c1565"</definedName>
    <definedName name="IQ_OTHER_WARRANTS_BEG_OS" hidden="1">"c2712"</definedName>
    <definedName name="IQ_OTHER_WARRANTS_CANCELLED" hidden="1">"c2715"</definedName>
    <definedName name="IQ_OTHER_WARRANTS_END_OS" hidden="1">"c2716"</definedName>
    <definedName name="IQ_OTHER_WARRANTS_EXERCISED" hidden="1">"c2714"</definedName>
    <definedName name="IQ_OTHER_WARRANTS_ISSUED" hidden="1">"c2713"</definedName>
    <definedName name="IQ_OTHER_WARRANTS_STRIKE_PRICE_ISSUED" hidden="1">"c2718"</definedName>
    <definedName name="IQ_OTHER_WARRANTS_STRIKE_PRICE_OS" hidden="1">"c2717"</definedName>
    <definedName name="IQ_OUTSTANDING_BS_DATE" hidden="1">"c2128"</definedName>
    <definedName name="IQ_OUTSTANDING_FILING_DATE" hidden="1">"c1023"</definedName>
    <definedName name="IQ_OWNERSHIP" hidden="1">"c2160"</definedName>
    <definedName name="IQ_PART_TIME" hidden="1">"c1024"</definedName>
    <definedName name="IQ_PAY_ACCRUED" hidden="1">"c1457"</definedName>
    <definedName name="IQ_PAYOUT_RATIO" hidden="1">"c1900"</definedName>
    <definedName name="IQ_PBV" hidden="1">"c1025"</definedName>
    <definedName name="IQ_PBV_AVG" hidden="1">"c1026"</definedName>
    <definedName name="IQ_PC_EARNED" hidden="1">"c2749"</definedName>
    <definedName name="IQ_PC_GAAP_COMBINED_RATIO" hidden="1">"c2781"</definedName>
    <definedName name="IQ_PC_GAAP_COMBINED_RATIO_EXCL_CL" hidden="1">"c2782"</definedName>
    <definedName name="IQ_PC_GAAP_EXPENSE_RATIO" hidden="1">"c2780"</definedName>
    <definedName name="IQ_PC_GAAP_LOSS" hidden="1">"c2779"</definedName>
    <definedName name="IQ_PC_POLICY_BENEFITS_EXP" hidden="1">"c2790"</definedName>
    <definedName name="IQ_PC_STAT_COMBINED_RATIO" hidden="1">"c2778"</definedName>
    <definedName name="IQ_PC_STAT_COMBINED_RATIO_EXCL_DIV" hidden="1">"c2777"</definedName>
    <definedName name="IQ_PC_STAT_DIVIDEND_RATIO" hidden="1">"c2776"</definedName>
    <definedName name="IQ_PC_STAT_EXPENSE_RATIO" hidden="1">"c2775"</definedName>
    <definedName name="IQ_PC_STAT_LOSS_RATIO" hidden="1">"c2774"</definedName>
    <definedName name="IQ_PC_STATUTORY_SURPLUS" hidden="1">"c2770"</definedName>
    <definedName name="IQ_PC_WRITTEN" hidden="1">"c1027"</definedName>
    <definedName name="IQ_PE_EXCL" hidden="1">"c1028"</definedName>
    <definedName name="IQ_PE_EXCL_AVG" hidden="1">"c1029"</definedName>
    <definedName name="IQ_PE_EXCL_FWD" hidden="1">"c1030"</definedName>
    <definedName name="IQ_PE_EXCL_FWD_REUT" hidden="1">"c4049"</definedName>
    <definedName name="IQ_PE_NORMALIZED" hidden="1">"c2207"</definedName>
    <definedName name="IQ_PE_RATIO" hidden="1">"c1610"</definedName>
    <definedName name="IQ_PEG_FWD" hidden="1">"c1863"</definedName>
    <definedName name="IQ_PEG_FWD_REUT" hidden="1">"c4052"</definedName>
    <definedName name="IQ_PENSION" hidden="1">"c1031"</definedName>
    <definedName name="IQ_PENSION_ACCRUED_LIAB" hidden="1">"c3134"</definedName>
    <definedName name="IQ_PENSION_ACCRUED_LIAB_DOM" hidden="1">"c3132"</definedName>
    <definedName name="IQ_PENSION_ACCRUED_LIAB_FOREIGN" hidden="1">"c3133"</definedName>
    <definedName name="IQ_PENSION_ACCUM_OTHER_CI" hidden="1">"c3140"</definedName>
    <definedName name="IQ_PENSION_ACCUM_OTHER_CI_DOM" hidden="1">"c3138"</definedName>
    <definedName name="IQ_PENSION_ACCUM_OTHER_CI_FOREIGN" hidden="1">"c3139"</definedName>
    <definedName name="IQ_PENSION_ACCUMULATED_OBLIGATION" hidden="1">"c3570"</definedName>
    <definedName name="IQ_PENSION_ACCUMULATED_OBLIGATION_DOMESTIC" hidden="1">"c3568"</definedName>
    <definedName name="IQ_PENSION_ACCUMULATED_OBLIGATION_FOREIGN" hidden="1">"c3569"</definedName>
    <definedName name="IQ_PENSION_ACT_NEXT" hidden="1">"c5738"</definedName>
    <definedName name="IQ_PENSION_ACT_NEXT_DOM" hidden="1">"c5736"</definedName>
    <definedName name="IQ_PENSION_ACT_NEXT_FOREIGN" hidden="1">"c5737"</definedName>
    <definedName name="IQ_PENSION_AMT_RECOG_NEXT_DOM" hidden="1">"c5745"</definedName>
    <definedName name="IQ_PENSION_AMT_RECOG_NEXT_FOREIGN" hidden="1">"c5746"</definedName>
    <definedName name="IQ_PENSION_AMT_RECOG_PERIOD" hidden="1">"c5747"</definedName>
    <definedName name="IQ_PENSION_ASSETS" hidden="1">"c3182"</definedName>
    <definedName name="IQ_PENSION_ASSETS_ACQ" hidden="1">"c3173"</definedName>
    <definedName name="IQ_PENSION_ASSETS_ACQ_DOM" hidden="1">"c3171"</definedName>
    <definedName name="IQ_PENSION_ASSETS_ACQ_FOREIGN" hidden="1">"c3172"</definedName>
    <definedName name="IQ_PENSION_ASSETS_ACTUAL_RETURN" hidden="1">"c3158"</definedName>
    <definedName name="IQ_PENSION_ASSETS_ACTUAL_RETURN_DOM" hidden="1">"c3156"</definedName>
    <definedName name="IQ_PENSION_ASSETS_ACTUAL_RETURN_FOREIGN" hidden="1">"c3157"</definedName>
    <definedName name="IQ_PENSION_ASSETS_BEG" hidden="1">"c3155"</definedName>
    <definedName name="IQ_PENSION_ASSETS_BEG_DOM" hidden="1">"c3153"</definedName>
    <definedName name="IQ_PENSION_ASSETS_BEG_FOREIGN" hidden="1">"c3154"</definedName>
    <definedName name="IQ_PENSION_ASSETS_BENEFITS_PAID" hidden="1">"c3167"</definedName>
    <definedName name="IQ_PENSION_ASSETS_BENEFITS_PAID_DOM" hidden="1">"c3165"</definedName>
    <definedName name="IQ_PENSION_ASSETS_BENEFITS_PAID_FOREIGN" hidden="1">"c3166"</definedName>
    <definedName name="IQ_PENSION_ASSETS_CURTAIL" hidden="1">"c3176"</definedName>
    <definedName name="IQ_PENSION_ASSETS_CURTAIL_DOM" hidden="1">"c3174"</definedName>
    <definedName name="IQ_PENSION_ASSETS_CURTAIL_FOREIGN" hidden="1">"c3175"</definedName>
    <definedName name="IQ_PENSION_ASSETS_DOM" hidden="1">"c3180"</definedName>
    <definedName name="IQ_PENSION_ASSETS_EMPLOYER_CONTRIBUTIONS" hidden="1">"c3161"</definedName>
    <definedName name="IQ_PENSION_ASSETS_EMPLOYER_CONTRIBUTIONS_DOM" hidden="1">"c3159"</definedName>
    <definedName name="IQ_PENSION_ASSETS_EMPLOYER_CONTRIBUTIONS_FOREIGN" hidden="1">"c3160"</definedName>
    <definedName name="IQ_PENSION_ASSETS_FOREIGN" hidden="1">"c3181"</definedName>
    <definedName name="IQ_PENSION_ASSETS_FX_ADJ" hidden="1">"c3170"</definedName>
    <definedName name="IQ_PENSION_ASSETS_FX_ADJ_DOM" hidden="1">"c3168"</definedName>
    <definedName name="IQ_PENSION_ASSETS_FX_ADJ_FOREIGN" hidden="1">"c3169"</definedName>
    <definedName name="IQ_PENSION_ASSETS_OTHER_PLAN_ADJ" hidden="1">"c3179"</definedName>
    <definedName name="IQ_PENSION_ASSETS_OTHER_PLAN_ADJ_DOM" hidden="1">"c3177"</definedName>
    <definedName name="IQ_PENSION_ASSETS_OTHER_PLAN_ADJ_FOREIGN" hidden="1">"c3178"</definedName>
    <definedName name="IQ_PENSION_ASSETS_PARTICIP_CONTRIBUTIONS" hidden="1">"c3164"</definedName>
    <definedName name="IQ_PENSION_ASSETS_PARTICIP_CONTRIBUTIONS_DOM" hidden="1">"c3162"</definedName>
    <definedName name="IQ_PENSION_ASSETS_PARTICIP_CONTRIBUTIONS_FOREIGN" hidden="1">"c3163"</definedName>
    <definedName name="IQ_PENSION_BENEFIT_INFO_DATE" hidden="1">"c3230"</definedName>
    <definedName name="IQ_PENSION_BENEFIT_INFO_DATE_DOM" hidden="1">"c3228"</definedName>
    <definedName name="IQ_PENSION_BENEFIT_INFO_DATE_FOREIGN" hidden="1">"c3229"</definedName>
    <definedName name="IQ_PENSION_BREAKDOWN_EQ" hidden="1">"c3101"</definedName>
    <definedName name="IQ_PENSION_BREAKDOWN_EQ_DOM" hidden="1">"c3099"</definedName>
    <definedName name="IQ_PENSION_BREAKDOWN_EQ_FOREIGN" hidden="1">"c3100"</definedName>
    <definedName name="IQ_PENSION_BREAKDOWN_FI" hidden="1">"c3104"</definedName>
    <definedName name="IQ_PENSION_BREAKDOWN_FI_DOM" hidden="1">"c3102"</definedName>
    <definedName name="IQ_PENSION_BREAKDOWN_FI_FOREIGN" hidden="1">"c3103"</definedName>
    <definedName name="IQ_PENSION_BREAKDOWN_OTHER" hidden="1">"c3110"</definedName>
    <definedName name="IQ_PENSION_BREAKDOWN_OTHER_DOM" hidden="1">"c3108"</definedName>
    <definedName name="IQ_PENSION_BREAKDOWN_OTHER_FOREIGN" hidden="1">"c3109"</definedName>
    <definedName name="IQ_PENSION_BREAKDOWN_PCT_EQ" hidden="1">"c3089"</definedName>
    <definedName name="IQ_PENSION_BREAKDOWN_PCT_EQ_DOM" hidden="1">"c3087"</definedName>
    <definedName name="IQ_PENSION_BREAKDOWN_PCT_EQ_FOREIGN" hidden="1">"c3088"</definedName>
    <definedName name="IQ_PENSION_BREAKDOWN_PCT_FI" hidden="1">"c3092"</definedName>
    <definedName name="IQ_PENSION_BREAKDOWN_PCT_FI_DOM" hidden="1">"c3090"</definedName>
    <definedName name="IQ_PENSION_BREAKDOWN_PCT_FI_FOREIGN" hidden="1">"c3091"</definedName>
    <definedName name="IQ_PENSION_BREAKDOWN_PCT_OTHER" hidden="1">"c3098"</definedName>
    <definedName name="IQ_PENSION_BREAKDOWN_PCT_OTHER_DOM" hidden="1">"c3096"</definedName>
    <definedName name="IQ_PENSION_BREAKDOWN_PCT_OTHER_FOREIGN" hidden="1">"c3097"</definedName>
    <definedName name="IQ_PENSION_BREAKDOWN_PCT_RE" hidden="1">"c3095"</definedName>
    <definedName name="IQ_PENSION_BREAKDOWN_PCT_RE_DOM" hidden="1">"c3093"</definedName>
    <definedName name="IQ_PENSION_BREAKDOWN_PCT_RE_FOREIGN" hidden="1">"c3094"</definedName>
    <definedName name="IQ_PENSION_BREAKDOWN_RE" hidden="1">"c3107"</definedName>
    <definedName name="IQ_PENSION_BREAKDOWN_RE_DOM" hidden="1">"c3105"</definedName>
    <definedName name="IQ_PENSION_BREAKDOWN_RE_FOREIGN" hidden="1">"c3106"</definedName>
    <definedName name="IQ_PENSION_CI_ACT" hidden="1">"c5723"</definedName>
    <definedName name="IQ_PENSION_CI_ACT_DOM" hidden="1">"c5721"</definedName>
    <definedName name="IQ_PENSION_CI_ACT_FOREIGN" hidden="1">"c5722"</definedName>
    <definedName name="IQ_PENSION_CI_NET_AMT_RECOG" hidden="1">"c5735"</definedName>
    <definedName name="IQ_PENSION_CI_NET_AMT_RECOG_DOM" hidden="1">"c5733"</definedName>
    <definedName name="IQ_PENSION_CI_NET_AMT_RECOG_FOREIGN" hidden="1">"c5734"</definedName>
    <definedName name="IQ_PENSION_CI_OTHER_MISC_ADJ" hidden="1">"c5732"</definedName>
    <definedName name="IQ_PENSION_CI_OTHER_MISC_ADJ_DOM" hidden="1">"c5730"</definedName>
    <definedName name="IQ_PENSION_CI_OTHER_MISC_ADJ_FOREIGN" hidden="1">"c5731"</definedName>
    <definedName name="IQ_PENSION_CI_PRIOR_SERVICE" hidden="1">"c5726"</definedName>
    <definedName name="IQ_PENSION_CI_PRIOR_SERVICE_DOM" hidden="1">"c5724"</definedName>
    <definedName name="IQ_PENSION_CI_PRIOR_SERVICE_FOREIGN" hidden="1">"c5725"</definedName>
    <definedName name="IQ_PENSION_CI_TRANSITION" hidden="1">"c5729"</definedName>
    <definedName name="IQ_PENSION_CI_TRANSITION_DOM" hidden="1">"c5727"</definedName>
    <definedName name="IQ_PENSION_CI_TRANSITION_FOREIGN" hidden="1">"c5728"</definedName>
    <definedName name="IQ_PENSION_CL" hidden="1">"c5753"</definedName>
    <definedName name="IQ_PENSION_CL_DOM" hidden="1">"c5751"</definedName>
    <definedName name="IQ_PENSION_CL_FOREIGN" hidden="1">"c5752"</definedName>
    <definedName name="IQ_PENSION_CONTRIBUTION_TOTAL_COST" hidden="1">"c3559"</definedName>
    <definedName name="IQ_PENSION_DISC_RATE_MAX" hidden="1">"c3236"</definedName>
    <definedName name="IQ_PENSION_DISC_RATE_MAX_DOM" hidden="1">"c3234"</definedName>
    <definedName name="IQ_PENSION_DISC_RATE_MAX_FOREIGN" hidden="1">"c3235"</definedName>
    <definedName name="IQ_PENSION_DISC_RATE_MIN" hidden="1">"c3233"</definedName>
    <definedName name="IQ_PENSION_DISC_RATE_MIN_DOM" hidden="1">"c3231"</definedName>
    <definedName name="IQ_PENSION_DISC_RATE_MIN_FOREIGN" hidden="1">"c3232"</definedName>
    <definedName name="IQ_PENSION_DISCOUNT_RATE_DOMESTIC" hidden="1">"c3573"</definedName>
    <definedName name="IQ_PENSION_DISCOUNT_RATE_FOREIGN" hidden="1">"c3574"</definedName>
    <definedName name="IQ_PENSION_EST_BENEFIT_1YR" hidden="1">"c3113"</definedName>
    <definedName name="IQ_PENSION_EST_BENEFIT_1YR_DOM" hidden="1">"c3111"</definedName>
    <definedName name="IQ_PENSION_EST_BENEFIT_1YR_FOREIGN" hidden="1">"c3112"</definedName>
    <definedName name="IQ_PENSION_EST_BENEFIT_2YR" hidden="1">"c3116"</definedName>
    <definedName name="IQ_PENSION_EST_BENEFIT_2YR_DOM" hidden="1">"c3114"</definedName>
    <definedName name="IQ_PENSION_EST_BENEFIT_2YR_FOREIGN" hidden="1">"c3115"</definedName>
    <definedName name="IQ_PENSION_EST_BENEFIT_3YR" hidden="1">"c3119"</definedName>
    <definedName name="IQ_PENSION_EST_BENEFIT_3YR_DOM" hidden="1">"c3117"</definedName>
    <definedName name="IQ_PENSION_EST_BENEFIT_3YR_FOREIGN" hidden="1">"c3118"</definedName>
    <definedName name="IQ_PENSION_EST_BENEFIT_4YR" hidden="1">"c3122"</definedName>
    <definedName name="IQ_PENSION_EST_BENEFIT_4YR_DOM" hidden="1">"c3120"</definedName>
    <definedName name="IQ_PENSION_EST_BENEFIT_4YR_FOREIGN" hidden="1">"c3121"</definedName>
    <definedName name="IQ_PENSION_EST_BENEFIT_5YR" hidden="1">"c3125"</definedName>
    <definedName name="IQ_PENSION_EST_BENEFIT_5YR_DOM" hidden="1">"c3123"</definedName>
    <definedName name="IQ_PENSION_EST_BENEFIT_5YR_FOREIGN" hidden="1">"c3124"</definedName>
    <definedName name="IQ_PENSION_EST_BENEFIT_AFTER5" hidden="1">"c3128"</definedName>
    <definedName name="IQ_PENSION_EST_BENEFIT_AFTER5_DOM" hidden="1">"c3126"</definedName>
    <definedName name="IQ_PENSION_EST_BENEFIT_AFTER5_FOREIGN" hidden="1">"c3127"</definedName>
    <definedName name="IQ_PENSION_EST_CONTRIBUTIONS_NEXTYR" hidden="1">"c3218"</definedName>
    <definedName name="IQ_PENSION_EST_CONTRIBUTIONS_NEXTYR_DOM" hidden="1">"c3216"</definedName>
    <definedName name="IQ_PENSION_EST_CONTRIBUTIONS_NEXTYR_FOREIGN" hidden="1">"c3217"</definedName>
    <definedName name="IQ_PENSION_EXP_RATE_RETURN_MAX" hidden="1">"c3248"</definedName>
    <definedName name="IQ_PENSION_EXP_RATE_RETURN_MAX_DOM" hidden="1">"c3246"</definedName>
    <definedName name="IQ_PENSION_EXP_RATE_RETURN_MAX_FOREIGN" hidden="1">"c3247"</definedName>
    <definedName name="IQ_PENSION_EXP_RATE_RETURN_MIN" hidden="1">"c3245"</definedName>
    <definedName name="IQ_PENSION_EXP_RATE_RETURN_MIN_DOM" hidden="1">"c3243"</definedName>
    <definedName name="IQ_PENSION_EXP_RATE_RETURN_MIN_FOREIGN" hidden="1">"c3244"</definedName>
    <definedName name="IQ_PENSION_EXP_RETURN_DOMESTIC" hidden="1">"c3571"</definedName>
    <definedName name="IQ_PENSION_EXP_RETURN_FOREIGN" hidden="1">"c3572"</definedName>
    <definedName name="IQ_PENSION_INTAN_ASSETS" hidden="1">"c3137"</definedName>
    <definedName name="IQ_PENSION_INTAN_ASSETS_DOM" hidden="1">"c3135"</definedName>
    <definedName name="IQ_PENSION_INTAN_ASSETS_FOREIGN" hidden="1">"c3136"</definedName>
    <definedName name="IQ_PENSION_INTEREST_COST" hidden="1">"c3582"</definedName>
    <definedName name="IQ_PENSION_INTEREST_COST_DOM" hidden="1">"c3580"</definedName>
    <definedName name="IQ_PENSION_INTEREST_COST_FOREIGN" hidden="1">"c3581"</definedName>
    <definedName name="IQ_PENSION_LT_ASSETS" hidden="1">"c5750"</definedName>
    <definedName name="IQ_PENSION_LT_ASSETS_DOM" hidden="1">"c5748"</definedName>
    <definedName name="IQ_PENSION_LT_ASSETS_FOREIGN" hidden="1">"c5749"</definedName>
    <definedName name="IQ_PENSION_LT_LIAB" hidden="1">"c5756"</definedName>
    <definedName name="IQ_PENSION_LT_LIAB_DOM" hidden="1">"c5754"</definedName>
    <definedName name="IQ_PENSION_LT_LIAB_FOREIGN" hidden="1">"c5755"</definedName>
    <definedName name="IQ_PENSION_NET_ASSET_RECOG" hidden="1">"c3152"</definedName>
    <definedName name="IQ_PENSION_NET_ASSET_RECOG_DOM" hidden="1">"c3150"</definedName>
    <definedName name="IQ_PENSION_NET_ASSET_RECOG_FOREIGN" hidden="1">"c3151"</definedName>
    <definedName name="IQ_PENSION_OBLIGATION_ACQ" hidden="1">"c3206"</definedName>
    <definedName name="IQ_PENSION_OBLIGATION_ACQ_DOM" hidden="1">"c3204"</definedName>
    <definedName name="IQ_PENSION_OBLIGATION_ACQ_FOREIGN" hidden="1">"c3205"</definedName>
    <definedName name="IQ_PENSION_OBLIGATION_ACTUARIAL_GAIN_LOSS" hidden="1">"c3197"</definedName>
    <definedName name="IQ_PENSION_OBLIGATION_ACTUARIAL_GAIN_LOSS_DOM" hidden="1">"c3195"</definedName>
    <definedName name="IQ_PENSION_OBLIGATION_ACTUARIAL_GAIN_LOSS_FOREIGN" hidden="1">"c3196"</definedName>
    <definedName name="IQ_PENSION_OBLIGATION_BEG" hidden="1">"c3185"</definedName>
    <definedName name="IQ_PENSION_OBLIGATION_BEG_DOM" hidden="1">"c3183"</definedName>
    <definedName name="IQ_PENSION_OBLIGATION_BEG_FOREIGN" hidden="1">"c3184"</definedName>
    <definedName name="IQ_PENSION_OBLIGATION_CURTAIL" hidden="1">"c3209"</definedName>
    <definedName name="IQ_PENSION_OBLIGATION_CURTAIL_DOM" hidden="1">"c3207"</definedName>
    <definedName name="IQ_PENSION_OBLIGATION_CURTAIL_FOREIGN" hidden="1">"c3208"</definedName>
    <definedName name="IQ_PENSION_OBLIGATION_EMPLOYEE_CONTRIBUTIONS" hidden="1">"c3194"</definedName>
    <definedName name="IQ_PENSION_OBLIGATION_EMPLOYEE_CONTRIBUTIONS_DOM" hidden="1">"c3192"</definedName>
    <definedName name="IQ_PENSION_OBLIGATION_EMPLOYEE_CONTRIBUTIONS_FOREIGN" hidden="1">"c3193"</definedName>
    <definedName name="IQ_PENSION_OBLIGATION_FX_ADJ" hidden="1">"c3203"</definedName>
    <definedName name="IQ_PENSION_OBLIGATION_FX_ADJ_DOM" hidden="1">"c3201"</definedName>
    <definedName name="IQ_PENSION_OBLIGATION_FX_ADJ_FOREIGN" hidden="1">"c3202"</definedName>
    <definedName name="IQ_PENSION_OBLIGATION_INTEREST_COST" hidden="1">"c3191"</definedName>
    <definedName name="IQ_PENSION_OBLIGATION_INTEREST_COST_DOM" hidden="1">"c3189"</definedName>
    <definedName name="IQ_PENSION_OBLIGATION_INTEREST_COST_FOREIGN" hidden="1">"c3190"</definedName>
    <definedName name="IQ_PENSION_OBLIGATION_OTHER_COST" hidden="1">"c3555"</definedName>
    <definedName name="IQ_PENSION_OBLIGATION_OTHER_COST_DOM" hidden="1">"c3553"</definedName>
    <definedName name="IQ_PENSION_OBLIGATION_OTHER_COST_FOREIGN" hidden="1">"c3554"</definedName>
    <definedName name="IQ_PENSION_OBLIGATION_OTHER_PLAN_ADJ" hidden="1">"c3212"</definedName>
    <definedName name="IQ_PENSION_OBLIGATION_OTHER_PLAN_ADJ_DOM" hidden="1">"c3210"</definedName>
    <definedName name="IQ_PENSION_OBLIGATION_OTHER_PLAN_ADJ_FOREIGN" hidden="1">"c3211"</definedName>
    <definedName name="IQ_PENSION_OBLIGATION_PAID" hidden="1">"c3200"</definedName>
    <definedName name="IQ_PENSION_OBLIGATION_PAID_DOM" hidden="1">"c3198"</definedName>
    <definedName name="IQ_PENSION_OBLIGATION_PAID_FOREIGN" hidden="1">"c3199"</definedName>
    <definedName name="IQ_PENSION_OBLIGATION_PROJECTED" hidden="1">"c3215"</definedName>
    <definedName name="IQ_PENSION_OBLIGATION_PROJECTED_DOM" hidden="1">"c3213"</definedName>
    <definedName name="IQ_PENSION_OBLIGATION_PROJECTED_FOREIGN" hidden="1">"c3214"</definedName>
    <definedName name="IQ_PENSION_OBLIGATION_ROA" hidden="1">"c3552"</definedName>
    <definedName name="IQ_PENSION_OBLIGATION_ROA_DOM" hidden="1">"c3550"</definedName>
    <definedName name="IQ_PENSION_OBLIGATION_ROA_FOREIGN" hidden="1">"c3551"</definedName>
    <definedName name="IQ_PENSION_OBLIGATION_SERVICE_COST" hidden="1">"c3188"</definedName>
    <definedName name="IQ_PENSION_OBLIGATION_SERVICE_COST_DOM" hidden="1">"c3186"</definedName>
    <definedName name="IQ_PENSION_OBLIGATION_SERVICE_COST_FOREIGN" hidden="1">"c3187"</definedName>
    <definedName name="IQ_PENSION_OBLIGATION_TOTAL_COST" hidden="1">"c3558"</definedName>
    <definedName name="IQ_PENSION_OBLIGATION_TOTAL_COST_DOM" hidden="1">"c3556"</definedName>
    <definedName name="IQ_PENSION_OBLIGATION_TOTAL_COST_FOREIGN" hidden="1">"c3557"</definedName>
    <definedName name="IQ_PENSION_OTHER" hidden="1">"c3143"</definedName>
    <definedName name="IQ_PENSION_OTHER_ADJ" hidden="1">"c3149"</definedName>
    <definedName name="IQ_PENSION_OTHER_ADJ_DOM" hidden="1">"c3147"</definedName>
    <definedName name="IQ_PENSION_OTHER_ADJ_FOREIGN" hidden="1">"c3148"</definedName>
    <definedName name="IQ_PENSION_OTHER_DOM" hidden="1">"c3141"</definedName>
    <definedName name="IQ_PENSION_OTHER_FOREIGN" hidden="1">"c3142"</definedName>
    <definedName name="IQ_PENSION_PBO_ASSUMED_RATE_RET_MAX" hidden="1">"c3254"</definedName>
    <definedName name="IQ_PENSION_PBO_ASSUMED_RATE_RET_MAX_DOM" hidden="1">"c3252"</definedName>
    <definedName name="IQ_PENSION_PBO_ASSUMED_RATE_RET_MAX_FOREIGN" hidden="1">"c3253"</definedName>
    <definedName name="IQ_PENSION_PBO_ASSUMED_RATE_RET_MIN" hidden="1">"c3251"</definedName>
    <definedName name="IQ_PENSION_PBO_ASSUMED_RATE_RET_MIN_DOM" hidden="1">"c3249"</definedName>
    <definedName name="IQ_PENSION_PBO_ASSUMED_RATE_RET_MIN_FOREIGN" hidden="1">"c3250"</definedName>
    <definedName name="IQ_PENSION_PBO_RATE_COMP_INCREASE_MAX" hidden="1">"c3260"</definedName>
    <definedName name="IQ_PENSION_PBO_RATE_COMP_INCREASE_MAX_DOM" hidden="1">"c3258"</definedName>
    <definedName name="IQ_PENSION_PBO_RATE_COMP_INCREASE_MAX_FOREIGN" hidden="1">"c3259"</definedName>
    <definedName name="IQ_PENSION_PBO_RATE_COMP_INCREASE_MIN" hidden="1">"c3257"</definedName>
    <definedName name="IQ_PENSION_PBO_RATE_COMP_INCREASE_MIN_DOM" hidden="1">"c3255"</definedName>
    <definedName name="IQ_PENSION_PBO_RATE_COMP_INCREASE_MIN_FOREIGN" hidden="1">"c3256"</definedName>
    <definedName name="IQ_PENSION_PREPAID_COST" hidden="1">"c3131"</definedName>
    <definedName name="IQ_PENSION_PREPAID_COST_DOM" hidden="1">"c3129"</definedName>
    <definedName name="IQ_PENSION_PREPAID_COST_FOREIGN" hidden="1">"c3130"</definedName>
    <definedName name="IQ_PENSION_PRIOR_SERVICE_NEXT" hidden="1">"c5741"</definedName>
    <definedName name="IQ_PENSION_PRIOR_SERVICE_NEXT_DOM" hidden="1">"c5739"</definedName>
    <definedName name="IQ_PENSION_PRIOR_SERVICE_NEXT_FOREIGN" hidden="1">"c5740"</definedName>
    <definedName name="IQ_PENSION_PROJECTED_OBLIGATION" hidden="1">"c3566"</definedName>
    <definedName name="IQ_PENSION_PROJECTED_OBLIGATION_DOMESTIC" hidden="1">"c3564"</definedName>
    <definedName name="IQ_PENSION_PROJECTED_OBLIGATION_FOREIGN" hidden="1">"c3565"</definedName>
    <definedName name="IQ_PENSION_QUART_ADDL_CONTRIBUTIONS_EXP" hidden="1">"c3224"</definedName>
    <definedName name="IQ_PENSION_QUART_ADDL_CONTRIBUTIONS_EXP_DOM" hidden="1">"c3222"</definedName>
    <definedName name="IQ_PENSION_QUART_ADDL_CONTRIBUTIONS_EXP_FOREIGN" hidden="1">"c3223"</definedName>
    <definedName name="IQ_PENSION_QUART_EMPLOYER_CONTRIBUTIONS" hidden="1">"c3221"</definedName>
    <definedName name="IQ_PENSION_QUART_EMPLOYER_CONTRIBUTIONS_DOM" hidden="1">"c3219"</definedName>
    <definedName name="IQ_PENSION_QUART_EMPLOYER_CONTRIBUTIONS_FOREIGN" hidden="1">"c3220"</definedName>
    <definedName name="IQ_PENSION_RATE_COMP_GROWTH_DOMESTIC" hidden="1">"c3575"</definedName>
    <definedName name="IQ_PENSION_RATE_COMP_GROWTH_FOREIGN" hidden="1">"c3576"</definedName>
    <definedName name="IQ_PENSION_RATE_COMP_INCREASE_MAX" hidden="1">"c3242"</definedName>
    <definedName name="IQ_PENSION_RATE_COMP_INCREASE_MAX_DOM" hidden="1">"c3240"</definedName>
    <definedName name="IQ_PENSION_RATE_COMP_INCREASE_MAX_FOREIGN" hidden="1">"c3241"</definedName>
    <definedName name="IQ_PENSION_RATE_COMP_INCREASE_MIN" hidden="1">"c3239"</definedName>
    <definedName name="IQ_PENSION_RATE_COMP_INCREASE_MIN_DOM" hidden="1">"c3237"</definedName>
    <definedName name="IQ_PENSION_RATE_COMP_INCREASE_MIN_FOREIGN" hidden="1">"c3238"</definedName>
    <definedName name="IQ_PENSION_SERVICE_COST" hidden="1">"c3579"</definedName>
    <definedName name="IQ_PENSION_SERVICE_COST_DOM" hidden="1">"c3577"</definedName>
    <definedName name="IQ_PENSION_SERVICE_COST_FOREIGN" hidden="1">"c3578"</definedName>
    <definedName name="IQ_PENSION_TOTAL_ASSETS" hidden="1">"c3563"</definedName>
    <definedName name="IQ_PENSION_TOTAL_ASSETS_DOMESTIC" hidden="1">"c3561"</definedName>
    <definedName name="IQ_PENSION_TOTAL_ASSETS_FOREIGN" hidden="1">"c3562"</definedName>
    <definedName name="IQ_PENSION_TOTAL_EXP" hidden="1">"c3560"</definedName>
    <definedName name="IQ_PENSION_TRANSITION_NEXT" hidden="1">"c5744"</definedName>
    <definedName name="IQ_PENSION_TRANSITION_NEXT_DOM" hidden="1">"c5742"</definedName>
    <definedName name="IQ_PENSION_TRANSITION_NEXT_FOREIGN" hidden="1">"c5743"</definedName>
    <definedName name="IQ_PENSION_UNFUNDED_ADDL_MIN_LIAB" hidden="1">"c3227"</definedName>
    <definedName name="IQ_PENSION_UNFUNDED_ADDL_MIN_LIAB_DOM" hidden="1">"c3225"</definedName>
    <definedName name="IQ_PENSION_UNFUNDED_ADDL_MIN_LIAB_FOREIGN" hidden="1">"c3226"</definedName>
    <definedName name="IQ_PENSION_UNRECOG_PRIOR" hidden="1">"c3146"</definedName>
    <definedName name="IQ_PENSION_UNRECOG_PRIOR_DOM" hidden="1">"c3144"</definedName>
    <definedName name="IQ_PENSION_UNRECOG_PRIOR_FOREIGN" hidden="1">"c3145"</definedName>
    <definedName name="IQ_PENSION_UV_LIAB" hidden="1">"c3567"</definedName>
    <definedName name="IQ_PERIODDATE" hidden="1">"c1414"</definedName>
    <definedName name="IQ_PERIODDATE_BS" hidden="1">"c1032"</definedName>
    <definedName name="IQ_PERIODDATE_CF" hidden="1">"c1033"</definedName>
    <definedName name="IQ_PERIODDATE_IS" hidden="1">"c1034"</definedName>
    <definedName name="IQ_PERIODLENGTH_CF" hidden="1">"c1502"</definedName>
    <definedName name="IQ_PERIODLENGTH_IS" hidden="1">"c1503"</definedName>
    <definedName name="IQ_PERTYPE" hidden="1">"c1611"</definedName>
    <definedName name="IQ_PLL" hidden="1">"c2114"</definedName>
    <definedName name="IQ_PMT_FREQ" hidden="1">"c2236"</definedName>
    <definedName name="IQ_POISON_PUT_EFFECT_DATE" hidden="1">"c2486"</definedName>
    <definedName name="IQ_POISON_PUT_EXPIRATION_DATE" hidden="1">"c2487"</definedName>
    <definedName name="IQ_POISON_PUT_PRICE" hidden="1">"c2488"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ST_RETIRE_EXP" hidden="1">"c1039"</definedName>
    <definedName name="IQ_POSTPAID_CHURN" hidden="1">"c2121"</definedName>
    <definedName name="IQ_POSTPAID_SUBS" hidden="1">"c2118"</definedName>
    <definedName name="IQ_PRE_OPEN_COST" hidden="1">"c1040"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" hidden="1">"c6261"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" hidden="1">"c6262"</definedName>
    <definedName name="IQ_PREF_OTHER_REIT" hidden="1">"c1058"</definedName>
    <definedName name="IQ_PREF_OTHER_UTI" hidden="1">"C6022"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" hidden="1">"c6263"</definedName>
    <definedName name="IQ_PREF_REP_REIT" hidden="1">"c1065"</definedName>
    <definedName name="IQ_PREF_REP_UTI" hidden="1">"c1066"</definedName>
    <definedName name="IQ_PREF_STOCK" hidden="1">"c1416"</definedName>
    <definedName name="IQ_PREF_TOT" hidden="1">"c1415"</definedName>
    <definedName name="IQ_PREMIUMS_ANNUITY_REV" hidden="1">"c1067"</definedName>
    <definedName name="IQ_PREPAID_CHURN" hidden="1">"c2120"</definedName>
    <definedName name="IQ_PREPAID_EXP" hidden="1">"c1068"</definedName>
    <definedName name="IQ_PREPAID_EXPEN" hidden="1">"c1418"</definedName>
    <definedName name="IQ_PREPAID_SUBS" hidden="1">"c2117"</definedName>
    <definedName name="IQ_PRICE_OVER_BVPS" hidden="1">"c1412"</definedName>
    <definedName name="IQ_PRICE_OVER_LTM_EPS" hidden="1">"c1413"</definedName>
    <definedName name="IQ_PRICE_TARGET" hidden="1">"c82"</definedName>
    <definedName name="IQ_PRICE_TARGET_REUT" hidden="1">"c3631"</definedName>
    <definedName name="IQ_PRICEDATE" hidden="1">"c1069"</definedName>
    <definedName name="IQ_PRICING_DATE" hidden="1">"c1613"</definedName>
    <definedName name="IQ_PRIMARY_INDUSTRY" hidden="1">"c1070"</definedName>
    <definedName name="IQ_PRINCIPAL_AMT" hidden="1">"c2157"</definedName>
    <definedName name="IQ_PRO_FORMA_BASIC_EPS" hidden="1">"c1614"</definedName>
    <definedName name="IQ_PRO_FORMA_DILUT_EPS" hidden="1">"c1615"</definedName>
    <definedName name="IQ_PRO_FORMA_NET_INC" hidden="1">"c1452"</definedName>
    <definedName name="IQ_PROFESSIONAL" hidden="1">"c1071"</definedName>
    <definedName name="IQ_PROFESSIONAL_TITLE" hidden="1">"c1072"</definedName>
    <definedName name="IQ_PROJECTED_PENSION_OBLIGATION" hidden="1">"c1292"</definedName>
    <definedName name="IQ_PROJECTED_PENSION_OBLIGATION_DOMESTIC" hidden="1">"c2656"</definedName>
    <definedName name="IQ_PROJECTED_PENSION_OBLIGATION_FOREIGN" hidden="1">"c2664"</definedName>
    <definedName name="IQ_PROPERTY_EXP" hidden="1">"c1073"</definedName>
    <definedName name="IQ_PROPERTY_GROSS" hidden="1">"c1379"</definedName>
    <definedName name="IQ_PROPERTY_MGMT_FEE" hidden="1">"c1074"</definedName>
    <definedName name="IQ_PROPERTY_NET" hidden="1">"c1402"</definedName>
    <definedName name="IQ_PROV_BAD_DEBTS" hidden="1">"c1075"</definedName>
    <definedName name="IQ_PROV_BAD_DEBTS_CF" hidden="1">"c1076"</definedName>
    <definedName name="IQ_PROVISION_10YR_ANN_CAGR" hidden="1">"c6135"</definedName>
    <definedName name="IQ_PROVISION_10YR_ANN_GROWTH" hidden="1">"c1077"</definedName>
    <definedName name="IQ_PROVISION_1YR_ANN_GROWTH" hidden="1">"c1078"</definedName>
    <definedName name="IQ_PROVISION_2YR_ANN_CAGR" hidden="1">"c6136"</definedName>
    <definedName name="IQ_PROVISION_2YR_ANN_GROWTH" hidden="1">"c1079"</definedName>
    <definedName name="IQ_PROVISION_3YR_ANN_CAGR" hidden="1">"c6137"</definedName>
    <definedName name="IQ_PROVISION_3YR_ANN_GROWTH" hidden="1">"c1080"</definedName>
    <definedName name="IQ_PROVISION_5YR_ANN_CAGR" hidden="1">"c6138"</definedName>
    <definedName name="IQ_PROVISION_5YR_ANN_GROWTH" hidden="1">"c1081"</definedName>
    <definedName name="IQ_PROVISION_7YR_ANN_CAGR" hidden="1">"c6139"</definedName>
    <definedName name="IQ_PROVISION_7YR_ANN_GROWTH" hidden="1">"c1082"</definedName>
    <definedName name="IQ_PROVISION_CHARGE_OFFS" hidden="1">"c1083"</definedName>
    <definedName name="IQ_PTBV" hidden="1">"c1084"</definedName>
    <definedName name="IQ_PTBV_AVG" hidden="1">"c1085"</definedName>
    <definedName name="IQ_PUT_DATE_SCHEDULE" hidden="1">"c2483"</definedName>
    <definedName name="IQ_PUT_NOTIFICATION" hidden="1">"c2485"</definedName>
    <definedName name="IQ_PUT_PRICE_SCHEDULE" hidden="1">"c2484"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C" hidden="1">"c2497"</definedName>
    <definedName name="IQ_RC_PCT" hidden="1">"c2498"</definedName>
    <definedName name="IQ_RD_EXP" hidden="1">"c1090"</definedName>
    <definedName name="IQ_RD_EXP_FN" hidden="1">"c1091"</definedName>
    <definedName name="IQ_RE" hidden="1">"c1092"</definedName>
    <definedName name="IQ_REAL_ESTATE" hidden="1">"c1093"</definedName>
    <definedName name="IQ_REAL_ESTATE_ASSETS" hidden="1">"c1094"</definedName>
    <definedName name="IQ_RECURRING_PROFIT_ACT_OR_EST" hidden="1">"c4507"</definedName>
    <definedName name="IQ_RECURRING_PROFIT_SHARE_ACT_OR_EST" hidden="1">"c4508"</definedName>
    <definedName name="IQ_REDEEM_PREF_STOCK" hidden="1">"c1417"</definedName>
    <definedName name="IQ_REF_ENTITY" hidden="1">"c6033"</definedName>
    <definedName name="IQ_REF_ENTITY_CIQID" hidden="1">"c6024"</definedName>
    <definedName name="IQ_REF_ENTITY_TICKER" hidden="1">"c6023"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NTAL_REV" hidden="1">"c1101"</definedName>
    <definedName name="IQ_RESEARCH_DEV" hidden="1">"c1419"</definedName>
    <definedName name="IQ_RESIDENTIAL_LOANS" hidden="1">"c1102"</definedName>
    <definedName name="IQ_RESTATEMENT_BS" hidden="1">"c1643"</definedName>
    <definedName name="IQ_RESTATEMENT_CF" hidden="1">"c1644"</definedName>
    <definedName name="IQ_RESTATEMENT_IS" hidden="1">"c1642"</definedName>
    <definedName name="IQ_RESTR_STOCK_COMP" hidden="1">"c3506"</definedName>
    <definedName name="IQ_RESTR_STOCK_COMP_PRETAX" hidden="1">"c3504"</definedName>
    <definedName name="IQ_RESTR_STOCK_COMP_TAX" hidden="1">"c3505"</definedName>
    <definedName name="IQ_RESTRICTED_CASH" hidden="1">"c1103"</definedName>
    <definedName name="IQ_RESTRICTED_CASH_NON_CURRENT" hidden="1">"c6192"</definedName>
    <definedName name="IQ_RESTRICTED_CASH_TOTAL" hidden="1">"c6193"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" hidden="1">"c6264"</definedName>
    <definedName name="IQ_RESTRUCTURE_REIT" hidden="1">"c1110"</definedName>
    <definedName name="IQ_RESTRUCTURE_UTI" hidden="1">"c1111"</definedName>
    <definedName name="IQ_RESTRUCTURED_LOANS" hidden="1">"c1112"</definedName>
    <definedName name="IQ_RETAIL_ACQUIRED_FRANCHISE_STORES" hidden="1">"c2895"</definedName>
    <definedName name="IQ_RETAIL_ACQUIRED_OWNED_STORES" hidden="1">"c2903"</definedName>
    <definedName name="IQ_RETAIL_ACQUIRED_STORES" hidden="1">"c2887"</definedName>
    <definedName name="IQ_RETAIL_AVG_STORE_SIZE_GROSS" hidden="1">"c2066"</definedName>
    <definedName name="IQ_RETAIL_AVG_STORE_SIZE_NET" hidden="1">"c2067"</definedName>
    <definedName name="IQ_RETAIL_AVG_WK_SALES" hidden="1">"c2891"</definedName>
    <definedName name="IQ_RETAIL_AVG_WK_SALES_FRANCHISE" hidden="1">"c2899"</definedName>
    <definedName name="IQ_RETAIL_AVG_WK_SALES_OWNED" hidden="1">"c2907"</definedName>
    <definedName name="IQ_RETAIL_CLOSED_FRANCHISE_STORES" hidden="1">"c2896"</definedName>
    <definedName name="IQ_RETAIL_CLOSED_OWNED_STORES" hidden="1">"c2904"</definedName>
    <definedName name="IQ_RETAIL_CLOSED_STORES" hidden="1">"c2063"</definedName>
    <definedName name="IQ_RETAIL_FRANCHISE_STORES_BEG" hidden="1">"c2893"</definedName>
    <definedName name="IQ_RETAIL_OPENED_FRANCHISE_STORES" hidden="1">"c2894"</definedName>
    <definedName name="IQ_RETAIL_OPENED_OWNED_STORES" hidden="1">"c2902"</definedName>
    <definedName name="IQ_RETAIL_OPENED_STORES" hidden="1">"c2062"</definedName>
    <definedName name="IQ_RETAIL_OWNED_STORES_BEG" hidden="1">"c2901"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OLD_FRANCHISE_STORES" hidden="1">"c2897"</definedName>
    <definedName name="IQ_RETAIL_SOLD_OWNED_STORES" hidden="1">"c2905"</definedName>
    <definedName name="IQ_RETAIL_SOLD_STORES" hidden="1">"c2889"</definedName>
    <definedName name="IQ_RETAIL_SQ_FOOTAGE" hidden="1">"c2064"</definedName>
    <definedName name="IQ_RETAIL_STORE_SELLING_AREA" hidden="1">"c2065"</definedName>
    <definedName name="IQ_RETAIL_STORES_BEG" hidden="1">"c2885"</definedName>
    <definedName name="IQ_RETAIL_TOTAL_FRANCHISE_STORES" hidden="1">"c2898"</definedName>
    <definedName name="IQ_RETAIL_TOTAL_OWNED_STORES" hidden="1">"c2906"</definedName>
    <definedName name="IQ_RETAIL_TOTAL_STORES" hidden="1">"c2061"</definedName>
    <definedName name="IQ_RETAINED_EARN" hidden="1">"c1420"</definedName>
    <definedName name="IQ_RETURN_ASSETS" hidden="1">"c1113"</definedName>
    <definedName name="IQ_RETURN_ASSETS_BANK" hidden="1">"c1114"</definedName>
    <definedName name="IQ_RETURN_ASSETS_BROK" hidden="1">"c1115"</definedName>
    <definedName name="IQ_RETURN_ASSETS_FS" hidden="1">"c1116"</definedName>
    <definedName name="IQ_RETURN_CAPITAL" hidden="1">"c1117"</definedName>
    <definedName name="IQ_RETURN_EQUITY" hidden="1">"c1118"</definedName>
    <definedName name="IQ_RETURN_EQUITY_BANK" hidden="1">"c1119"</definedName>
    <definedName name="IQ_RETURN_EQUITY_BROK" hidden="1">"c1120"</definedName>
    <definedName name="IQ_RETURN_EQUITY_FS" hidden="1">"c1121"</definedName>
    <definedName name="IQ_RETURN_INVESTMENT" hidden="1">"c1421"</definedName>
    <definedName name="IQ_REV" hidden="1">"c1122"</definedName>
    <definedName name="IQ_REV_BEFORE_LL" hidden="1">"c1123"</definedName>
    <definedName name="IQ_REV_STDDEV_EST" hidden="1">"c1124"</definedName>
    <definedName name="IQ_REV_STDDEV_EST_REUT" hidden="1">"c3639"</definedName>
    <definedName name="IQ_REV_UTI" hidden="1">"c1125"</definedName>
    <definedName name="IQ_REVENUE" hidden="1">"c1422"</definedName>
    <definedName name="IQ_REVENUE_EST" hidden="1">"c1126"</definedName>
    <definedName name="IQ_REVENUE_EST_REUT" hidden="1">"c3634"</definedName>
    <definedName name="IQ_REVENUE_HIGH_EST" hidden="1">"c1127"</definedName>
    <definedName name="IQ_REVENUE_HIGH_EST_REUT" hidden="1">"c3636"</definedName>
    <definedName name="IQ_REVENUE_LOW_EST" hidden="1">"c1128"</definedName>
    <definedName name="IQ_REVENUE_LOW_EST_REUT" hidden="1">"c3637"</definedName>
    <definedName name="IQ_REVENUE_MEDIAN_EST" hidden="1">"c1662"</definedName>
    <definedName name="IQ_REVENUE_MEDIAN_EST_REUT" hidden="1">"c3635"</definedName>
    <definedName name="IQ_REVENUE_NUM_EST" hidden="1">"c1129"</definedName>
    <definedName name="IQ_REVENUE_NUM_EST_REUT" hidden="1">"c3638"</definedName>
    <definedName name="IQ_REVISION_DATE_" hidden="1">39664.6401851852</definedName>
    <definedName name="IQ_RISK_ADJ_BANK_ASSETS" hidden="1">"c2670"</definedName>
    <definedName name="IQ_SALARY" hidden="1">"c1130"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" hidden="1">"c6284"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LES_MARKETING" hidden="1">"c2240"</definedName>
    <definedName name="IQ_SAME_STORE" hidden="1">"c1149"</definedName>
    <definedName name="IQ_SAME_STORE_FRANCHISE" hidden="1">"c2900"</definedName>
    <definedName name="IQ_SAME_STORE_OWNED" hidden="1">"c2908"</definedName>
    <definedName name="IQ_SAME_STORE_TOTAL" hidden="1">"c2892"</definedName>
    <definedName name="IQ_SAVING_DEP" hidden="1">"c1150"</definedName>
    <definedName name="IQ_SEC_PURCHASED_RESELL" hidden="1">"c5513"</definedName>
    <definedName name="IQ_SECUR_RECEIV" hidden="1">"c1151"</definedName>
    <definedName name="IQ_SECURED_DEBT" hidden="1">"c2546"</definedName>
    <definedName name="IQ_SECURED_DEBT_PCT" hidden="1">"c2547"</definedName>
    <definedName name="IQ_SECURITY_BORROW" hidden="1">"c1152"</definedName>
    <definedName name="IQ_SECURITY_LEVEL" hidden="1">"c2159"</definedName>
    <definedName name="IQ_SECURITY_NOTES" hidden="1">"c2202"</definedName>
    <definedName name="IQ_SECURITY_OWN" hidden="1">"c1153"</definedName>
    <definedName name="IQ_SECURITY_RESELL" hidden="1">"c1154"</definedName>
    <definedName name="IQ_SECURITY_TYPE" hidden="1">"c2158"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GA" hidden="1">"c1158"</definedName>
    <definedName name="IQ_SGA_BNK" hidden="1">"c1159"</definedName>
    <definedName name="IQ_SGA_INS" hidden="1">"c1160"</definedName>
    <definedName name="IQ_SGA_MARGIN" hidden="1">"c1898"</definedName>
    <definedName name="IQ_SGA_RE" hidden="1">"c6265"</definedName>
    <definedName name="IQ_SGA_REIT" hidden="1">"c1161"</definedName>
    <definedName name="IQ_SGA_SUPPL" hidden="1">"c1162"</definedName>
    <definedName name="IQ_SGA_UTI" hidden="1">"c1163"</definedName>
    <definedName name="IQ_SHAREOUTSTANDING" hidden="1">"c1347"</definedName>
    <definedName name="IQ_SHARES_PURCHASED_AVERAGE_PRICE" hidden="1">"c5821"</definedName>
    <definedName name="IQ_SHARES_PURCHASED_QUARTER" hidden="1">"c5820"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TERM_INVEST" hidden="1">"c1425"</definedName>
    <definedName name="IQ_SMALL_INT_BEAR_CD" hidden="1">"c1166"</definedName>
    <definedName name="IQ_SOFTWARE" hidden="1">"c1167"</definedName>
    <definedName name="IQ_SOURCE" hidden="1">"c1168"</definedName>
    <definedName name="IQ_SP_BANK" hidden="1">"c2637"</definedName>
    <definedName name="IQ_SP_BANK_ACTION" hidden="1">"c2636"</definedName>
    <definedName name="IQ_SP_BANK_DATE" hidden="1">"c2635"</definedName>
    <definedName name="IQ_SP_FIN_ENHANCE_FX" hidden="1">"c2631"</definedName>
    <definedName name="IQ_SP_FIN_ENHANCE_FX_ACTION" hidden="1">"c2630"</definedName>
    <definedName name="IQ_SP_FIN_ENHANCE_FX_DATE" hidden="1">"c2629"</definedName>
    <definedName name="IQ_SP_FIN_ENHANCE_LC" hidden="1">"c2634"</definedName>
    <definedName name="IQ_SP_FIN_ENHANCE_LC_ACTION" hidden="1">"c2633"</definedName>
    <definedName name="IQ_SP_FIN_ENHANCE_LC_DATE" hidden="1">"c2632"</definedName>
    <definedName name="IQ_SP_FIN_STRENGTH_LC_ACTION_LT" hidden="1">"c2625"</definedName>
    <definedName name="IQ_SP_FIN_STRENGTH_LC_ACTION_ST" hidden="1">"c2626"</definedName>
    <definedName name="IQ_SP_FIN_STRENGTH_LC_DATE_LT" hidden="1">"c2623"</definedName>
    <definedName name="IQ_SP_FIN_STRENGTH_LC_DATE_ST" hidden="1">"c2624"</definedName>
    <definedName name="IQ_SP_FIN_STRENGTH_LC_LT" hidden="1">"c2627"</definedName>
    <definedName name="IQ_SP_FIN_STRENGTH_LC_ST" hidden="1">"c2628"</definedName>
    <definedName name="IQ_SP_FX_ACTION_LT" hidden="1">"c2613"</definedName>
    <definedName name="IQ_SP_FX_ACTION_ST" hidden="1">"c2614"</definedName>
    <definedName name="IQ_SP_FX_DATE_LT" hidden="1">"c2611"</definedName>
    <definedName name="IQ_SP_FX_DATE_ST" hidden="1">"c2612"</definedName>
    <definedName name="IQ_SP_FX_LT" hidden="1">"c2615"</definedName>
    <definedName name="IQ_SP_FX_ST" hidden="1">"c2616"</definedName>
    <definedName name="IQ_SP_ISSUE_ACTION" hidden="1">"c2644"</definedName>
    <definedName name="IQ_SP_ISSUE_DATE" hidden="1">"c2643"</definedName>
    <definedName name="IQ_SP_ISSUE_LT" hidden="1">"c2645"</definedName>
    <definedName name="IQ_SP_ISSUE_OUTLOOK_WATCH" hidden="1">"c2650"</definedName>
    <definedName name="IQ_SP_ISSUE_OUTLOOK_WATCH_DATE" hidden="1">"c2649"</definedName>
    <definedName name="IQ_SP_ISSUE_RECOVER" hidden="1">"c2648"</definedName>
    <definedName name="IQ_SP_ISSUE_RECOVER_ACTION" hidden="1">"c2647"</definedName>
    <definedName name="IQ_SP_ISSUE_RECOVER_DATE" hidden="1">"c2646"</definedName>
    <definedName name="IQ_SP_LC_ACTION_LT" hidden="1">"c2619"</definedName>
    <definedName name="IQ_SP_LC_ACTION_ST" hidden="1">"c2620"</definedName>
    <definedName name="IQ_SP_LC_DATE_LT" hidden="1">"c2617"</definedName>
    <definedName name="IQ_SP_LC_DATE_ST" hidden="1">"c2618"</definedName>
    <definedName name="IQ_SP_LC_LT" hidden="1">"c2621"</definedName>
    <definedName name="IQ_SP_LC_ST" hidden="1">"c2622"</definedName>
    <definedName name="IQ_SP_OUTLOOK_WATCH" hidden="1">"c2639"</definedName>
    <definedName name="IQ_SP_OUTLOOK_WATCH_DATE" hidden="1">"c2638"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" hidden="1">"c6266"</definedName>
    <definedName name="IQ_SPECIAL_DIV_CF_REIT" hidden="1">"c1174"</definedName>
    <definedName name="IQ_SPECIAL_DIV_CF_UTI" hidden="1">"c1175"</definedName>
    <definedName name="IQ_SPECIAL_DIV_SHARE" hidden="1">"c3007"</definedName>
    <definedName name="IQ_SR_BONDS_NOTES" hidden="1">"c2501"</definedName>
    <definedName name="IQ_SR_BONDS_NOTES_PCT" hidden="1">"c2502"</definedName>
    <definedName name="IQ_SR_DEBT" hidden="1">"c2526"</definedName>
    <definedName name="IQ_SR_DEBT_EBITDA" hidden="1">"c2552"</definedName>
    <definedName name="IQ_SR_DEBT_EBITDA_CAPEX" hidden="1">"c2553"</definedName>
    <definedName name="IQ_SR_DEBT_PCT" hidden="1">"c2527"</definedName>
    <definedName name="IQ_SR_SUB_DEBT" hidden="1">"c2530"</definedName>
    <definedName name="IQ_SR_SUB_DEBT_EBITDA" hidden="1">"c2556"</definedName>
    <definedName name="IQ_SR_SUB_DEBT_EBITDA_CAPEX" hidden="1">"c2557"</definedName>
    <definedName name="IQ_SR_SUB_DEBT_PCT" hidden="1">"c2531"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" hidden="1">"c6267"</definedName>
    <definedName name="IQ_ST_DEBT_ISSUED_REIT" hidden="1">"c1186"</definedName>
    <definedName name="IQ_ST_DEBT_ISSUED_UTI" hidden="1">"c1187"</definedName>
    <definedName name="IQ_ST_DEBT_PCT" hidden="1">"c2539"</definedName>
    <definedName name="IQ_ST_DEBT_RE" hidden="1">"c6268"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" hidden="1">"c6269"</definedName>
    <definedName name="IQ_ST_DEBT_REPAID_REIT" hidden="1">"c1194"</definedName>
    <definedName name="IQ_ST_DEBT_REPAID_UTI" hidden="1">"c1195"</definedName>
    <definedName name="IQ_ST_DEBT_UTI" hidden="1">"c1196"</definedName>
    <definedName name="IQ_ST_FHLB_DEBT" hidden="1">"c5658"</definedName>
    <definedName name="IQ_ST_INVEST" hidden="1">"c1197"</definedName>
    <definedName name="IQ_ST_INVEST_UTI" hidden="1">"c1198"</definedName>
    <definedName name="IQ_ST_NOTE_RECEIV" hidden="1">"c1199"</definedName>
    <definedName name="IQ_STATE" hidden="1">"c1200"</definedName>
    <definedName name="IQ_STATUTORY_SURPLUS" hidden="1">"c1201"</definedName>
    <definedName name="IQ_STOCK_BASED" hidden="1">"c1202"</definedName>
    <definedName name="IQ_STOCK_BASED_AT" hidden="1">"c2999"</definedName>
    <definedName name="IQ_STOCK_BASED_CF" hidden="1">"c1203"</definedName>
    <definedName name="IQ_STOCK_BASED_COGS" hidden="1">"c2990"</definedName>
    <definedName name="IQ_STOCK_BASED_COMP" hidden="1">"c3512"</definedName>
    <definedName name="IQ_STOCK_BASED_COMP_PRETAX" hidden="1">"c3510"</definedName>
    <definedName name="IQ_STOCK_BASED_COMP_TAX" hidden="1">"c3511"</definedName>
    <definedName name="IQ_STOCK_BASED_GA" hidden="1">"c2993"</definedName>
    <definedName name="IQ_STOCK_BASED_OTHER" hidden="1">"c2995"</definedName>
    <definedName name="IQ_STOCK_BASED_RD" hidden="1">"c2991"</definedName>
    <definedName name="IQ_STOCK_BASED_SGA" hidden="1">"c2994"</definedName>
    <definedName name="IQ_STOCK_BASED_SM" hidden="1">"c2992"</definedName>
    <definedName name="IQ_STOCK_BASED_TOTAL" hidden="1">"c3040"</definedName>
    <definedName name="IQ_STOCK_OPTIONS_COMP" hidden="1">"c3509"</definedName>
    <definedName name="IQ_STOCK_OPTIONS_COMP_PRETAX" hidden="1">"c3507"</definedName>
    <definedName name="IQ_STOCK_OPTIONS_COMP_TAX" hidden="1">"c3508"</definedName>
    <definedName name="IQ_STRIKE_PRICE_ISSUED" hidden="1">"c1645"</definedName>
    <definedName name="IQ_STRIKE_PRICE_OS" hidden="1">"c1646"</definedName>
    <definedName name="IQ_STW" hidden="1">"c2166"</definedName>
    <definedName name="IQ_SUB_BONDS_NOTES" hidden="1">"c2503"</definedName>
    <definedName name="IQ_SUB_BONDS_NOTES_PCT" hidden="1">"c2504"</definedName>
    <definedName name="IQ_SUB_DEBT" hidden="1">"c2532"</definedName>
    <definedName name="IQ_SUB_DEBT_EBITDA" hidden="1">"c2558"</definedName>
    <definedName name="IQ_SUB_DEBT_EBITDA_CAPEX" hidden="1">"c2559"</definedName>
    <definedName name="IQ_SUB_DEBT_PCT" hidden="1">"c2533"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VA" hidden="1">"c1214"</definedName>
    <definedName name="IQ_TARGET_PRICE_NUM" hidden="1">"c1653"</definedName>
    <definedName name="IQ_TARGET_PRICE_NUM_REUT" hidden="1">"c5319"</definedName>
    <definedName name="IQ_TARGET_PRICE_STDDEV" hidden="1">"c1654"</definedName>
    <definedName name="IQ_TARGET_PRICE_STDDEV_REUT" hidden="1">"c5320"</definedName>
    <definedName name="IQ_TAX_BENEFIT_CF_1YR" hidden="1">"c3483"</definedName>
    <definedName name="IQ_TAX_BENEFIT_CF_2YR" hidden="1">"c3484"</definedName>
    <definedName name="IQ_TAX_BENEFIT_CF_3YR" hidden="1">"c3485"</definedName>
    <definedName name="IQ_TAX_BENEFIT_CF_4YR" hidden="1">"c3486"</definedName>
    <definedName name="IQ_TAX_BENEFIT_CF_5YR" hidden="1">"c3487"</definedName>
    <definedName name="IQ_TAX_BENEFIT_CF_AFTER_FIVE" hidden="1">"c3488"</definedName>
    <definedName name="IQ_TAX_BENEFIT_CF_MAX_YEAR" hidden="1">"c3491"</definedName>
    <definedName name="IQ_TAX_BENEFIT_CF_NO_EXP" hidden="1">"c3489"</definedName>
    <definedName name="IQ_TAX_BENEFIT_CF_TOTAL" hidden="1">"c3490"</definedName>
    <definedName name="IQ_TAX_BENEFIT_OPTIONS" hidden="1">"c1215"</definedName>
    <definedName name="IQ_TAX_EQUIV_NET_INT_INC" hidden="1">"c1216"</definedName>
    <definedName name="IQ_TBV" hidden="1">"c1906"</definedName>
    <definedName name="IQ_TBV_10YR_ANN_CAGR" hidden="1">"c6169"</definedName>
    <definedName name="IQ_TBV_10YR_ANN_GROWTH" hidden="1">"c1936"</definedName>
    <definedName name="IQ_TBV_1YR_ANN_GROWTH" hidden="1">"c1931"</definedName>
    <definedName name="IQ_TBV_2YR_ANN_CAGR" hidden="1">"c6165"</definedName>
    <definedName name="IQ_TBV_2YR_ANN_GROWTH" hidden="1">"c1932"</definedName>
    <definedName name="IQ_TBV_3YR_ANN_CAGR" hidden="1">"c6166"</definedName>
    <definedName name="IQ_TBV_3YR_ANN_GROWTH" hidden="1">"c1933"</definedName>
    <definedName name="IQ_TBV_5YR_ANN_CAGR" hidden="1">"c6167"</definedName>
    <definedName name="IQ_TBV_5YR_ANN_GROWTH" hidden="1">"c1934"</definedName>
    <definedName name="IQ_TBV_7YR_ANN_CAGR" hidden="1">"c6168"</definedName>
    <definedName name="IQ_TBV_7YR_ANN_GROWTH" hidden="1">"c1935"</definedName>
    <definedName name="IQ_TBV_SHARE" hidden="1">"c1217"</definedName>
    <definedName name="IQ_TEMPLATE" hidden="1">"c1521"</definedName>
    <definedName name="IQ_TENANT" hidden="1">"c1218"</definedName>
    <definedName name="IQ_TERM_LOANS" hidden="1">"c2499"</definedName>
    <definedName name="IQ_TERM_LOANS_PCT" hidden="1">"c2500"</definedName>
    <definedName name="IQ_TEV" hidden="1">"c1219"</definedName>
    <definedName name="IQ_TEV_EBIT" hidden="1">"c1220"</definedName>
    <definedName name="IQ_TEV_EBIT_AVG" hidden="1">"c1221"</definedName>
    <definedName name="IQ_TEV_EBITDA" hidden="1">"c1222"</definedName>
    <definedName name="IQ_TEV_EBITDA_AVG" hidden="1">"c1223"</definedName>
    <definedName name="IQ_TEV_EBITDA_FWD" hidden="1">"c1224"</definedName>
    <definedName name="IQ_TEV_EBITDA_FWD_REUT" hidden="1">"c4050"</definedName>
    <definedName name="IQ_TEV_EMPLOYEE_AVG" hidden="1">"c1225"</definedName>
    <definedName name="IQ_TEV_TOTAL_REV" hidden="1">"c1226"</definedName>
    <definedName name="IQ_TEV_TOTAL_REV_AVG" hidden="1">"c1227"</definedName>
    <definedName name="IQ_TEV_TOTAL_REV_FWD" hidden="1">"c1228"</definedName>
    <definedName name="IQ_TEV_TOTAL_REV_FWD_REUT" hidden="1">"c4051"</definedName>
    <definedName name="IQ_TEV_UFCF" hidden="1">"c2208"</definedName>
    <definedName name="IQ_TIER_ONE_CAPITAL" hidden="1">"c2667"</definedName>
    <definedName name="IQ_TIER_ONE_RATIO" hidden="1">"c1229"</definedName>
    <definedName name="IQ_TIER_TWO_CAPITAL" hidden="1">"c2669"</definedName>
    <definedName name="IQ_TIME_DEP" hidden="1">"c1230"</definedName>
    <definedName name="IQ_TODAY" hidden="1">0</definedName>
    <definedName name="IQ_TOT_ADJ_INC" hidden="1">"c1616"</definedName>
    <definedName name="IQ_TOTAL_AR_BR" hidden="1">"c1231"</definedName>
    <definedName name="IQ_TOTAL_AR_RE" hidden="1">"c6270"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CAGR" hidden="1">"c6140"</definedName>
    <definedName name="IQ_TOTAL_ASSETS_10YR_ANN_GROWTH" hidden="1">"c1235"</definedName>
    <definedName name="IQ_TOTAL_ASSETS_1YR_ANN_GROWTH" hidden="1">"c1236"</definedName>
    <definedName name="IQ_TOTAL_ASSETS_2YR_ANN_CAGR" hidden="1">"c6141"</definedName>
    <definedName name="IQ_TOTAL_ASSETS_2YR_ANN_GROWTH" hidden="1">"c1237"</definedName>
    <definedName name="IQ_TOTAL_ASSETS_3YR_ANN_CAGR" hidden="1">"c6142"</definedName>
    <definedName name="IQ_TOTAL_ASSETS_3YR_ANN_GROWTH" hidden="1">"c1238"</definedName>
    <definedName name="IQ_TOTAL_ASSETS_5YR_ANN_CAGR" hidden="1">"c6143"</definedName>
    <definedName name="IQ_TOTAL_ASSETS_5YR_ANN_GROWTH" hidden="1">"c1239"</definedName>
    <definedName name="IQ_TOTAL_ASSETS_7YR_ANN_CAGR" hidden="1">"c6144"</definedName>
    <definedName name="IQ_TOTAL_ASSETS_7YR_ANN_GROWTH" hidden="1">"c1240"</definedName>
    <definedName name="IQ_TOTAL_AVG_CE_TOTAL_AVG_ASSETS" hidden="1">"c1241"</definedName>
    <definedName name="IQ_TOTAL_AVG_EQUITY_TOTAL_AVG_ASSETS" hidden="1">"c1242"</definedName>
    <definedName name="IQ_TOTAL_BANK_CAPITAL" hidden="1">"c2668"</definedName>
    <definedName name="IQ_TOTAL_CA" hidden="1">"c1243"</definedName>
    <definedName name="IQ_TOTAL_CAP" hidden="1">"c1507"</definedName>
    <definedName name="IQ_TOTAL_CAPITAL_RATIO" hidden="1">"c1244"</definedName>
    <definedName name="IQ_TOTAL_CASH_DIVID" hidden="1">"c1455"</definedName>
    <definedName name="IQ_TOTAL_CASH_FINAN" hidden="1">"c1352"</definedName>
    <definedName name="IQ_TOTAL_CASH_INVEST" hidden="1">"c1353"</definedName>
    <definedName name="IQ_TOTAL_CASH_OPER" hidden="1">"c1354"</definedName>
    <definedName name="IQ_TOTAL_CHURN" hidden="1">"c2122"</definedName>
    <definedName name="IQ_TOTAL_CL" hidden="1">"c1245"</definedName>
    <definedName name="IQ_TOTAL_COMMON" hidden="1">"c1411"</definedName>
    <definedName name="IQ_TOTAL_COMMON_EQUITY" hidden="1">"c1246"</definedName>
    <definedName name="IQ_TOTAL_CURRENT_ASSETS" hidden="1">"c1430"</definedName>
    <definedName name="IQ_TOTAL_CURRENT_LIAB" hidden="1">"c1431"</definedName>
    <definedName name="IQ_TOTAL_DEBT" hidden="1">"c1247"</definedName>
    <definedName name="IQ_TOTAL_DEBT_CAPITAL" hidden="1">"c1248"</definedName>
    <definedName name="IQ_TOTAL_DEBT_EBITDA" hidden="1">"c1249"</definedName>
    <definedName name="IQ_TOTAL_DEBT_EBITDA_CAPEX" hidden="1">"c2948"</definedName>
    <definedName name="IQ_TOTAL_DEBT_EQUITY" hidden="1">"c1250"</definedName>
    <definedName name="IQ_TOTAL_DEBT_EXCL_FIN" hidden="1">"c2937"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" hidden="1">"c6271"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OVER_EBITDA" hidden="1">"c1433"</definedName>
    <definedName name="IQ_TOTAL_DEBT_OVER_TOTAL_BV" hidden="1">"c1434"</definedName>
    <definedName name="IQ_TOTAL_DEBT_OVER_TOTAL_CAP" hidden="1">"c1432"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" hidden="1">"c6272"</definedName>
    <definedName name="IQ_TOTAL_DEBT_REPAID_REIT" hidden="1">"c1263"</definedName>
    <definedName name="IQ_TOTAL_DEBT_REPAID_UTI" hidden="1">"c1264"</definedName>
    <definedName name="IQ_TOTAL_DEPOSITS" hidden="1">"c1265"</definedName>
    <definedName name="IQ_TOTAL_DIV_PAID_CF" hidden="1">"c1266"</definedName>
    <definedName name="IQ_TOTAL_EMPLOYEE" hidden="1">"c2141"</definedName>
    <definedName name="IQ_TOTAL_EMPLOYEES" hidden="1">"c1522"</definedName>
    <definedName name="IQ_TOTAL_EQUITY" hidden="1">"c1267"</definedName>
    <definedName name="IQ_TOTAL_EQUITY_10YR_ANN_CAGR" hidden="1">"c6145"</definedName>
    <definedName name="IQ_TOTAL_EQUITY_10YR_ANN_GROWTH" hidden="1">"c1268"</definedName>
    <definedName name="IQ_TOTAL_EQUITY_1YR_ANN_GROWTH" hidden="1">"c1269"</definedName>
    <definedName name="IQ_TOTAL_EQUITY_2YR_ANN_CAGR" hidden="1">"c6146"</definedName>
    <definedName name="IQ_TOTAL_EQUITY_2YR_ANN_GROWTH" hidden="1">"c1270"</definedName>
    <definedName name="IQ_TOTAL_EQUITY_3YR_ANN_CAGR" hidden="1">"c6147"</definedName>
    <definedName name="IQ_TOTAL_EQUITY_3YR_ANN_GROWTH" hidden="1">"c1271"</definedName>
    <definedName name="IQ_TOTAL_EQUITY_5YR_ANN_CAGR" hidden="1">"c6148"</definedName>
    <definedName name="IQ_TOTAL_EQUITY_5YR_ANN_GROWTH" hidden="1">"c1272"</definedName>
    <definedName name="IQ_TOTAL_EQUITY_7YR_ANN_CAGR" hidden="1">"c6149"</definedName>
    <definedName name="IQ_TOTAL_EQUITY_7YR_ANN_GROWTH" hidden="1">"c1273"</definedName>
    <definedName name="IQ_TOTAL_EQUITY_ALLOWANCE_TOTAL_LOANS" hidden="1">"c1274"</definedName>
    <definedName name="IQ_TOTAL_INTEREST_EXP" hidden="1">"c1382"</definedName>
    <definedName name="IQ_TOTAL_INVENTORY" hidden="1">"c1385"</definedName>
    <definedName name="IQ_TOTAL_INVEST" hidden="1">"c1275"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FIN" hidden="1">"c1280"</definedName>
    <definedName name="IQ_TOTAL_LIAB_INS" hidden="1">"c1281"</definedName>
    <definedName name="IQ_TOTAL_LIAB_RE" hidden="1">"c6273"</definedName>
    <definedName name="IQ_TOTAL_LIAB_REIT" hidden="1">"c1282"</definedName>
    <definedName name="IQ_TOTAL_LIAB_SHAREHOLD" hidden="1">"c1435"</definedName>
    <definedName name="IQ_TOTAL_LIAB_TOTAL_ASSETS" hidden="1">"c1283"</definedName>
    <definedName name="IQ_TOTAL_LOANS" hidden="1">"c5653"</definedName>
    <definedName name="IQ_TOTAL_LONG_DEBT" hidden="1">"c1617"</definedName>
    <definedName name="IQ_TOTAL_NON_REC" hidden="1">"c1444"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" hidden="1">"c6274"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PTIONS_BEG_OS" hidden="1">"c2693"</definedName>
    <definedName name="IQ_TOTAL_OPTIONS_CANCELLED" hidden="1">"c2696"</definedName>
    <definedName name="IQ_TOTAL_OPTIONS_END_OS" hidden="1">"c2697"</definedName>
    <definedName name="IQ_TOTAL_OPTIONS_EXERCISABLE_END_OS" hidden="1">"c5819"</definedName>
    <definedName name="IQ_TOTAL_OPTIONS_EXERCISED" hidden="1">"c2695"</definedName>
    <definedName name="IQ_TOTAL_OPTIONS_GRANTED" hidden="1">"c2694"</definedName>
    <definedName name="IQ_TOTAL_OTHER_OPER" hidden="1">"c1289"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ASSETS_DOMESTIC" hidden="1">"c2658"</definedName>
    <definedName name="IQ_TOTAL_PENSION_ASSETS_FOREIGN" hidden="1">"c2666"</definedName>
    <definedName name="IQ_TOTAL_PENSION_EXP" hidden="1">"c1291"</definedName>
    <definedName name="IQ_TOTAL_PRINCIPAL" hidden="1">"c2509"</definedName>
    <definedName name="IQ_TOTAL_PRINCIPAL_PCT" hidden="1">"c2510"</definedName>
    <definedName name="IQ_TOTAL_PROVED_RESERVES_NGL" hidden="1">"c2924"</definedName>
    <definedName name="IQ_TOTAL_PROVED_RESERVES_OIL" hidden="1">"c2040"</definedName>
    <definedName name="IQ_TOTAL_RECEIV" hidden="1">"c1293"</definedName>
    <definedName name="IQ_TOTAL_REV" hidden="1">"c1294"</definedName>
    <definedName name="IQ_TOTAL_REV_10YR_ANN_CAGR" hidden="1">"c6150"</definedName>
    <definedName name="IQ_TOTAL_REV_10YR_ANN_GROWTH" hidden="1">"c1295"</definedName>
    <definedName name="IQ_TOTAL_REV_1YR_ANN_GROWTH" hidden="1">"c1296"</definedName>
    <definedName name="IQ_TOTAL_REV_2YR_ANN_CAGR" hidden="1">"c6151"</definedName>
    <definedName name="IQ_TOTAL_REV_2YR_ANN_GROWTH" hidden="1">"c1297"</definedName>
    <definedName name="IQ_TOTAL_REV_3YR_ANN_CAGR" hidden="1">"c6152"</definedName>
    <definedName name="IQ_TOTAL_REV_3YR_ANN_GROWTH" hidden="1">"c1298"</definedName>
    <definedName name="IQ_TOTAL_REV_5YR_ANN_CAGR" hidden="1">"c6153"</definedName>
    <definedName name="IQ_TOTAL_REV_5YR_ANN_GROWTH" hidden="1">"c1299"</definedName>
    <definedName name="IQ_TOTAL_REV_7YR_ANN_CAGR" hidden="1">"c6154"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" hidden="1">"c6275"</definedName>
    <definedName name="IQ_TOTAL_REV_REIT" hidden="1">"c1307"</definedName>
    <definedName name="IQ_TOTAL_REV_SHARE" hidden="1">"c1912"</definedName>
    <definedName name="IQ_TOTAL_REV_UTI" hidden="1">"c1308"</definedName>
    <definedName name="IQ_TOTAL_REVENUE" hidden="1">"c1436"</definedName>
    <definedName name="IQ_TOTAL_SPECIAL" hidden="1">"c1618"</definedName>
    <definedName name="IQ_TOTAL_ST_BORROW" hidden="1">"c1424"</definedName>
    <definedName name="IQ_TOTAL_SUB_DEBT" hidden="1">"c2528"</definedName>
    <definedName name="IQ_TOTAL_SUB_DEBT_EBITDA" hidden="1">"c2554"</definedName>
    <definedName name="IQ_TOTAL_SUB_DEBT_EBITDA_CAPEX" hidden="1">"c2555"</definedName>
    <definedName name="IQ_TOTAL_SUB_DEBT_PCT" hidden="1">"c2529"</definedName>
    <definedName name="IQ_TOTAL_SUBS" hidden="1">"c2119"</definedName>
    <definedName name="IQ_TOTAL_UNUSUAL" hidden="1">"c1508"</definedName>
    <definedName name="IQ_TOTAL_UNUSUAL_BNK" hidden="1">"c5516"</definedName>
    <definedName name="IQ_TOTAL_UNUSUAL_BR" hidden="1">"c5517"</definedName>
    <definedName name="IQ_TOTAL_UNUSUAL_FIN" hidden="1">"c5518"</definedName>
    <definedName name="IQ_TOTAL_UNUSUAL_INS" hidden="1">"c5519"</definedName>
    <definedName name="IQ_TOTAL_UNUSUAL_RE" hidden="1">"c6286"</definedName>
    <definedName name="IQ_TOTAL_UNUSUAL_REIT" hidden="1">"c5520"</definedName>
    <definedName name="IQ_TOTAL_UNUSUAL_UTI" hidden="1">"c5521"</definedName>
    <definedName name="IQ_TOTAL_WARRANTS_BEG_OS" hidden="1">"c2719"</definedName>
    <definedName name="IQ_TOTAL_WARRANTS_CANCELLED" hidden="1">"c2722"</definedName>
    <definedName name="IQ_TOTAL_WARRANTS_END_OS" hidden="1">"c2723"</definedName>
    <definedName name="IQ_TOTAL_WARRANTS_EXERCISED" hidden="1">"c2721"</definedName>
    <definedName name="IQ_TOTAL_WARRANTS_ISSUED" hidden="1">"c2720"</definedName>
    <definedName name="IQ_TR_ACCT_METHOD" hidden="1">"c2363"</definedName>
    <definedName name="IQ_TR_ACQ_52_WK_HI_PCT" hidden="1">"c2348"</definedName>
    <definedName name="IQ_TR_ACQ_52_WK_LOW_PCT" hidden="1">"c2347"</definedName>
    <definedName name="IQ_TR_ACQ_CASH_ST_INVEST" hidden="1">"c2372"</definedName>
    <definedName name="IQ_TR_ACQ_CLOSEPRICE_1D" hidden="1">"c3027"</definedName>
    <definedName name="IQ_TR_ACQ_DILUT_EPS_EXCL" hidden="1">"c3028"</definedName>
    <definedName name="IQ_TR_ACQ_EARNING_CO" hidden="1">"c2379"</definedName>
    <definedName name="IQ_TR_ACQ_EBIT" hidden="1">"c2380"</definedName>
    <definedName name="IQ_TR_ACQ_EBIT_EQ_INC" hidden="1">"c3611"</definedName>
    <definedName name="IQ_TR_ACQ_EBITDA" hidden="1">"c2381"</definedName>
    <definedName name="IQ_TR_ACQ_EBITDA_EQ_INC" hidden="1">"c3610"</definedName>
    <definedName name="IQ_TR_ACQ_FILING_CURRENCY" hidden="1">"c3033"</definedName>
    <definedName name="IQ_TR_ACQ_FILINGDATE" hidden="1">"c3607"</definedName>
    <definedName name="IQ_TR_ACQ_MCAP_1DAY" hidden="1">"c2345"</definedName>
    <definedName name="IQ_TR_ACQ_MIN_INT" hidden="1">"c2374"</definedName>
    <definedName name="IQ_TR_ACQ_NET_DEBT" hidden="1">"c2373"</definedName>
    <definedName name="IQ_TR_ACQ_NI" hidden="1">"c2378"</definedName>
    <definedName name="IQ_TR_ACQ_PERIODDATE" hidden="1">"c3606"</definedName>
    <definedName name="IQ_TR_ACQ_PRICEDATE_1D" hidden="1">"c2346"</definedName>
    <definedName name="IQ_TR_ACQ_RETURN" hidden="1">"c2349"</definedName>
    <definedName name="IQ_TR_ACQ_STOCKYEARHIGH_1D" hidden="1">"c2343"</definedName>
    <definedName name="IQ_TR_ACQ_STOCKYEARLOW_1D" hidden="1">"c2344"</definedName>
    <definedName name="IQ_TR_ACQ_TOTAL_ASSETS" hidden="1">"c2371"</definedName>
    <definedName name="IQ_TR_ACQ_TOTAL_COMMON_EQ" hidden="1">"c2377"</definedName>
    <definedName name="IQ_TR_ACQ_TOTAL_DEBT" hidden="1">"c2376"</definedName>
    <definedName name="IQ_TR_ACQ_TOTAL_PREF" hidden="1">"c2375"</definedName>
    <definedName name="IQ_TR_ACQ_TOTAL_REV" hidden="1">"c2382"</definedName>
    <definedName name="IQ_TR_ADJ_SIZE" hidden="1">"c3024"</definedName>
    <definedName name="IQ_TR_ANN_DATE" hidden="1">"c2395"</definedName>
    <definedName name="IQ_TR_ANN_DATE_BL" hidden="1">"c2394"</definedName>
    <definedName name="IQ_TR_BID_DATE" hidden="1">"c2357"</definedName>
    <definedName name="IQ_TR_BLUESKY_FEES" hidden="1">"c2277"</definedName>
    <definedName name="IQ_TR_BUY_ACC_ADVISORS" hidden="1">"c3048"</definedName>
    <definedName name="IQ_TR_BUY_FIN_ADVISORS" hidden="1">"c3045"</definedName>
    <definedName name="IQ_TR_BUY_LEG_ADVISORS" hidden="1">"c2387"</definedName>
    <definedName name="IQ_TR_BUYER_ID" hidden="1">"c2404"</definedName>
    <definedName name="IQ_TR_BUYERNAME" hidden="1">"c2401"</definedName>
    <definedName name="IQ_TR_CANCELLED_DATE" hidden="1">"c2284"</definedName>
    <definedName name="IQ_TR_CASH_CONSID_PCT" hidden="1">"c2296"</definedName>
    <definedName name="IQ_TR_CASH_ST_INVEST" hidden="1">"c3025"</definedName>
    <definedName name="IQ_TR_CHANGE_CONTROL" hidden="1">"c2365"</definedName>
    <definedName name="IQ_TR_CLOSED_DATE" hidden="1">"c2283"</definedName>
    <definedName name="IQ_TR_CO_NET_PROCEEDS" hidden="1">"c2268"</definedName>
    <definedName name="IQ_TR_CO_NET_PROCEEDS_PCT" hidden="1">"c2270"</definedName>
    <definedName name="IQ_TR_COMMENTS" hidden="1">"c2383"</definedName>
    <definedName name="IQ_TR_CURRENCY" hidden="1">"c3016"</definedName>
    <definedName name="IQ_TR_DEAL_ATTITUDE" hidden="1">"c2364"</definedName>
    <definedName name="IQ_TR_DEAL_CONDITIONS" hidden="1">"c2367"</definedName>
    <definedName name="IQ_TR_DEAL_RESOLUTION" hidden="1">"c2391"</definedName>
    <definedName name="IQ_TR_DEAL_RESPONSES" hidden="1">"c2366"</definedName>
    <definedName name="IQ_TR_DEBT_CONSID_PCT" hidden="1">"c2299"</definedName>
    <definedName name="IQ_TR_DEF_AGRMT_DATE" hidden="1">"c2285"</definedName>
    <definedName name="IQ_TR_DISCLOSED_FEES_EXP" hidden="1">"c2288"</definedName>
    <definedName name="IQ_TR_EARNOUTS" hidden="1">"c3023"</definedName>
    <definedName name="IQ_TR_EXPIRED_DATE" hidden="1">"c2412"</definedName>
    <definedName name="IQ_TR_GROSS_OFFERING_AMT" hidden="1">"c2262"</definedName>
    <definedName name="IQ_TR_HYBRID_CONSID_PCT" hidden="1">"c2300"</definedName>
    <definedName name="IQ_TR_IMPLIED_EQ" hidden="1">"c3018"</definedName>
    <definedName name="IQ_TR_IMPLIED_EQ_BV" hidden="1">"c3019"</definedName>
    <definedName name="IQ_TR_IMPLIED_EQ_NI_LTM" hidden="1">"c3020"</definedName>
    <definedName name="IQ_TR_IMPLIED_EV" hidden="1">"c2301"</definedName>
    <definedName name="IQ_TR_IMPLIED_EV_BV" hidden="1">"c2306"</definedName>
    <definedName name="IQ_TR_IMPLIED_EV_EBIT" hidden="1">"c2302"</definedName>
    <definedName name="IQ_TR_IMPLIED_EV_EBITDA" hidden="1">"c2303"</definedName>
    <definedName name="IQ_TR_IMPLIED_EV_NI_LTM" hidden="1">"c2307"</definedName>
    <definedName name="IQ_TR_IMPLIED_EV_REV" hidden="1">"c2304"</definedName>
    <definedName name="IQ_TR_INIT_FILED_DATE" hidden="1">"c3495"</definedName>
    <definedName name="IQ_TR_LOI_DATE" hidden="1">"c2282"</definedName>
    <definedName name="IQ_TR_MAJ_MIN_STAKE" hidden="1">"c2389"</definedName>
    <definedName name="IQ_TR_NEGOTIATED_BUYBACK_PRICE" hidden="1">"c2414"</definedName>
    <definedName name="IQ_TR_NET_ASSUM_LIABILITIES" hidden="1">"c2308"</definedName>
    <definedName name="IQ_TR_NET_PROCEEDS" hidden="1">"c2267"</definedName>
    <definedName name="IQ_TR_OFFER_DATE" hidden="1">"c2265"</definedName>
    <definedName name="IQ_TR_OFFER_DATE_MA" hidden="1">"c3035"</definedName>
    <definedName name="IQ_TR_OFFER_PER_SHARE" hidden="1">"c3017"</definedName>
    <definedName name="IQ_TR_OPTIONS_CONSID_PCT" hidden="1">"c2311"</definedName>
    <definedName name="IQ_TR_OTHER_CONSID" hidden="1">"c3022"</definedName>
    <definedName name="IQ_TR_PCT_SOUGHT" hidden="1">"c2309"</definedName>
    <definedName name="IQ_TR_PFEATURES" hidden="1">"c2384"</definedName>
    <definedName name="IQ_TR_PIPE_CONV_PRICE_SHARE" hidden="1">"c2292"</definedName>
    <definedName name="IQ_TR_PIPE_CPN_PCT" hidden="1">"c2291"</definedName>
    <definedName name="IQ_TR_PIPE_NUMBER_SHARES" hidden="1">"c2293"</definedName>
    <definedName name="IQ_TR_PIPE_PPS" hidden="1">"c2290"</definedName>
    <definedName name="IQ_TR_POSTMONEY_VAL" hidden="1">"c2286"</definedName>
    <definedName name="IQ_TR_PREDEAL_SITUATION" hidden="1">"c2390"</definedName>
    <definedName name="IQ_TR_PREF_CONSID_PCT" hidden="1">"c2310"</definedName>
    <definedName name="IQ_TR_PREMONEY_VAL" hidden="1">"c2287"</definedName>
    <definedName name="IQ_TR_PRINTING_FEES" hidden="1">"c2276"</definedName>
    <definedName name="IQ_TR_PT_MONETARY_VALUES" hidden="1">"c2415"</definedName>
    <definedName name="IQ_TR_PT_NUMBER_SHARES" hidden="1">"c2417"</definedName>
    <definedName name="IQ_TR_PT_PCT_SHARES" hidden="1">"c2416"</definedName>
    <definedName name="IQ_TR_RATING_FEES" hidden="1">"c2275"</definedName>
    <definedName name="IQ_TR_REG_EFFECT_DATE" hidden="1">"c2264"</definedName>
    <definedName name="IQ_TR_REG_FILED_DATE" hidden="1">"c2263"</definedName>
    <definedName name="IQ_TR_RENEWAL_BUYBACK" hidden="1">"c2413"</definedName>
    <definedName name="IQ_TR_ROUND_NUMBER" hidden="1">"c2295"</definedName>
    <definedName name="IQ_TR_SEC_FEES" hidden="1">"c2274"</definedName>
    <definedName name="IQ_TR_SECURITY_TYPE_REG" hidden="1">"c2279"</definedName>
    <definedName name="IQ_TR_SELL_ACC_ADVISORS" hidden="1">"c3049"</definedName>
    <definedName name="IQ_TR_SELL_FIN_ADVISORS" hidden="1">"c3046"</definedName>
    <definedName name="IQ_TR_SELL_LEG_ADVISORS" hidden="1">"c2388"</definedName>
    <definedName name="IQ_TR_SELLER_ID" hidden="1">"c2406"</definedName>
    <definedName name="IQ_TR_SELLERNAME" hidden="1">"c2402"</definedName>
    <definedName name="IQ_TR_SFEATURES" hidden="1">"c2385"</definedName>
    <definedName name="IQ_TR_SH_NET_PROCEEDS" hidden="1">"c2269"</definedName>
    <definedName name="IQ_TR_SH_NET_PROCEEDS_PCT" hidden="1">"c2271"</definedName>
    <definedName name="IQ_TR_SPECIAL_COMMITTEE" hidden="1">"c2362"</definedName>
    <definedName name="IQ_TR_STATUS" hidden="1">"c2399"</definedName>
    <definedName name="IQ_TR_STOCK_CONSID_PCT" hidden="1">"c2312"</definedName>
    <definedName name="IQ_TR_SUSPENDED_DATE" hidden="1">"c2407"</definedName>
    <definedName name="IQ_TR_TARGET_52WKHI_PCT" hidden="1">"c2351"</definedName>
    <definedName name="IQ_TR_TARGET_52WKLOW_PCT" hidden="1">"c2350"</definedName>
    <definedName name="IQ_TR_TARGET_ACC_ADVISORS" hidden="1">"c3047"</definedName>
    <definedName name="IQ_TR_TARGET_CASH_ST_INVEST" hidden="1">"c2327"</definedName>
    <definedName name="IQ_TR_TARGET_CLOSEPRICE_1D" hidden="1">"c2352"</definedName>
    <definedName name="IQ_TR_TARGET_CLOSEPRICE_1M" hidden="1">"c2354"</definedName>
    <definedName name="IQ_TR_TARGET_CLOSEPRICE_1W" hidden="1">"c2353"</definedName>
    <definedName name="IQ_TR_TARGET_DILUT_EPS_EXCL" hidden="1">"c2324"</definedName>
    <definedName name="IQ_TR_TARGET_EARNING_CO" hidden="1">"c2332"</definedName>
    <definedName name="IQ_TR_TARGET_EBIT" hidden="1">"c2333"</definedName>
    <definedName name="IQ_TR_TARGET_EBIT_EQ_INC" hidden="1">"c3609"</definedName>
    <definedName name="IQ_TR_TARGET_EBITDA" hidden="1">"c2334"</definedName>
    <definedName name="IQ_TR_TARGET_EBITDA_EQ_INC" hidden="1">"c3608"</definedName>
    <definedName name="IQ_TR_TARGET_FILING_CURRENCY" hidden="1">"c3034"</definedName>
    <definedName name="IQ_TR_TARGET_FILINGDATE" hidden="1">"c3605"</definedName>
    <definedName name="IQ_TR_TARGET_FIN_ADVISORS" hidden="1">"c3044"</definedName>
    <definedName name="IQ_TR_TARGET_ID" hidden="1">"c2405"</definedName>
    <definedName name="IQ_TR_TARGET_LEG_ADVISORS" hidden="1">"c2386"</definedName>
    <definedName name="IQ_TR_TARGET_MARKETCAP" hidden="1">"c2342"</definedName>
    <definedName name="IQ_TR_TARGET_MIN_INT" hidden="1">"c2328"</definedName>
    <definedName name="IQ_TR_TARGET_NET_DEBT" hidden="1">"c2326"</definedName>
    <definedName name="IQ_TR_TARGET_NI" hidden="1">"c2331"</definedName>
    <definedName name="IQ_TR_TARGET_PERIODDATE" hidden="1">"c3604"</definedName>
    <definedName name="IQ_TR_TARGET_PRICEDATE_1D" hidden="1">"c2341"</definedName>
    <definedName name="IQ_TR_TARGET_RETURN" hidden="1">"c2355"</definedName>
    <definedName name="IQ_TR_TARGET_SEC_DETAIL" hidden="1">"c3021"</definedName>
    <definedName name="IQ_TR_TARGET_SEC_TI_ID" hidden="1">"c2368"</definedName>
    <definedName name="IQ_TR_TARGET_SEC_TYPE" hidden="1">"c2369"</definedName>
    <definedName name="IQ_TR_TARGET_SPD" hidden="1">"c2313"</definedName>
    <definedName name="IQ_TR_TARGET_SPD_PCT" hidden="1">"c2314"</definedName>
    <definedName name="IQ_TR_TARGET_STOCKPREMIUM_1D" hidden="1">"c2336"</definedName>
    <definedName name="IQ_TR_TARGET_STOCKPREMIUM_1M" hidden="1">"c2337"</definedName>
    <definedName name="IQ_TR_TARGET_STOCKPREMIUM_1W" hidden="1">"c2338"</definedName>
    <definedName name="IQ_TR_TARGET_STOCKYEARHIGH_1D" hidden="1">"c2339"</definedName>
    <definedName name="IQ_TR_TARGET_STOCKYEARLOW_1D" hidden="1">"c2340"</definedName>
    <definedName name="IQ_TR_TARGET_TOTAL_ASSETS" hidden="1">"c2325"</definedName>
    <definedName name="IQ_TR_TARGET_TOTAL_COMMON_EQ" hidden="1">"c2421"</definedName>
    <definedName name="IQ_TR_TARGET_TOTAL_DEBT" hidden="1">"c2330"</definedName>
    <definedName name="IQ_TR_TARGET_TOTAL_PREF" hidden="1">"c2329"</definedName>
    <definedName name="IQ_TR_TARGET_TOTAL_REV" hidden="1">"c2335"</definedName>
    <definedName name="IQ_TR_TARGETNAME" hidden="1">"c2403"</definedName>
    <definedName name="IQ_TR_TERM_FEE" hidden="1">"c2298"</definedName>
    <definedName name="IQ_TR_TERM_FEE_PCT" hidden="1">"c2297"</definedName>
    <definedName name="IQ_TR_TODATE" hidden="1">"c3036"</definedName>
    <definedName name="IQ_TR_TODATE_MONETARY_VALUE" hidden="1">"c2418"</definedName>
    <definedName name="IQ_TR_TODATE_NUMBER_SHARES" hidden="1">"c2420"</definedName>
    <definedName name="IQ_TR_TODATE_PCT_SHARES" hidden="1">"c2419"</definedName>
    <definedName name="IQ_TR_TOTAL_ACCT_FEES" hidden="1">"c2273"</definedName>
    <definedName name="IQ_TR_TOTAL_CASH" hidden="1">"c2315"</definedName>
    <definedName name="IQ_TR_TOTAL_CONSID_SH" hidden="1">"c2316"</definedName>
    <definedName name="IQ_TR_TOTAL_DEBT" hidden="1">"c2317"</definedName>
    <definedName name="IQ_TR_TOTAL_GROSS_TV" hidden="1">"c2318"</definedName>
    <definedName name="IQ_TR_TOTAL_HYBRID" hidden="1">"c2319"</definedName>
    <definedName name="IQ_TR_TOTAL_LEGAL_FEES" hidden="1">"c2272"</definedName>
    <definedName name="IQ_TR_TOTAL_NET_TV" hidden="1">"c2320"</definedName>
    <definedName name="IQ_TR_TOTAL_NEWMONEY" hidden="1">"c2289"</definedName>
    <definedName name="IQ_TR_TOTAL_OPTIONS" hidden="1">"c2322"</definedName>
    <definedName name="IQ_TR_TOTAL_OPTIONS_BUYER" hidden="1">"c3026"</definedName>
    <definedName name="IQ_TR_TOTAL_PREFERRED" hidden="1">"c2321"</definedName>
    <definedName name="IQ_TR_TOTAL_REG_AMT" hidden="1">"c2261"</definedName>
    <definedName name="IQ_TR_TOTAL_STOCK" hidden="1">"c2323"</definedName>
    <definedName name="IQ_TR_TOTAL_TAKEDOWNS" hidden="1">"c2278"</definedName>
    <definedName name="IQ_TR_TOTAL_UW_COMP" hidden="1">"c2280"</definedName>
    <definedName name="IQ_TR_TOTALVALUE" hidden="1">"c2400"</definedName>
    <definedName name="IQ_TR_TRANSACTION_TYPE" hidden="1">"c2398"</definedName>
    <definedName name="IQ_TR_WITHDRAWN_DTE" hidden="1">"c2266"</definedName>
    <definedName name="IQ_TRADE_AR" hidden="1">"c1345"</definedName>
    <definedName name="IQ_TRADE_PRINCIPAL" hidden="1">"c1309"</definedName>
    <definedName name="IQ_TRADING_ASSETS" hidden="1">"c1310"</definedName>
    <definedName name="IQ_TRADING_CURRENCY" hidden="1">"c2212"</definedName>
    <definedName name="IQ_TREASURY" hidden="1">"c1311"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" hidden="1">"c6276"</definedName>
    <definedName name="IQ_TREASURY_OTHER_EQUITY_REIT" hidden="1">"c1317"</definedName>
    <definedName name="IQ_TREASURY_OTHER_EQUITY_UTI" hidden="1">"c1318"</definedName>
    <definedName name="IQ_TREASURY_STOCK" hidden="1">"c1438"</definedName>
    <definedName name="IQ_TRUST_INC" hidden="1">"c1319"</definedName>
    <definedName name="IQ_TRUST_PREF" hidden="1">"c1320"</definedName>
    <definedName name="IQ_TRUST_PREFERRED" hidden="1">"c3029"</definedName>
    <definedName name="IQ_TRUST_PREFERRED_PCT" hidden="1">"c3030"</definedName>
    <definedName name="IQ_UFCF_10YR_ANN_CAGR" hidden="1">"c6179"</definedName>
    <definedName name="IQ_UFCF_10YR_ANN_GROWTH" hidden="1">"c1948"</definedName>
    <definedName name="IQ_UFCF_1YR_ANN_GROWTH" hidden="1">"c1943"</definedName>
    <definedName name="IQ_UFCF_2YR_ANN_CAGR" hidden="1">"c6175"</definedName>
    <definedName name="IQ_UFCF_2YR_ANN_GROWTH" hidden="1">"c1944"</definedName>
    <definedName name="IQ_UFCF_3YR_ANN_CAGR" hidden="1">"c6176"</definedName>
    <definedName name="IQ_UFCF_3YR_ANN_GROWTH" hidden="1">"c1945"</definedName>
    <definedName name="IQ_UFCF_5YR_ANN_CAGR" hidden="1">"c6177"</definedName>
    <definedName name="IQ_UFCF_5YR_ANN_GROWTH" hidden="1">"c1946"</definedName>
    <definedName name="IQ_UFCF_7YR_ANN_CAGR" hidden="1">"c6178"</definedName>
    <definedName name="IQ_UFCF_7YR_ANN_GROWTH" hidden="1">"c1947"</definedName>
    <definedName name="IQ_UFCF_MARGIN" hidden="1">"c1962"</definedName>
    <definedName name="IQ_ULT_PARENT" hidden="1">"c3037"</definedName>
    <definedName name="IQ_ULT_PARENT_CIQID" hidden="1">"c3039"</definedName>
    <definedName name="IQ_ULT_PARENT_TICKER" hidden="1">"c3038"</definedName>
    <definedName name="IQ_UNAMORT_DISC" hidden="1">"c2513"</definedName>
    <definedName name="IQ_UNAMORT_DISC_PCT" hidden="1">"c2514"</definedName>
    <definedName name="IQ_UNAMORT_PREMIUM" hidden="1">"c2511"</definedName>
    <definedName name="IQ_UNAMORT_PREMIUM_PCT" hidden="1">"c2512"</definedName>
    <definedName name="IQ_UNDRAWN_CP" hidden="1">"c2518"</definedName>
    <definedName name="IQ_UNDRAWN_CREDIT" hidden="1">"c3032"</definedName>
    <definedName name="IQ_UNDRAWN_RC" hidden="1">"c2517"</definedName>
    <definedName name="IQ_UNDRAWN_TL" hidden="1">"c2519"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" hidden="1">"c6277"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LEVERED_FCF" hidden="1">"c1908"</definedName>
    <definedName name="IQ_UNPAID_CLAIMS" hidden="1">"c1330"</definedName>
    <definedName name="IQ_UNREALIZED_GAIN" hidden="1">"c1619"</definedName>
    <definedName name="IQ_UNSECURED_DEBT" hidden="1">"c2548"</definedName>
    <definedName name="IQ_UNSECURED_DEBT_PCT" hidden="1">"c2549"</definedName>
    <definedName name="IQ_UNUSUAL_EXP" hidden="1">"c1456"</definedName>
    <definedName name="IQ_US_GAAP" hidden="1">"c1331"</definedName>
    <definedName name="IQ_US_GAAP_BASIC_EPS_EXCL" hidden="1">"c2984"</definedName>
    <definedName name="IQ_US_GAAP_BASIC_EPS_INCL" hidden="1">"c2982"</definedName>
    <definedName name="IQ_US_GAAP_BASIC_WEIGHT" hidden="1">"c2980"</definedName>
    <definedName name="IQ_US_GAAP_CA_ADJ" hidden="1">"c2925"</definedName>
    <definedName name="IQ_US_GAAP_CASH_FINAN" hidden="1">"c2945"</definedName>
    <definedName name="IQ_US_GAAP_CASH_FINAN_ADJ" hidden="1">"c2941"</definedName>
    <definedName name="IQ_US_GAAP_CASH_INVEST" hidden="1">"c2944"</definedName>
    <definedName name="IQ_US_GAAP_CASH_INVEST_ADJ" hidden="1">"c2940"</definedName>
    <definedName name="IQ_US_GAAP_CASH_OPER" hidden="1">"c2943"</definedName>
    <definedName name="IQ_US_GAAP_CASH_OPER_ADJ" hidden="1">"c2939"</definedName>
    <definedName name="IQ_US_GAAP_CL_ADJ" hidden="1">"c2927"</definedName>
    <definedName name="IQ_US_GAAP_COST_REV_ADJ" hidden="1">"c2951"</definedName>
    <definedName name="IQ_US_GAAP_DILUT_EPS_EXCL" hidden="1">"c2985"</definedName>
    <definedName name="IQ_US_GAAP_DILUT_EPS_INCL" hidden="1">"c2983"</definedName>
    <definedName name="IQ_US_GAAP_DILUT_NI" hidden="1">"c2979"</definedName>
    <definedName name="IQ_US_GAAP_DILUT_WEIGHT" hidden="1">"c2981"</definedName>
    <definedName name="IQ_US_GAAP_DO_ADJ" hidden="1">"c2959"</definedName>
    <definedName name="IQ_US_GAAP_EXTRA_ACC_ITEMS_ADJ" hidden="1">"c2958"</definedName>
    <definedName name="IQ_US_GAAP_INC_TAX_ADJ" hidden="1">"c2961"</definedName>
    <definedName name="IQ_US_GAAP_INTEREST_EXP_ADJ" hidden="1">"c2957"</definedName>
    <definedName name="IQ_US_GAAP_LIAB_LT_ADJ" hidden="1">"c2928"</definedName>
    <definedName name="IQ_US_GAAP_LIAB_TOTAL_LIAB" hidden="1">"c2933"</definedName>
    <definedName name="IQ_US_GAAP_MINORITY_INTEREST_IS_ADJ" hidden="1">"c2960"</definedName>
    <definedName name="IQ_US_GAAP_NCA_ADJ" hidden="1">"c2926"</definedName>
    <definedName name="IQ_US_GAAP_NET_CHANGE" hidden="1">"c2946"</definedName>
    <definedName name="IQ_US_GAAP_NET_CHANGE_ADJ" hidden="1">"c2942"</definedName>
    <definedName name="IQ_US_GAAP_NI" hidden="1">"c2976"</definedName>
    <definedName name="IQ_US_GAAP_NI_ADJ" hidden="1">"c2963"</definedName>
    <definedName name="IQ_US_GAAP_NI_AVAIL_INCL" hidden="1">"c2978"</definedName>
    <definedName name="IQ_US_GAAP_OTHER_ADJ_ADJ" hidden="1">"c2962"</definedName>
    <definedName name="IQ_US_GAAP_OTHER_NON_OPER_ADJ" hidden="1">"c2955"</definedName>
    <definedName name="IQ_US_GAAP_OTHER_OPER_ADJ" hidden="1">"c2954"</definedName>
    <definedName name="IQ_US_GAAP_RD_ADJ" hidden="1">"c2953"</definedName>
    <definedName name="IQ_US_GAAP_SGA_ADJ" hidden="1">"c2952"</definedName>
    <definedName name="IQ_US_GAAP_TOTAL_ASSETS" hidden="1">"c2931"</definedName>
    <definedName name="IQ_US_GAAP_TOTAL_EQUITY" hidden="1">"c2934"</definedName>
    <definedName name="IQ_US_GAAP_TOTAL_EQUITY_ADJ" hidden="1">"c2929"</definedName>
    <definedName name="IQ_US_GAAP_TOTAL_REV_ADJ" hidden="1">"c2950"</definedName>
    <definedName name="IQ_US_GAAP_TOTAL_UNUSUAL_ADJ" hidden="1">"c2956"</definedName>
    <definedName name="IQ_UTIL_PPE_NET" hidden="1">"c1620"</definedName>
    <definedName name="IQ_UTIL_REV" hidden="1">"c2091"</definedName>
    <definedName name="IQ_UV_PENSION_LIAB" hidden="1">"c1332"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UME" hidden="1">"c1333"</definedName>
    <definedName name="IQ_WARRANTS_BEG_OS" hidden="1">"c2698"</definedName>
    <definedName name="IQ_WARRANTS_CANCELLED" hidden="1">"c2701"</definedName>
    <definedName name="IQ_WARRANTS_END_OS" hidden="1">"c2702"</definedName>
    <definedName name="IQ_WARRANTS_EXERCISED" hidden="1">"c2700"</definedName>
    <definedName name="IQ_WARRANTS_ISSUED" hidden="1">"c2699"</definedName>
    <definedName name="IQ_WARRANTS_STRIKE_PRICE_ISSUED" hidden="1">"c2704"</definedName>
    <definedName name="IQ_WARRANTS_STRIKE_PRICE_OS" hidden="1">"c2703"</definedName>
    <definedName name="IQ_WEIGHTED_AVG_PRICE" hidden="1">"c1334"</definedName>
    <definedName name="IQ_WIP_INV" hidden="1">"c1335"</definedName>
    <definedName name="IQ_WORKING_CAP" hidden="1">"c3494"</definedName>
    <definedName name="IQ_WORKMEN_WRITTEN" hidden="1">"c1336"</definedName>
    <definedName name="IQ_XDIV_DATE" hidden="1">"c2104"</definedName>
    <definedName name="IQ_YEARHIGH" hidden="1">"c1337"</definedName>
    <definedName name="IQ_YEARHIGH_DATE" hidden="1">"c2250"</definedName>
    <definedName name="IQ_YEARLOW" hidden="1">"c1338"</definedName>
    <definedName name="IQ_YEARLOW_DATE" hidden="1">"c2251"</definedName>
    <definedName name="IQ_YTD" hidden="1">3000</definedName>
    <definedName name="IQ_YTW" hidden="1">"c2163"</definedName>
    <definedName name="IQ_YTW_DATE" hidden="1">"c2164"</definedName>
    <definedName name="IQ_YTW_DATE_TYPE" hidden="1">"c2165"</definedName>
    <definedName name="IQ_Z_SCORE" hidden="1">"c1339"</definedName>
    <definedName name="July" localSheetId="0" hidden="1">{"CF Assumptions",#N/A,FALSE,"Asu";#N/A,#N/A,FALSE,"Notes";#N/A,#N/A,FALSE,"CF";#N/A,#N/A,FALSE,"Summary";#N/A,#N/A,FALSE,"B&amp;T";"Taxable Income",#N/A,FALSE,"B&amp;T";"SM1",#N/A,FALSE,"SM";"SM2",#N/A,FALSE,"SM";#N/A,#N/A,FALSE,"C&amp;D";"NetFees",#N/A,FALSE,"MAINT";"RoomNights",#N/A,FALSE,"MAINT";"Mgmt1",#N/A,FALSE,"MGMT";"Mgmt2",#N/A,FALSE,"MGMT";"Rent1",#N/A,FALSE,"RENT";"Rent2",#N/A,FALSE,"RENT";#N/A,#N/A,FALSE,"HOSP";#N/A,#N/A,FALSE,"FIN";#N/A,#N/A,FALSE,"CF (2)";#N/A,#N/A,FALSE,"C&amp;D (2)";"FB Assumptions",#N/A,FALSE,"Asu";"FB Cashflow 1",#N/A,FALSE,"F&amp;B";"FB Cashflow 2",#N/A,FALSE,"F&amp;B";"Golf Assumptions",#N/A,FALSE,"Asu";"Golf PF1",#N/A,FALSE,"Golf";"Golf PF2",#N/A,FALSE,"Golf";"Golf Dep1",#N/A,FALSE,"Golf";"Golf Dep2",#N/A,FALSE,"Golf";"Rpt_Cost Bridge",#N/A,FALSE,"Reports";"Rpt_Cost Comp",#N/A,FALSE,"Reports";"Rpt_CP22",#N/A,FALSE,"Reports";"Rpt_Economic Comp",#N/A,FALSE,"Reports";"Rpt_Inv Mix1",#N/A,FALSE,"Reports";"Rpt_Inv Mix2",#N/A,FALSE,"Reports";"Rpt_LRP Comp",#N/A,FALSE,"Reports";"Rpt_NPV Bridge",#N/A,FALSE,"Reports";"Sensitivity1",#N/A,FALSE,"Sensitivity";"Rpt_Price Pace Comp",#N/A,FALSE,"Reports";"Sensitivity2",#N/A,FALSE,"Sensitivity"}</definedName>
    <definedName name="July" localSheetId="1" hidden="1">{"CF Assumptions",#N/A,FALSE,"Asu";#N/A,#N/A,FALSE,"Notes";#N/A,#N/A,FALSE,"CF";#N/A,#N/A,FALSE,"Summary";#N/A,#N/A,FALSE,"B&amp;T";"Taxable Income",#N/A,FALSE,"B&amp;T";"SM1",#N/A,FALSE,"SM";"SM2",#N/A,FALSE,"SM";#N/A,#N/A,FALSE,"C&amp;D";"NetFees",#N/A,FALSE,"MAINT";"RoomNights",#N/A,FALSE,"MAINT";"Mgmt1",#N/A,FALSE,"MGMT";"Mgmt2",#N/A,FALSE,"MGMT";"Rent1",#N/A,FALSE,"RENT";"Rent2",#N/A,FALSE,"RENT";#N/A,#N/A,FALSE,"HOSP";#N/A,#N/A,FALSE,"FIN";#N/A,#N/A,FALSE,"CF (2)";#N/A,#N/A,FALSE,"C&amp;D (2)";"FB Assumptions",#N/A,FALSE,"Asu";"FB Cashflow 1",#N/A,FALSE,"F&amp;B";"FB Cashflow 2",#N/A,FALSE,"F&amp;B";"Golf Assumptions",#N/A,FALSE,"Asu";"Golf PF1",#N/A,FALSE,"Golf";"Golf PF2",#N/A,FALSE,"Golf";"Golf Dep1",#N/A,FALSE,"Golf";"Golf Dep2",#N/A,FALSE,"Golf";"Rpt_Cost Bridge",#N/A,FALSE,"Reports";"Rpt_Cost Comp",#N/A,FALSE,"Reports";"Rpt_CP22",#N/A,FALSE,"Reports";"Rpt_Economic Comp",#N/A,FALSE,"Reports";"Rpt_Inv Mix1",#N/A,FALSE,"Reports";"Rpt_Inv Mix2",#N/A,FALSE,"Reports";"Rpt_LRP Comp",#N/A,FALSE,"Reports";"Rpt_NPV Bridge",#N/A,FALSE,"Reports";"Sensitivity1",#N/A,FALSE,"Sensitivity";"Rpt_Price Pace Comp",#N/A,FALSE,"Reports";"Sensitivity2",#N/A,FALSE,"Sensitivity"}</definedName>
    <definedName name="July" localSheetId="2" hidden="1">{"CF Assumptions",#N/A,FALSE,"Asu";#N/A,#N/A,FALSE,"Notes";#N/A,#N/A,FALSE,"CF";#N/A,#N/A,FALSE,"Summary";#N/A,#N/A,FALSE,"B&amp;T";"Taxable Income",#N/A,FALSE,"B&amp;T";"SM1",#N/A,FALSE,"SM";"SM2",#N/A,FALSE,"SM";#N/A,#N/A,FALSE,"C&amp;D";"NetFees",#N/A,FALSE,"MAINT";"RoomNights",#N/A,FALSE,"MAINT";"Mgmt1",#N/A,FALSE,"MGMT";"Mgmt2",#N/A,FALSE,"MGMT";"Rent1",#N/A,FALSE,"RENT";"Rent2",#N/A,FALSE,"RENT";#N/A,#N/A,FALSE,"HOSP";#N/A,#N/A,FALSE,"FIN";#N/A,#N/A,FALSE,"CF (2)";#N/A,#N/A,FALSE,"C&amp;D (2)";"FB Assumptions",#N/A,FALSE,"Asu";"FB Cashflow 1",#N/A,FALSE,"F&amp;B";"FB Cashflow 2",#N/A,FALSE,"F&amp;B";"Golf Assumptions",#N/A,FALSE,"Asu";"Golf PF1",#N/A,FALSE,"Golf";"Golf PF2",#N/A,FALSE,"Golf";"Golf Dep1",#N/A,FALSE,"Golf";"Golf Dep2",#N/A,FALSE,"Golf";"Rpt_Cost Bridge",#N/A,FALSE,"Reports";"Rpt_Cost Comp",#N/A,FALSE,"Reports";"Rpt_CP22",#N/A,FALSE,"Reports";"Rpt_Economic Comp",#N/A,FALSE,"Reports";"Rpt_Inv Mix1",#N/A,FALSE,"Reports";"Rpt_Inv Mix2",#N/A,FALSE,"Reports";"Rpt_LRP Comp",#N/A,FALSE,"Reports";"Rpt_NPV Bridge",#N/A,FALSE,"Reports";"Sensitivity1",#N/A,FALSE,"Sensitivity";"Rpt_Price Pace Comp",#N/A,FALSE,"Reports";"Sensitivity2",#N/A,FALSE,"Sensitivity"}</definedName>
    <definedName name="July" hidden="1">{"CF Assumptions",#N/A,FALSE,"Asu";#N/A,#N/A,FALSE,"Notes";#N/A,#N/A,FALSE,"CF";#N/A,#N/A,FALSE,"Summary";#N/A,#N/A,FALSE,"B&amp;T";"Taxable Income",#N/A,FALSE,"B&amp;T";"SM1",#N/A,FALSE,"SM";"SM2",#N/A,FALSE,"SM";#N/A,#N/A,FALSE,"C&amp;D";"NetFees",#N/A,FALSE,"MAINT";"RoomNights",#N/A,FALSE,"MAINT";"Mgmt1",#N/A,FALSE,"MGMT";"Mgmt2",#N/A,FALSE,"MGMT";"Rent1",#N/A,FALSE,"RENT";"Rent2",#N/A,FALSE,"RENT";#N/A,#N/A,FALSE,"HOSP";#N/A,#N/A,FALSE,"FIN";#N/A,#N/A,FALSE,"CF (2)";#N/A,#N/A,FALSE,"C&amp;D (2)";"FB Assumptions",#N/A,FALSE,"Asu";"FB Cashflow 1",#N/A,FALSE,"F&amp;B";"FB Cashflow 2",#N/A,FALSE,"F&amp;B";"Golf Assumptions",#N/A,FALSE,"Asu";"Golf PF1",#N/A,FALSE,"Golf";"Golf PF2",#N/A,FALSE,"Golf";"Golf Dep1",#N/A,FALSE,"Golf";"Golf Dep2",#N/A,FALSE,"Golf";"Rpt_Cost Bridge",#N/A,FALSE,"Reports";"Rpt_Cost Comp",#N/A,FALSE,"Reports";"Rpt_CP22",#N/A,FALSE,"Reports";"Rpt_Economic Comp",#N/A,FALSE,"Reports";"Rpt_Inv Mix1",#N/A,FALSE,"Reports";"Rpt_Inv Mix2",#N/A,FALSE,"Reports";"Rpt_LRP Comp",#N/A,FALSE,"Reports";"Rpt_NPV Bridge",#N/A,FALSE,"Reports";"Sensitivity1",#N/A,FALSE,"Sensitivity";"Rpt_Price Pace Comp",#N/A,FALSE,"Reports";"Sensitivity2",#N/A,FALSE,"Sensitivity"}</definedName>
    <definedName name="kanokwan" localSheetId="0" hidden="1">{"FB Assumptions",#N/A,FALSE,"Asu";"FB Cashflow 1",#N/A,FALSE,"F&amp;B";"FB Cashflow 2",#N/A,FALSE,"F&amp;B"}</definedName>
    <definedName name="kanokwan" localSheetId="1" hidden="1">{"FB Assumptions",#N/A,FALSE,"Asu";"FB Cashflow 1",#N/A,FALSE,"F&amp;B";"FB Cashflow 2",#N/A,FALSE,"F&amp;B"}</definedName>
    <definedName name="kanokwan" localSheetId="2" hidden="1">{"FB Assumptions",#N/A,FALSE,"Asu";"FB Cashflow 1",#N/A,FALSE,"F&amp;B";"FB Cashflow 2",#N/A,FALSE,"F&amp;B"}</definedName>
    <definedName name="kanokwan" hidden="1">{"FB Assumptions",#N/A,FALSE,"Asu";"FB Cashflow 1",#N/A,FALSE,"F&amp;B";"FB Cashflow 2",#N/A,FALSE,"F&amp;B"}</definedName>
    <definedName name="kkkkk" localSheetId="0" hidden="1">{"CF Assumptions",#N/A,FALSE,"Asu";#N/A,#N/A,FALSE,"Summary";#N/A,#N/A,FALSE,"CF (2)";#N/A,#N/A,FALSE,"C&amp;D";"SM1",#N/A,FALSE,"SM";"SM2",#N/A,FALSE,"SM";#N/A,#N/A,FALSE,"B&amp;T";"Mgmt1",#N/A,FALSE,"MGMT";"Mgmt2",#N/A,FALSE,"MGMT";"Rent1",#N/A,FALSE,"RENT";"Rent2",#N/A,FALSE,"RENT";#N/A,#N/A,FALSE,"HOSP";#N/A,#N/A,FALSE,"FIN";#N/A,#N/A,FALSE,"Notes"}</definedName>
    <definedName name="kkkkk" localSheetId="1" hidden="1">{"CF Assumptions",#N/A,FALSE,"Asu";#N/A,#N/A,FALSE,"Summary";#N/A,#N/A,FALSE,"CF (2)";#N/A,#N/A,FALSE,"C&amp;D";"SM1",#N/A,FALSE,"SM";"SM2",#N/A,FALSE,"SM";#N/A,#N/A,FALSE,"B&amp;T";"Mgmt1",#N/A,FALSE,"MGMT";"Mgmt2",#N/A,FALSE,"MGMT";"Rent1",#N/A,FALSE,"RENT";"Rent2",#N/A,FALSE,"RENT";#N/A,#N/A,FALSE,"HOSP";#N/A,#N/A,FALSE,"FIN";#N/A,#N/A,FALSE,"Notes"}</definedName>
    <definedName name="kkkkk" localSheetId="2" hidden="1">{"CF Assumptions",#N/A,FALSE,"Asu";#N/A,#N/A,FALSE,"Summary";#N/A,#N/A,FALSE,"CF (2)";#N/A,#N/A,FALSE,"C&amp;D";"SM1",#N/A,FALSE,"SM";"SM2",#N/A,FALSE,"SM";#N/A,#N/A,FALSE,"B&amp;T";"Mgmt1",#N/A,FALSE,"MGMT";"Mgmt2",#N/A,FALSE,"MGMT";"Rent1",#N/A,FALSE,"RENT";"Rent2",#N/A,FALSE,"RENT";#N/A,#N/A,FALSE,"HOSP";#N/A,#N/A,FALSE,"FIN";#N/A,#N/A,FALSE,"Notes"}</definedName>
    <definedName name="kkkkk" hidden="1">{"CF Assumptions",#N/A,FALSE,"Asu";#N/A,#N/A,FALSE,"Summary";#N/A,#N/A,FALSE,"CF (2)";#N/A,#N/A,FALSE,"C&amp;D";"SM1",#N/A,FALSE,"SM";"SM2",#N/A,FALSE,"SM";#N/A,#N/A,FALSE,"B&amp;T";"Mgmt1",#N/A,FALSE,"MGMT";"Mgmt2",#N/A,FALSE,"MGMT";"Rent1",#N/A,FALSE,"RENT";"Rent2",#N/A,FALSE,"RENT";#N/A,#N/A,FALSE,"HOSP";#N/A,#N/A,FALSE,"FIN";#N/A,#N/A,FALSE,"Notes"}</definedName>
    <definedName name="lllll" localSheetId="0" hidden="1">{#N/A,#N/A,FALSE,"Summary";"Sensitivity1",#N/A,FALSE,"Sensitivity";"Sensitivity2",#N/A,FALSE,"Sensitivity";"Rpt_Cost Bridge",#N/A,FALSE,"Reports";"Rpt_Cost Comp",#N/A,FALSE,"Reports";"Rpt_CP22",#N/A,FALSE,"Reports";"Rpt_Economic Comp",#N/A,FALSE,"Reports";"Rpt_Inv Mix1",#N/A,FALSE,"Reports";"Rpt_Inv Mix2",#N/A,FALSE,"Reports";"Rpt_LRP Comp",#N/A,FALSE,"Reports";"Rpt_NPV Bridge",#N/A,FALSE,"Reports";"Rpt_Price Pace Comp",#N/A,FALSE,"Reports";#N/A,#N/A,FALSE,"Notes"}</definedName>
    <definedName name="lllll" localSheetId="1" hidden="1">{#N/A,#N/A,FALSE,"Summary";"Sensitivity1",#N/A,FALSE,"Sensitivity";"Sensitivity2",#N/A,FALSE,"Sensitivity";"Rpt_Cost Bridge",#N/A,FALSE,"Reports";"Rpt_Cost Comp",#N/A,FALSE,"Reports";"Rpt_CP22",#N/A,FALSE,"Reports";"Rpt_Economic Comp",#N/A,FALSE,"Reports";"Rpt_Inv Mix1",#N/A,FALSE,"Reports";"Rpt_Inv Mix2",#N/A,FALSE,"Reports";"Rpt_LRP Comp",#N/A,FALSE,"Reports";"Rpt_NPV Bridge",#N/A,FALSE,"Reports";"Rpt_Price Pace Comp",#N/A,FALSE,"Reports";#N/A,#N/A,FALSE,"Notes"}</definedName>
    <definedName name="lllll" localSheetId="2" hidden="1">{#N/A,#N/A,FALSE,"Summary";"Sensitivity1",#N/A,FALSE,"Sensitivity";"Sensitivity2",#N/A,FALSE,"Sensitivity";"Rpt_Cost Bridge",#N/A,FALSE,"Reports";"Rpt_Cost Comp",#N/A,FALSE,"Reports";"Rpt_CP22",#N/A,FALSE,"Reports";"Rpt_Economic Comp",#N/A,FALSE,"Reports";"Rpt_Inv Mix1",#N/A,FALSE,"Reports";"Rpt_Inv Mix2",#N/A,FALSE,"Reports";"Rpt_LRP Comp",#N/A,FALSE,"Reports";"Rpt_NPV Bridge",#N/A,FALSE,"Reports";"Rpt_Price Pace Comp",#N/A,FALSE,"Reports";#N/A,#N/A,FALSE,"Notes"}</definedName>
    <definedName name="lllll" hidden="1">{#N/A,#N/A,FALSE,"Summary";"Sensitivity1",#N/A,FALSE,"Sensitivity";"Sensitivity2",#N/A,FALSE,"Sensitivity";"Rpt_Cost Bridge",#N/A,FALSE,"Reports";"Rpt_Cost Comp",#N/A,FALSE,"Reports";"Rpt_CP22",#N/A,FALSE,"Reports";"Rpt_Economic Comp",#N/A,FALSE,"Reports";"Rpt_Inv Mix1",#N/A,FALSE,"Reports";"Rpt_Inv Mix2",#N/A,FALSE,"Reports";"Rpt_LRP Comp",#N/A,FALSE,"Reports";"Rpt_NPV Bridge",#N/A,FALSE,"Reports";"Rpt_Price Pace Comp",#N/A,FALSE,"Reports";#N/A,#N/A,FALSE,"Notes"}</definedName>
    <definedName name="m" localSheetId="0" hidden="1">{"CF Assumptions",#N/A,FALSE,"Asu";#N/A,#N/A,FALSE,"CF (2)";"Sensitivity2",#N/A,FALSE,"Sensitivity";"SM1",#N/A,FALSE,"SM";#N/A,#N/A,FALSE,"C&amp;D (2)";"Mgmt1",#N/A,FALSE,"MGMT";"Mgmt2",#N/A,FALSE,"MGMT";"Rpt_Cost Bridge",#N/A,FALSE,"Reports";"Rpt_CP22",#N/A,FALSE,"Reports";"Rpt_LRP Comp",#N/A,FALSE,"Reports";"Rpt_NPV Bridge",#N/A,FALSE,"Reports";#N/A,#N/A,FALSE,"Notes"}</definedName>
    <definedName name="m" localSheetId="1" hidden="1">{"CF Assumptions",#N/A,FALSE,"Asu";#N/A,#N/A,FALSE,"CF (2)";"Sensitivity2",#N/A,FALSE,"Sensitivity";"SM1",#N/A,FALSE,"SM";#N/A,#N/A,FALSE,"C&amp;D (2)";"Mgmt1",#N/A,FALSE,"MGMT";"Mgmt2",#N/A,FALSE,"MGMT";"Rpt_Cost Bridge",#N/A,FALSE,"Reports";"Rpt_CP22",#N/A,FALSE,"Reports";"Rpt_LRP Comp",#N/A,FALSE,"Reports";"Rpt_NPV Bridge",#N/A,FALSE,"Reports";#N/A,#N/A,FALSE,"Notes"}</definedName>
    <definedName name="m" localSheetId="2" hidden="1">{"CF Assumptions",#N/A,FALSE,"Asu";#N/A,#N/A,FALSE,"CF (2)";"Sensitivity2",#N/A,FALSE,"Sensitivity";"SM1",#N/A,FALSE,"SM";#N/A,#N/A,FALSE,"C&amp;D (2)";"Mgmt1",#N/A,FALSE,"MGMT";"Mgmt2",#N/A,FALSE,"MGMT";"Rpt_Cost Bridge",#N/A,FALSE,"Reports";"Rpt_CP22",#N/A,FALSE,"Reports";"Rpt_LRP Comp",#N/A,FALSE,"Reports";"Rpt_NPV Bridge",#N/A,FALSE,"Reports";#N/A,#N/A,FALSE,"Notes"}</definedName>
    <definedName name="m" hidden="1">{"CF Assumptions",#N/A,FALSE,"Asu";#N/A,#N/A,FALSE,"CF (2)";"Sensitivity2",#N/A,FALSE,"Sensitivity";"SM1",#N/A,FALSE,"SM";#N/A,#N/A,FALSE,"C&amp;D (2)";"Mgmt1",#N/A,FALSE,"MGMT";"Mgmt2",#N/A,FALSE,"MGMT";"Rpt_Cost Bridge",#N/A,FALSE,"Reports";"Rpt_CP22",#N/A,FALSE,"Reports";"Rpt_LRP Comp",#N/A,FALSE,"Reports";"Rpt_NPV Bridge",#N/A,FALSE,"Reports";#N/A,#N/A,FALSE,"Notes"}</definedName>
    <definedName name="mam" localSheetId="0" hidden="1">{"FB Assumptions",#N/A,FALSE,"Asu";"FB Cashflow 1",#N/A,FALSE,"F&amp;B";"FB Cashflow 2",#N/A,FALSE,"F&amp;B"}</definedName>
    <definedName name="mam" localSheetId="1" hidden="1">{"FB Assumptions",#N/A,FALSE,"Asu";"FB Cashflow 1",#N/A,FALSE,"F&amp;B";"FB Cashflow 2",#N/A,FALSE,"F&amp;B"}</definedName>
    <definedName name="mam" localSheetId="2" hidden="1">{"FB Assumptions",#N/A,FALSE,"Asu";"FB Cashflow 1",#N/A,FALSE,"F&amp;B";"FB Cashflow 2",#N/A,FALSE,"F&amp;B"}</definedName>
    <definedName name="mam" hidden="1">{"FB Assumptions",#N/A,FALSE,"Asu";"FB Cashflow 1",#N/A,FALSE,"F&amp;B";"FB Cashflow 2",#N/A,FALSE,"F&amp;B"}</definedName>
    <definedName name="mamjkkll" localSheetId="0" hidden="1">{"FB Assumptions",#N/A,FALSE,"Asu";"FB Cashflow 1",#N/A,FALSE,"F&amp;B";"FB Cashflow 2",#N/A,FALSE,"F&amp;B"}</definedName>
    <definedName name="mamjkkll" localSheetId="1" hidden="1">{"FB Assumptions",#N/A,FALSE,"Asu";"FB Cashflow 1",#N/A,FALSE,"F&amp;B";"FB Cashflow 2",#N/A,FALSE,"F&amp;B"}</definedName>
    <definedName name="mamjkkll" localSheetId="2" hidden="1">{"FB Assumptions",#N/A,FALSE,"Asu";"FB Cashflow 1",#N/A,FALSE,"F&amp;B";"FB Cashflow 2",#N/A,FALSE,"F&amp;B"}</definedName>
    <definedName name="mamjkkll" hidden="1">{"FB Assumptions",#N/A,FALSE,"Asu";"FB Cashflow 1",#N/A,FALSE,"F&amp;B";"FB Cashflow 2",#N/A,FALSE,"F&amp;B"}</definedName>
    <definedName name="Mar" localSheetId="2">#REF!</definedName>
    <definedName name="Mar">#REF!</definedName>
    <definedName name="Meeting_PACK">[4]POV!$K$23</definedName>
    <definedName name="MGTConnection">[4]POV!$E$31</definedName>
    <definedName name="Month_2" localSheetId="2">[5]Setup!$AB$8:$AC$19</definedName>
    <definedName name="Month_2">[5]Setup!$AB$8:$AC$19</definedName>
    <definedName name="Months" localSheetId="2">[5]Setup!$AC$8:$AC$19</definedName>
    <definedName name="Months">[5]Setup!$AC$8:$AC$19</definedName>
    <definedName name="mth_table">[7]List!$I$2:$J$13</definedName>
    <definedName name="NINE" localSheetId="2">#REF!</definedName>
    <definedName name="NINE">#REF!</definedName>
    <definedName name="nittaya_su" localSheetId="0" hidden="1">{"'Summary'!$A$5:$H$42"}</definedName>
    <definedName name="nittaya_su" localSheetId="1" hidden="1">{"'Summary'!$A$5:$H$42"}</definedName>
    <definedName name="nittaya_su" localSheetId="2" hidden="1">{"'Summary'!$A$5:$H$42"}</definedName>
    <definedName name="nittaya_su" hidden="1">{"'Summary'!$A$5:$H$42"}</definedName>
    <definedName name="nn" localSheetId="0" hidden="1">{"'KCF Bellies'!$D$95"}</definedName>
    <definedName name="nn" localSheetId="1" hidden="1">{"'KCF Bellies'!$D$95"}</definedName>
    <definedName name="nn" localSheetId="2" hidden="1">{"'KCF Bellies'!$D$95"}</definedName>
    <definedName name="nn" hidden="1">{"'KCF Bellies'!$D$95"}</definedName>
    <definedName name="No_Of_Actual">[6]Setup!$Q$3</definedName>
    <definedName name="November" localSheetId="0" hidden="1">{"Sensitivity1",#N/A,FALSE,"Sensitivity";"Sensitivity2",#N/A,FALSE,"Sensitivity"}</definedName>
    <definedName name="November" localSheetId="1" hidden="1">{"Sensitivity1",#N/A,FALSE,"Sensitivity";"Sensitivity2",#N/A,FALSE,"Sensitivity"}</definedName>
    <definedName name="November" localSheetId="2" hidden="1">{"Sensitivity1",#N/A,FALSE,"Sensitivity";"Sensitivity2",#N/A,FALSE,"Sensitivity"}</definedName>
    <definedName name="November" hidden="1">{"Sensitivity1",#N/A,FALSE,"Sensitivity";"Sensitivity2",#N/A,FALSE,"Sensitivity"}</definedName>
    <definedName name="ONE" localSheetId="2">#REF!</definedName>
    <definedName name="ONE">#REF!</definedName>
    <definedName name="opooooo" localSheetId="0" hidden="1">{"FB Assumptions",#N/A,FALSE,"Asu";"FB Cashflow 1",#N/A,FALSE,"F&amp;B";"FB Cashflow 2",#N/A,FALSE,"F&amp;B"}</definedName>
    <definedName name="opooooo" localSheetId="1" hidden="1">{"FB Assumptions",#N/A,FALSE,"Asu";"FB Cashflow 1",#N/A,FALSE,"F&amp;B";"FB Cashflow 2",#N/A,FALSE,"F&amp;B"}</definedName>
    <definedName name="opooooo" localSheetId="2" hidden="1">{"FB Assumptions",#N/A,FALSE,"Asu";"FB Cashflow 1",#N/A,FALSE,"F&amp;B";"FB Cashflow 2",#N/A,FALSE,"F&amp;B"}</definedName>
    <definedName name="opooooo" hidden="1">{"FB Assumptions",#N/A,FALSE,"Asu";"FB Cashflow 1",#N/A,FALSE,"F&amp;B";"FB Cashflow 2",#N/A,FALSE,"F&amp;B"}</definedName>
    <definedName name="orawan_ru" localSheetId="0" hidden="1">{"FB Assumptions",#N/A,FALSE,"Asu";"FB Cashflow 1",#N/A,FALSE,"F&amp;B";"FB Cashflow 2",#N/A,FALSE,"F&amp;B"}</definedName>
    <definedName name="orawan_ru" localSheetId="1" hidden="1">{"FB Assumptions",#N/A,FALSE,"Asu";"FB Cashflow 1",#N/A,FALSE,"F&amp;B";"FB Cashflow 2",#N/A,FALSE,"F&amp;B"}</definedName>
    <definedName name="orawan_ru" localSheetId="2" hidden="1">{"FB Assumptions",#N/A,FALSE,"Asu";"FB Cashflow 1",#N/A,FALSE,"F&amp;B";"FB Cashflow 2",#N/A,FALSE,"F&amp;B"}</definedName>
    <definedName name="orawan_ru" hidden="1">{"FB Assumptions",#N/A,FALSE,"Asu";"FB Cashflow 1",#N/A,FALSE,"F&amp;B";"FB Cashflow 2",#N/A,FALSE,"F&amp;B"}</definedName>
    <definedName name="POVVersion">'[4]POV Master'!$T$3:$T$97</definedName>
    <definedName name="price" localSheetId="0" hidden="1">{#N/A,#N/A,FALSE,"SALES-03"}</definedName>
    <definedName name="price" localSheetId="1" hidden="1">{#N/A,#N/A,FALSE,"SALES-03"}</definedName>
    <definedName name="price" localSheetId="2" hidden="1">{#N/A,#N/A,FALSE,"SALES-03"}</definedName>
    <definedName name="price" hidden="1">{#N/A,#N/A,FALSE,"SALES-03"}</definedName>
    <definedName name="price1" localSheetId="0" hidden="1">{#N/A,#N/A,FALSE,"SALES-03"}</definedName>
    <definedName name="price1" localSheetId="1" hidden="1">{#N/A,#N/A,FALSE,"SALES-03"}</definedName>
    <definedName name="price1" localSheetId="2" hidden="1">{#N/A,#N/A,FALSE,"SALES-03"}</definedName>
    <definedName name="price1" hidden="1">{#N/A,#N/A,FALSE,"SALES-03"}</definedName>
    <definedName name="_xlnm.Print_Area" localSheetId="2">'Nationality( 2026vs2025)'!$B$3:$O$40</definedName>
    <definedName name="Q" localSheetId="0" hidden="1">{"'KCF Bellies'!$D$95"}</definedName>
    <definedName name="Q" localSheetId="1" hidden="1">{"'KCF Bellies'!$D$95"}</definedName>
    <definedName name="Q" localSheetId="2" hidden="1">{"'KCF Bellies'!$D$95"}</definedName>
    <definedName name="Q" hidden="1">{"'KCF Bellies'!$D$95"}</definedName>
    <definedName name="rc_prev">'[3]Balance sheet'!#REF!</definedName>
    <definedName name="rev" localSheetId="2">[5]TY!$AB$22:$AT$387</definedName>
    <definedName name="rev">[5]TY!$AB$22:$AT$387</definedName>
    <definedName name="rms" localSheetId="2">[5]TY!$J$22:$AA$387</definedName>
    <definedName name="rms">[5]TY!$J$22:$AA$387</definedName>
    <definedName name="Room_BU">[8]Master!$L$5:$L$7</definedName>
    <definedName name="Rooms" localSheetId="2">#REF!</definedName>
    <definedName name="Rooms">#REF!</definedName>
    <definedName name="rr" localSheetId="0" hidden="1">{"Rent1",#N/A,FALSE,"RENT";"Rent2",#N/A,FALSE,"RENT"}</definedName>
    <definedName name="rr" localSheetId="1" hidden="1">{"Rent1",#N/A,FALSE,"RENT";"Rent2",#N/A,FALSE,"RENT"}</definedName>
    <definedName name="rr" localSheetId="2" hidden="1">{"Rent1",#N/A,FALSE,"RENT";"Rent2",#N/A,FALSE,"RENT"}</definedName>
    <definedName name="rr" hidden="1">{"Rent1",#N/A,FALSE,"RENT";"Rent2",#N/A,FALSE,"RENT"}</definedName>
    <definedName name="sCale">[4]POV!$E$42</definedName>
    <definedName name="seg" localSheetId="2">[5]TY!$J$20:$AA$20</definedName>
    <definedName name="seg">[5]TY!$J$20:$AA$20</definedName>
    <definedName name="segrev" localSheetId="2">[5]TY!$AB$20:$AT$20</definedName>
    <definedName name="segrev">[5]TY!$AB$20:$AT$20</definedName>
    <definedName name="SelectMth">[4]POV!$E$21</definedName>
    <definedName name="SelectMthNo">'[4]POV Master'!$O$2</definedName>
    <definedName name="SelectYear">[4]POV!$E$19</definedName>
    <definedName name="SEVEN" localSheetId="2">#REF!</definedName>
    <definedName name="SEVEN">#REF!</definedName>
    <definedName name="SIX" localSheetId="2">#REF!</definedName>
    <definedName name="SIX">#REF!</definedName>
    <definedName name="ss" localSheetId="2" hidden="1">#REF!</definedName>
    <definedName name="ss" hidden="1">#REF!</definedName>
    <definedName name="SV_ENCPT_LOGON_PWD" hidden="1">"078104085088070"</definedName>
    <definedName name="SV_ENCPT_LOGON_USER" hidden="1">"095094088070084"</definedName>
    <definedName name="SV_PAS_PastelCompanyPath" hidden="1">"L:\IFALTD09"</definedName>
    <definedName name="SV_PAS_PastelDatabase" hidden="1">"PAS10IFALTD09"</definedName>
    <definedName name="SV_PAS_PervasiveServer" hidden="1">"TREVORA-NB"</definedName>
    <definedName name="SV_REPORT_CODE" hidden="1">""</definedName>
    <definedName name="SV_REPORT_ID" hidden="1">"44"</definedName>
    <definedName name="SV_REPORT_NAME" hidden="1">"Africa Indian Ocean"</definedName>
    <definedName name="SV_SOLUTION_ID" hidden="1">"18"</definedName>
    <definedName name="test" localSheetId="2" hidden="1">#REF!</definedName>
    <definedName name="test" hidden="1">#REF!</definedName>
    <definedName name="THREE">#REF!</definedName>
    <definedName name="TLA.028" localSheetId="2" hidden="1">#REF!</definedName>
    <definedName name="TLA.028" hidden="1">#REF!</definedName>
    <definedName name="TLA.056" localSheetId="2" hidden="1">#REF!</definedName>
    <definedName name="TLA.056" hidden="1">#REF!</definedName>
    <definedName name="tMoSel" localSheetId="0">INDEX(tMoList,tMoIdx,1)</definedName>
    <definedName name="tMoSel" localSheetId="1">INDEX(tMoList,tMoIdx,1)</definedName>
    <definedName name="tMoSel" localSheetId="2">INDEX(tMoList,tMoIdx,1)</definedName>
    <definedName name="tMoSel">INDEX(tMoList,tMoIdx,1)</definedName>
    <definedName name="tMoSelect" localSheetId="0">INDEX(tMoList,tMoIdx,1)</definedName>
    <definedName name="tMoSelect" localSheetId="1">INDEX(tMoList,tMoIdx,1)</definedName>
    <definedName name="tMoSelect" localSheetId="2">INDEX(tMoList,tMoIdx,1)</definedName>
    <definedName name="tMoSelect">INDEX(tMoList,tMoIdx,1)</definedName>
    <definedName name="tunover3b" localSheetId="0" hidden="1">{"'KCF Bellies'!$D$95"}</definedName>
    <definedName name="tunover3b" localSheetId="1" hidden="1">{"'KCF Bellies'!$D$95"}</definedName>
    <definedName name="tunover3b" localSheetId="2" hidden="1">{"'KCF Bellies'!$D$95"}</definedName>
    <definedName name="tunover3b" hidden="1">{"'KCF Bellies'!$D$95"}</definedName>
    <definedName name="TWO">#REF!</definedName>
    <definedName name="tYrSel" localSheetId="0">INDEX(tYrList,tYrIdx,2)</definedName>
    <definedName name="tYrSel" localSheetId="1">INDEX(tYrList,tYrIdx,2)</definedName>
    <definedName name="tYrSel" localSheetId="2">INDEX(tYrList,tYrIdx,2)</definedName>
    <definedName name="tYrSel">INDEX(tYrList,tYrIdx,2)</definedName>
    <definedName name="tYrSel1" localSheetId="0">INDEX(tYrList,tYrIdx,3)</definedName>
    <definedName name="tYrSel1" localSheetId="1">INDEX(tYrList,tYrIdx,3)</definedName>
    <definedName name="tYrSel1" localSheetId="2">INDEX(tYrList,tYrIdx,3)</definedName>
    <definedName name="tYrSel1">INDEX(tYrList,tYrIdx,3)</definedName>
    <definedName name="Version">[4]POV!$E$23</definedName>
    <definedName name="wrn" localSheetId="0" hidden="1">{"CF Assumptions",#N/A,FALSE,"Asu";#N/A,#N/A,FALSE,"Summary";#N/A,#N/A,FALSE,"CF (2)";#N/A,#N/A,FALSE,"SM";#N/A,#N/A,FALSE,"C&amp;D";#N/A,#N/A,FALSE,"MGMT";#N/A,#N/A,FALSE,"Notes"}</definedName>
    <definedName name="wrn" localSheetId="1" hidden="1">{"CF Assumptions",#N/A,FALSE,"Asu";#N/A,#N/A,FALSE,"Summary";#N/A,#N/A,FALSE,"CF (2)";#N/A,#N/A,FALSE,"SM";#N/A,#N/A,FALSE,"C&amp;D";#N/A,#N/A,FALSE,"MGMT";#N/A,#N/A,FALSE,"Notes"}</definedName>
    <definedName name="wrn" localSheetId="2" hidden="1">{"CF Assumptions",#N/A,FALSE,"Asu";#N/A,#N/A,FALSE,"Summary";#N/A,#N/A,FALSE,"CF (2)";#N/A,#N/A,FALSE,"SM";#N/A,#N/A,FALSE,"C&amp;D";#N/A,#N/A,FALSE,"MGMT";#N/A,#N/A,FALSE,"Notes"}</definedName>
    <definedName name="wrn" hidden="1">{"CF Assumptions",#N/A,FALSE,"Asu";#N/A,#N/A,FALSE,"Summary";#N/A,#N/A,FALSE,"CF (2)";#N/A,#N/A,FALSE,"SM";#N/A,#N/A,FALSE,"C&amp;D";#N/A,#N/A,FALSE,"MGMT";#N/A,#N/A,FALSE,"Notes"}</definedName>
    <definedName name="wrn.All." localSheetId="0" hidden="1">{"CF Assumptions",#N/A,FALSE,"Asu";#N/A,#N/A,FALSE,"Notes";#N/A,#N/A,FALSE,"CF";#N/A,#N/A,FALSE,"Summary";#N/A,#N/A,FALSE,"B&amp;T";"Taxable Income",#N/A,FALSE,"B&amp;T";"SM1",#N/A,FALSE,"SM";"SM2",#N/A,FALSE,"SM";#N/A,#N/A,FALSE,"C&amp;D";"NetFees",#N/A,FALSE,"MAINT";"RoomNights",#N/A,FALSE,"MAINT";"Mgmt1",#N/A,FALSE,"MGMT";"Mgmt2",#N/A,FALSE,"MGMT";"Rent1",#N/A,FALSE,"RENT";"Rent2",#N/A,FALSE,"RENT";#N/A,#N/A,FALSE,"HOSP";#N/A,#N/A,FALSE,"FIN";#N/A,#N/A,FALSE,"CF (2)";#N/A,#N/A,FALSE,"C&amp;D (2)";"FB Assumptions",#N/A,FALSE,"Asu";"FB Cashflow 1",#N/A,FALSE,"F&amp;B";"FB Cashflow 2",#N/A,FALSE,"F&amp;B";"Golf Assumptions",#N/A,FALSE,"Asu";"Golf PF1",#N/A,FALSE,"Golf";"Golf PF2",#N/A,FALSE,"Golf";"Golf Dep1",#N/A,FALSE,"Golf";"Golf Dep2",#N/A,FALSE,"Golf";"Rpt_Cost Bridge",#N/A,FALSE,"Reports";"Rpt_Cost Comp",#N/A,FALSE,"Reports";"Rpt_CP22",#N/A,FALSE,"Reports";"Rpt_Economic Comp",#N/A,FALSE,"Reports";"Rpt_Inv Mix1",#N/A,FALSE,"Reports";"Rpt_Inv Mix2",#N/A,FALSE,"Reports";"Rpt_LRP Comp",#N/A,FALSE,"Reports";"Rpt_NPV Bridge",#N/A,FALSE,"Reports";"Sensitivity1",#N/A,FALSE,"Sensitivity";"Rpt_Price Pace Comp",#N/A,FALSE,"Reports";"Sensitivity2",#N/A,FALSE,"Sensitivity"}</definedName>
    <definedName name="wrn.All." localSheetId="1" hidden="1">{"CF Assumptions",#N/A,FALSE,"Asu";#N/A,#N/A,FALSE,"Notes";#N/A,#N/A,FALSE,"CF";#N/A,#N/A,FALSE,"Summary";#N/A,#N/A,FALSE,"B&amp;T";"Taxable Income",#N/A,FALSE,"B&amp;T";"SM1",#N/A,FALSE,"SM";"SM2",#N/A,FALSE,"SM";#N/A,#N/A,FALSE,"C&amp;D";"NetFees",#N/A,FALSE,"MAINT";"RoomNights",#N/A,FALSE,"MAINT";"Mgmt1",#N/A,FALSE,"MGMT";"Mgmt2",#N/A,FALSE,"MGMT";"Rent1",#N/A,FALSE,"RENT";"Rent2",#N/A,FALSE,"RENT";#N/A,#N/A,FALSE,"HOSP";#N/A,#N/A,FALSE,"FIN";#N/A,#N/A,FALSE,"CF (2)";#N/A,#N/A,FALSE,"C&amp;D (2)";"FB Assumptions",#N/A,FALSE,"Asu";"FB Cashflow 1",#N/A,FALSE,"F&amp;B";"FB Cashflow 2",#N/A,FALSE,"F&amp;B";"Golf Assumptions",#N/A,FALSE,"Asu";"Golf PF1",#N/A,FALSE,"Golf";"Golf PF2",#N/A,FALSE,"Golf";"Golf Dep1",#N/A,FALSE,"Golf";"Golf Dep2",#N/A,FALSE,"Golf";"Rpt_Cost Bridge",#N/A,FALSE,"Reports";"Rpt_Cost Comp",#N/A,FALSE,"Reports";"Rpt_CP22",#N/A,FALSE,"Reports";"Rpt_Economic Comp",#N/A,FALSE,"Reports";"Rpt_Inv Mix1",#N/A,FALSE,"Reports";"Rpt_Inv Mix2",#N/A,FALSE,"Reports";"Rpt_LRP Comp",#N/A,FALSE,"Reports";"Rpt_NPV Bridge",#N/A,FALSE,"Reports";"Sensitivity1",#N/A,FALSE,"Sensitivity";"Rpt_Price Pace Comp",#N/A,FALSE,"Reports";"Sensitivity2",#N/A,FALSE,"Sensitivity"}</definedName>
    <definedName name="wrn.All." localSheetId="2" hidden="1">{"CF Assumptions",#N/A,FALSE,"Asu";#N/A,#N/A,FALSE,"Notes";#N/A,#N/A,FALSE,"CF";#N/A,#N/A,FALSE,"Summary";#N/A,#N/A,FALSE,"B&amp;T";"Taxable Income",#N/A,FALSE,"B&amp;T";"SM1",#N/A,FALSE,"SM";"SM2",#N/A,FALSE,"SM";#N/A,#N/A,FALSE,"C&amp;D";"NetFees",#N/A,FALSE,"MAINT";"RoomNights",#N/A,FALSE,"MAINT";"Mgmt1",#N/A,FALSE,"MGMT";"Mgmt2",#N/A,FALSE,"MGMT";"Rent1",#N/A,FALSE,"RENT";"Rent2",#N/A,FALSE,"RENT";#N/A,#N/A,FALSE,"HOSP";#N/A,#N/A,FALSE,"FIN";#N/A,#N/A,FALSE,"CF (2)";#N/A,#N/A,FALSE,"C&amp;D (2)";"FB Assumptions",#N/A,FALSE,"Asu";"FB Cashflow 1",#N/A,FALSE,"F&amp;B";"FB Cashflow 2",#N/A,FALSE,"F&amp;B";"Golf Assumptions",#N/A,FALSE,"Asu";"Golf PF1",#N/A,FALSE,"Golf";"Golf PF2",#N/A,FALSE,"Golf";"Golf Dep1",#N/A,FALSE,"Golf";"Golf Dep2",#N/A,FALSE,"Golf";"Rpt_Cost Bridge",#N/A,FALSE,"Reports";"Rpt_Cost Comp",#N/A,FALSE,"Reports";"Rpt_CP22",#N/A,FALSE,"Reports";"Rpt_Economic Comp",#N/A,FALSE,"Reports";"Rpt_Inv Mix1",#N/A,FALSE,"Reports";"Rpt_Inv Mix2",#N/A,FALSE,"Reports";"Rpt_LRP Comp",#N/A,FALSE,"Reports";"Rpt_NPV Bridge",#N/A,FALSE,"Reports";"Sensitivity1",#N/A,FALSE,"Sensitivity";"Rpt_Price Pace Comp",#N/A,FALSE,"Reports";"Sensitivity2",#N/A,FALSE,"Sensitivity"}</definedName>
    <definedName name="wrn.All." hidden="1">{"CF Assumptions",#N/A,FALSE,"Asu";#N/A,#N/A,FALSE,"Notes";#N/A,#N/A,FALSE,"CF";#N/A,#N/A,FALSE,"Summary";#N/A,#N/A,FALSE,"B&amp;T";"Taxable Income",#N/A,FALSE,"B&amp;T";"SM1",#N/A,FALSE,"SM";"SM2",#N/A,FALSE,"SM";#N/A,#N/A,FALSE,"C&amp;D";"NetFees",#N/A,FALSE,"MAINT";"RoomNights",#N/A,FALSE,"MAINT";"Mgmt1",#N/A,FALSE,"MGMT";"Mgmt2",#N/A,FALSE,"MGMT";"Rent1",#N/A,FALSE,"RENT";"Rent2",#N/A,FALSE,"RENT";#N/A,#N/A,FALSE,"HOSP";#N/A,#N/A,FALSE,"FIN";#N/A,#N/A,FALSE,"CF (2)";#N/A,#N/A,FALSE,"C&amp;D (2)";"FB Assumptions",#N/A,FALSE,"Asu";"FB Cashflow 1",#N/A,FALSE,"F&amp;B";"FB Cashflow 2",#N/A,FALSE,"F&amp;B";"Golf Assumptions",#N/A,FALSE,"Asu";"Golf PF1",#N/A,FALSE,"Golf";"Golf PF2",#N/A,FALSE,"Golf";"Golf Dep1",#N/A,FALSE,"Golf";"Golf Dep2",#N/A,FALSE,"Golf";"Rpt_Cost Bridge",#N/A,FALSE,"Reports";"Rpt_Cost Comp",#N/A,FALSE,"Reports";"Rpt_CP22",#N/A,FALSE,"Reports";"Rpt_Economic Comp",#N/A,FALSE,"Reports";"Rpt_Inv Mix1",#N/A,FALSE,"Reports";"Rpt_Inv Mix2",#N/A,FALSE,"Reports";"Rpt_LRP Comp",#N/A,FALSE,"Reports";"Rpt_NPV Bridge",#N/A,FALSE,"Reports";"Sensitivity1",#N/A,FALSE,"Sensitivity";"Rpt_Price Pace Comp",#N/A,FALSE,"Reports";"Sensitivity2",#N/A,FALSE,"Sensitivity"}</definedName>
    <definedName name="wrn.All._.Reports." localSheetId="0" hidden="1">{#N/A,#N/A,FALSE,"Summary";"Sensitivity1",#N/A,FALSE,"Sensitivity";"Sensitivity2",#N/A,FALSE,"Sensitivity";"Rpt_Cost Bridge",#N/A,FALSE,"Reports";"Rpt_Cost Comp",#N/A,FALSE,"Reports";"Rpt_CP22",#N/A,FALSE,"Reports";"Rpt_Economic Comp",#N/A,FALSE,"Reports";"Rpt_Inv Mix1",#N/A,FALSE,"Reports";"Rpt_Inv Mix2",#N/A,FALSE,"Reports";"Rpt_LRP Comp",#N/A,FALSE,"Reports";"Rpt_NPV Bridge",#N/A,FALSE,"Reports";"Rpt_Price Pace Comp",#N/A,FALSE,"Reports";#N/A,#N/A,FALSE,"Notes"}</definedName>
    <definedName name="wrn.All._.Reports." localSheetId="1" hidden="1">{#N/A,#N/A,FALSE,"Summary";"Sensitivity1",#N/A,FALSE,"Sensitivity";"Sensitivity2",#N/A,FALSE,"Sensitivity";"Rpt_Cost Bridge",#N/A,FALSE,"Reports";"Rpt_Cost Comp",#N/A,FALSE,"Reports";"Rpt_CP22",#N/A,FALSE,"Reports";"Rpt_Economic Comp",#N/A,FALSE,"Reports";"Rpt_Inv Mix1",#N/A,FALSE,"Reports";"Rpt_Inv Mix2",#N/A,FALSE,"Reports";"Rpt_LRP Comp",#N/A,FALSE,"Reports";"Rpt_NPV Bridge",#N/A,FALSE,"Reports";"Rpt_Price Pace Comp",#N/A,FALSE,"Reports";#N/A,#N/A,FALSE,"Notes"}</definedName>
    <definedName name="wrn.All._.Reports." localSheetId="2" hidden="1">{#N/A,#N/A,FALSE,"Summary";"Sensitivity1",#N/A,FALSE,"Sensitivity";"Sensitivity2",#N/A,FALSE,"Sensitivity";"Rpt_Cost Bridge",#N/A,FALSE,"Reports";"Rpt_Cost Comp",#N/A,FALSE,"Reports";"Rpt_CP22",#N/A,FALSE,"Reports";"Rpt_Economic Comp",#N/A,FALSE,"Reports";"Rpt_Inv Mix1",#N/A,FALSE,"Reports";"Rpt_Inv Mix2",#N/A,FALSE,"Reports";"Rpt_LRP Comp",#N/A,FALSE,"Reports";"Rpt_NPV Bridge",#N/A,FALSE,"Reports";"Rpt_Price Pace Comp",#N/A,FALSE,"Reports";#N/A,#N/A,FALSE,"Notes"}</definedName>
    <definedName name="wrn.All._.Reports." hidden="1">{#N/A,#N/A,FALSE,"Summary";"Sensitivity1",#N/A,FALSE,"Sensitivity";"Sensitivity2",#N/A,FALSE,"Sensitivity";"Rpt_Cost Bridge",#N/A,FALSE,"Reports";"Rpt_Cost Comp",#N/A,FALSE,"Reports";"Rpt_CP22",#N/A,FALSE,"Reports";"Rpt_Economic Comp",#N/A,FALSE,"Reports";"Rpt_Inv Mix1",#N/A,FALSE,"Reports";"Rpt_Inv Mix2",#N/A,FALSE,"Reports";"Rpt_LRP Comp",#N/A,FALSE,"Reports";"Rpt_NPV Bridge",#N/A,FALSE,"Reports";"Rpt_Price Pace Comp",#N/A,FALSE,"Reports";#N/A,#N/A,FALSE,"Notes"}</definedName>
    <definedName name="wrn.BILLS._.OF._.QUANTITY." localSheetId="0" hidden="1">{#N/A,#N/A,TRUE,"Str.";#N/A,#N/A,TRUE,"Steel &amp; Roof";#N/A,#N/A,TRUE,"Arc.";#N/A,#N/A,TRUE,"Preliminary";#N/A,#N/A,TRUE,"Sum_Prelim"}</definedName>
    <definedName name="wrn.BILLS._.OF._.QUANTITY." localSheetId="1" hidden="1">{#N/A,#N/A,TRUE,"Str.";#N/A,#N/A,TRUE,"Steel &amp; Roof";#N/A,#N/A,TRUE,"Arc.";#N/A,#N/A,TRUE,"Preliminary";#N/A,#N/A,TRUE,"Sum_Prelim"}</definedName>
    <definedName name="wrn.BILLS._.OF._.QUANTITY." localSheetId="2" hidden="1">{#N/A,#N/A,TRUE,"Str.";#N/A,#N/A,TRUE,"Steel &amp; Roof";#N/A,#N/A,TRUE,"Arc.";#N/A,#N/A,TRUE,"Preliminary";#N/A,#N/A,TRUE,"Sum_Prelim"}</definedName>
    <definedName name="wrn.BILLS._.OF._.QUANTITY." hidden="1">{#N/A,#N/A,TRUE,"Str.";#N/A,#N/A,TRUE,"Steel &amp; Roof";#N/A,#N/A,TRUE,"Arc.";#N/A,#N/A,TRUE,"Preliminary";#N/A,#N/A,TRUE,"Sum_Prelim"}</definedName>
    <definedName name="wrn.Complete._.Cash._.Flow." localSheetId="0" hidden="1">{"CF Assumptions",#N/A,FALSE,"Asu";#N/A,#N/A,FALSE,"Summary";#N/A,#N/A,FALSE,"CF (2)";#N/A,#N/A,FALSE,"C&amp;D";"SM1",#N/A,FALSE,"SM";"SM2",#N/A,FALSE,"SM";#N/A,#N/A,FALSE,"B&amp;T";"Mgmt1",#N/A,FALSE,"MGMT";"Mgmt2",#N/A,FALSE,"MGMT";"Rent1",#N/A,FALSE,"RENT";"Rent2",#N/A,FALSE,"RENT";#N/A,#N/A,FALSE,"HOSP";#N/A,#N/A,FALSE,"FIN";#N/A,#N/A,FALSE,"Notes"}</definedName>
    <definedName name="wrn.Complete._.Cash._.Flow." localSheetId="1" hidden="1">{"CF Assumptions",#N/A,FALSE,"Asu";#N/A,#N/A,FALSE,"Summary";#N/A,#N/A,FALSE,"CF (2)";#N/A,#N/A,FALSE,"C&amp;D";"SM1",#N/A,FALSE,"SM";"SM2",#N/A,FALSE,"SM";#N/A,#N/A,FALSE,"B&amp;T";"Mgmt1",#N/A,FALSE,"MGMT";"Mgmt2",#N/A,FALSE,"MGMT";"Rent1",#N/A,FALSE,"RENT";"Rent2",#N/A,FALSE,"RENT";#N/A,#N/A,FALSE,"HOSP";#N/A,#N/A,FALSE,"FIN";#N/A,#N/A,FALSE,"Notes"}</definedName>
    <definedName name="wrn.Complete._.Cash._.Flow." localSheetId="2" hidden="1">{"CF Assumptions",#N/A,FALSE,"Asu";#N/A,#N/A,FALSE,"Summary";#N/A,#N/A,FALSE,"CF (2)";#N/A,#N/A,FALSE,"C&amp;D";"SM1",#N/A,FALSE,"SM";"SM2",#N/A,FALSE,"SM";#N/A,#N/A,FALSE,"B&amp;T";"Mgmt1",#N/A,FALSE,"MGMT";"Mgmt2",#N/A,FALSE,"MGMT";"Rent1",#N/A,FALSE,"RENT";"Rent2",#N/A,FALSE,"RENT";#N/A,#N/A,FALSE,"HOSP";#N/A,#N/A,FALSE,"FIN";#N/A,#N/A,FALSE,"Notes"}</definedName>
    <definedName name="wrn.Complete._.Cash._.Flow." hidden="1">{"CF Assumptions",#N/A,FALSE,"Asu";#N/A,#N/A,FALSE,"Summary";#N/A,#N/A,FALSE,"CF (2)";#N/A,#N/A,FALSE,"C&amp;D";"SM1",#N/A,FALSE,"SM";"SM2",#N/A,FALSE,"SM";#N/A,#N/A,FALSE,"B&amp;T";"Mgmt1",#N/A,FALSE,"MGMT";"Mgmt2",#N/A,FALSE,"MGMT";"Rent1",#N/A,FALSE,"RENT";"Rent2",#N/A,FALSE,"RENT";#N/A,#N/A,FALSE,"HOSP";#N/A,#N/A,FALSE,"FIN";#N/A,#N/A,FALSE,"Notes"}</definedName>
    <definedName name="wrn.dd." localSheetId="0" hidden="1">{#N/A,#N/A,FALSE,"SALES-03"}</definedName>
    <definedName name="wrn.dd." localSheetId="1" hidden="1">{#N/A,#N/A,FALSE,"SALES-03"}</definedName>
    <definedName name="wrn.dd." localSheetId="2" hidden="1">{#N/A,#N/A,FALSE,"SALES-03"}</definedName>
    <definedName name="wrn.dd." hidden="1">{#N/A,#N/A,FALSE,"SALES-03"}</definedName>
    <definedName name="wrn.Food_Beverage." localSheetId="0" hidden="1">{"FB Assumptions",#N/A,FALSE,"Asu";"FB Cashflow 1",#N/A,FALSE,"F&amp;B";"FB Cashflow 2",#N/A,FALSE,"F&amp;B"}</definedName>
    <definedName name="wrn.Food_Beverage." localSheetId="1" hidden="1">{"FB Assumptions",#N/A,FALSE,"Asu";"FB Cashflow 1",#N/A,FALSE,"F&amp;B";"FB Cashflow 2",#N/A,FALSE,"F&amp;B"}</definedName>
    <definedName name="wrn.Food_Beverage." localSheetId="2" hidden="1">{"FB Assumptions",#N/A,FALSE,"Asu";"FB Cashflow 1",#N/A,FALSE,"F&amp;B";"FB Cashflow 2",#N/A,FALSE,"F&amp;B"}</definedName>
    <definedName name="wrn.Food_Beverage." hidden="1">{"FB Assumptions",#N/A,FALSE,"Asu";"FB Cashflow 1",#N/A,FALSE,"F&amp;B";"FB Cashflow 2",#N/A,FALSE,"F&amp;B"}</definedName>
    <definedName name="wrn.Forecast." localSheetId="0" hidden="1">{"CF Assumptions",#N/A,FALSE,"Asu";#N/A,#N/A,FALSE,"CF (2)";"Sensitivity2",#N/A,FALSE,"Sensitivity";"SM1",#N/A,FALSE,"SM";#N/A,#N/A,FALSE,"C&amp;D (2)";"Mgmt1",#N/A,FALSE,"MGMT";"Mgmt2",#N/A,FALSE,"MGMT";"Rpt_Cost Bridge",#N/A,FALSE,"Reports";"Rpt_CP22",#N/A,FALSE,"Reports";"Rpt_LRP Comp",#N/A,FALSE,"Reports";"Rpt_NPV Bridge",#N/A,FALSE,"Reports";#N/A,#N/A,FALSE,"Notes"}</definedName>
    <definedName name="wrn.Forecast." localSheetId="1" hidden="1">{"CF Assumptions",#N/A,FALSE,"Asu";#N/A,#N/A,FALSE,"CF (2)";"Sensitivity2",#N/A,FALSE,"Sensitivity";"SM1",#N/A,FALSE,"SM";#N/A,#N/A,FALSE,"C&amp;D (2)";"Mgmt1",#N/A,FALSE,"MGMT";"Mgmt2",#N/A,FALSE,"MGMT";"Rpt_Cost Bridge",#N/A,FALSE,"Reports";"Rpt_CP22",#N/A,FALSE,"Reports";"Rpt_LRP Comp",#N/A,FALSE,"Reports";"Rpt_NPV Bridge",#N/A,FALSE,"Reports";#N/A,#N/A,FALSE,"Notes"}</definedName>
    <definedName name="wrn.Forecast." localSheetId="2" hidden="1">{"CF Assumptions",#N/A,FALSE,"Asu";#N/A,#N/A,FALSE,"CF (2)";"Sensitivity2",#N/A,FALSE,"Sensitivity";"SM1",#N/A,FALSE,"SM";#N/A,#N/A,FALSE,"C&amp;D (2)";"Mgmt1",#N/A,FALSE,"MGMT";"Mgmt2",#N/A,FALSE,"MGMT";"Rpt_Cost Bridge",#N/A,FALSE,"Reports";"Rpt_CP22",#N/A,FALSE,"Reports";"Rpt_LRP Comp",#N/A,FALSE,"Reports";"Rpt_NPV Bridge",#N/A,FALSE,"Reports";#N/A,#N/A,FALSE,"Notes"}</definedName>
    <definedName name="wrn.Forecast." hidden="1">{"CF Assumptions",#N/A,FALSE,"Asu";#N/A,#N/A,FALSE,"CF (2)";"Sensitivity2",#N/A,FALSE,"Sensitivity";"SM1",#N/A,FALSE,"SM";#N/A,#N/A,FALSE,"C&amp;D (2)";"Mgmt1",#N/A,FALSE,"MGMT";"Mgmt2",#N/A,FALSE,"MGMT";"Rpt_Cost Bridge",#N/A,FALSE,"Reports";"Rpt_CP22",#N/A,FALSE,"Reports";"Rpt_LRP Comp",#N/A,FALSE,"Reports";"Rpt_NPV Bridge",#N/A,FALSE,"Reports";#N/A,#N/A,FALSE,"Notes"}</definedName>
    <definedName name="wrn.Golf." localSheetId="0" hidden="1">{"Golf Assumptions",#N/A,FALSE,"Asu";"Golf PF1",#N/A,FALSE,"Golf";"Golf PF2",#N/A,FALSE,"Golf";"Golf Dep1",#N/A,FALSE,"Golf";"Golf Dep2",#N/A,FALSE,"Golf"}</definedName>
    <definedName name="wrn.Golf." localSheetId="1" hidden="1">{"Golf Assumptions",#N/A,FALSE,"Asu";"Golf PF1",#N/A,FALSE,"Golf";"Golf PF2",#N/A,FALSE,"Golf";"Golf Dep1",#N/A,FALSE,"Golf";"Golf Dep2",#N/A,FALSE,"Golf"}</definedName>
    <definedName name="wrn.Golf." localSheetId="2" hidden="1">{"Golf Assumptions",#N/A,FALSE,"Asu";"Golf PF1",#N/A,FALSE,"Golf";"Golf PF2",#N/A,FALSE,"Golf";"Golf Dep1",#N/A,FALSE,"Golf";"Golf Dep2",#N/A,FALSE,"Golf"}</definedName>
    <definedName name="wrn.Golf." hidden="1">{"Golf Assumptions",#N/A,FALSE,"Asu";"Golf PF1",#N/A,FALSE,"Golf";"Golf PF2",#N/A,FALSE,"Golf";"Golf Dep1",#N/A,FALSE,"Golf";"Golf Dep2",#N/A,FALSE,"Golf"}</definedName>
    <definedName name="wrn.Income." localSheetId="0" hidden="1">{"Book Income",#N/A,FALSE,"B&amp;T";"Taxable Income",#N/A,FALSE,"B&amp;T"}</definedName>
    <definedName name="wrn.Income." localSheetId="1" hidden="1">{"Book Income",#N/A,FALSE,"B&amp;T";"Taxable Income",#N/A,FALSE,"B&amp;T"}</definedName>
    <definedName name="wrn.Income." localSheetId="2" hidden="1">{"Book Income",#N/A,FALSE,"B&amp;T";"Taxable Income",#N/A,FALSE,"B&amp;T"}</definedName>
    <definedName name="wrn.Income." hidden="1">{"Book Income",#N/A,FALSE,"B&amp;T";"Taxable Income",#N/A,FALSE,"B&amp;T"}</definedName>
    <definedName name="wrn.PL._.trend." localSheetId="0" hidden="1">{"Jan-June",#N/A,FALSE,"Sheet4";"Jul-Dec",#N/A,FALSE,"Sheet4"}</definedName>
    <definedName name="wrn.PL._.trend." localSheetId="1" hidden="1">{"Jan-June",#N/A,FALSE,"Sheet4";"Jul-Dec",#N/A,FALSE,"Sheet4"}</definedName>
    <definedName name="wrn.PL._.trend." localSheetId="2" hidden="1">{"Jan-June",#N/A,FALSE,"Sheet4";"Jul-Dec",#N/A,FALSE,"Sheet4"}</definedName>
    <definedName name="wrn.PL._.trend." hidden="1">{"Jan-June",#N/A,FALSE,"Sheet4";"Jul-Dec",#N/A,FALSE,"Sheet4"}</definedName>
    <definedName name="wrn.Print._.All._.9._.Models." localSheetId="0" hidden="1">{#N/A,"1",FALSE,"Model";#N/A,"2",FALSE,"Model";#N/A,"3",FALSE,"Model";#N/A,"4",FALSE,"Model";#N/A,"5",FALSE,"Model";#N/A,"6",FALSE,"Model";#N/A,"7",FALSE,"Model";#N/A,"8",FALSE,"Model";#N/A,"9",FALSE,"Model"}</definedName>
    <definedName name="wrn.Print._.All._.9._.Models." localSheetId="1" hidden="1">{#N/A,"1",FALSE,"Model";#N/A,"2",FALSE,"Model";#N/A,"3",FALSE,"Model";#N/A,"4",FALSE,"Model";#N/A,"5",FALSE,"Model";#N/A,"6",FALSE,"Model";#N/A,"7",FALSE,"Model";#N/A,"8",FALSE,"Model";#N/A,"9",FALSE,"Model"}</definedName>
    <definedName name="wrn.Print._.All._.9._.Models." localSheetId="2" hidden="1">{#N/A,"1",FALSE,"Model";#N/A,"2",FALSE,"Model";#N/A,"3",FALSE,"Model";#N/A,"4",FALSE,"Model";#N/A,"5",FALSE,"Model";#N/A,"6",FALSE,"Model";#N/A,"7",FALSE,"Model";#N/A,"8",FALSE,"Model";#N/A,"9",FALSE,"Model"}</definedName>
    <definedName name="wrn.Print._.All._.9._.Models." hidden="1">{#N/A,"1",FALSE,"Model";#N/A,"2",FALSE,"Model";#N/A,"3",FALSE,"Model";#N/A,"4",FALSE,"Model";#N/A,"5",FALSE,"Model";#N/A,"6",FALSE,"Model";#N/A,"7",FALSE,"Model";#N/A,"8",FALSE,"Model";#N/A,"9",FALSE,"Model"}</definedName>
    <definedName name="wrn.Rent." localSheetId="0" hidden="1">{"Rent1",#N/A,FALSE,"RENT";"Rent2",#N/A,FALSE,"RENT"}</definedName>
    <definedName name="wrn.Rent." localSheetId="1" hidden="1">{"Rent1",#N/A,FALSE,"RENT";"Rent2",#N/A,FALSE,"RENT"}</definedName>
    <definedName name="wrn.Rent." localSheetId="2" hidden="1">{"Rent1",#N/A,FALSE,"RENT";"Rent2",#N/A,FALSE,"RENT"}</definedName>
    <definedName name="wrn.Rent." hidden="1">{"Rent1",#N/A,FALSE,"RENT";"Rent2",#N/A,FALSE,"RENT"}</definedName>
    <definedName name="wrn.Sensitive." localSheetId="0" hidden="1">{"Sensitivity1",#N/A,FALSE,"Sensitivity";"Sensitivity2",#N/A,FALSE,"Sensitivity"}</definedName>
    <definedName name="wrn.Sensitive." localSheetId="1" hidden="1">{"Sensitivity1",#N/A,FALSE,"Sensitivity";"Sensitivity2",#N/A,FALSE,"Sensitivity"}</definedName>
    <definedName name="wrn.Sensitive." localSheetId="2" hidden="1">{"Sensitivity1",#N/A,FALSE,"Sensitivity";"Sensitivity2",#N/A,FALSE,"Sensitivity"}</definedName>
    <definedName name="wrn.Sensitive." hidden="1">{"Sensitivity1",#N/A,FALSE,"Sensitivity";"Sensitivity2",#N/A,FALSE,"Sensitivity"}</definedName>
    <definedName name="wrn.Steering._.Committee." localSheetId="0" hidden="1">{"CF Assumptions",#N/A,FALSE,"Asu";#N/A,#N/A,FALSE,"Summary";#N/A,#N/A,FALSE,"CF (2)";#N/A,#N/A,FALSE,"SM";#N/A,#N/A,FALSE,"C&amp;D";#N/A,#N/A,FALSE,"MGMT";#N/A,#N/A,FALSE,"Notes"}</definedName>
    <definedName name="wrn.Steering._.Committee." localSheetId="1" hidden="1">{"CF Assumptions",#N/A,FALSE,"Asu";#N/A,#N/A,FALSE,"Summary";#N/A,#N/A,FALSE,"CF (2)";#N/A,#N/A,FALSE,"SM";#N/A,#N/A,FALSE,"C&amp;D";#N/A,#N/A,FALSE,"MGMT";#N/A,#N/A,FALSE,"Notes"}</definedName>
    <definedName name="wrn.Steering._.Committee." localSheetId="2" hidden="1">{"CF Assumptions",#N/A,FALSE,"Asu";#N/A,#N/A,FALSE,"Summary";#N/A,#N/A,FALSE,"CF (2)";#N/A,#N/A,FALSE,"SM";#N/A,#N/A,FALSE,"C&amp;D";#N/A,#N/A,FALSE,"MGMT";#N/A,#N/A,FALSE,"Notes"}</definedName>
    <definedName name="wrn.Steering._.Committee." hidden="1">{"CF Assumptions",#N/A,FALSE,"Asu";#N/A,#N/A,FALSE,"Summary";#N/A,#N/A,FALSE,"CF (2)";#N/A,#N/A,FALSE,"SM";#N/A,#N/A,FALSE,"C&amp;D";#N/A,#N/A,FALSE,"MGMT";#N/A,#N/A,FALSE,"Notes"}</definedName>
    <definedName name="xx" localSheetId="0" hidden="1">{"CF Assumptions",#N/A,FALSE,"Asu";#N/A,#N/A,FALSE,"Summary";#N/A,#N/A,FALSE,"CF (2)";#N/A,#N/A,FALSE,"C&amp;D";"SM1",#N/A,FALSE,"SM";"SM2",#N/A,FALSE,"SM";#N/A,#N/A,FALSE,"B&amp;T";"Mgmt1",#N/A,FALSE,"MGMT";"Mgmt2",#N/A,FALSE,"MGMT";"Rent1",#N/A,FALSE,"RENT";"Rent2",#N/A,FALSE,"RENT";#N/A,#N/A,FALSE,"HOSP";#N/A,#N/A,FALSE,"FIN";#N/A,#N/A,FALSE,"Notes"}</definedName>
    <definedName name="xx" localSheetId="1" hidden="1">{"CF Assumptions",#N/A,FALSE,"Asu";#N/A,#N/A,FALSE,"Summary";#N/A,#N/A,FALSE,"CF (2)";#N/A,#N/A,FALSE,"C&amp;D";"SM1",#N/A,FALSE,"SM";"SM2",#N/A,FALSE,"SM";#N/A,#N/A,FALSE,"B&amp;T";"Mgmt1",#N/A,FALSE,"MGMT";"Mgmt2",#N/A,FALSE,"MGMT";"Rent1",#N/A,FALSE,"RENT";"Rent2",#N/A,FALSE,"RENT";#N/A,#N/A,FALSE,"HOSP";#N/A,#N/A,FALSE,"FIN";#N/A,#N/A,FALSE,"Notes"}</definedName>
    <definedName name="xx" localSheetId="2" hidden="1">{"CF Assumptions",#N/A,FALSE,"Asu";#N/A,#N/A,FALSE,"Summary";#N/A,#N/A,FALSE,"CF (2)";#N/A,#N/A,FALSE,"C&amp;D";"SM1",#N/A,FALSE,"SM";"SM2",#N/A,FALSE,"SM";#N/A,#N/A,FALSE,"B&amp;T";"Mgmt1",#N/A,FALSE,"MGMT";"Mgmt2",#N/A,FALSE,"MGMT";"Rent1",#N/A,FALSE,"RENT";"Rent2",#N/A,FALSE,"RENT";#N/A,#N/A,FALSE,"HOSP";#N/A,#N/A,FALSE,"FIN";#N/A,#N/A,FALSE,"Notes"}</definedName>
    <definedName name="xx" hidden="1">{"CF Assumptions",#N/A,FALSE,"Asu";#N/A,#N/A,FALSE,"Summary";#N/A,#N/A,FALSE,"CF (2)";#N/A,#N/A,FALSE,"C&amp;D";"SM1",#N/A,FALSE,"SM";"SM2",#N/A,FALSE,"SM";#N/A,#N/A,FALSE,"B&amp;T";"Mgmt1",#N/A,FALSE,"MGMT";"Mgmt2",#N/A,FALSE,"MGMT";"Rent1",#N/A,FALSE,"RENT";"Rent2",#N/A,FALSE,"RENT";#N/A,#N/A,FALSE,"HOSP";#N/A,#N/A,FALSE,"FIN";#N/A,#N/A,FALSE,"Notes"}</definedName>
    <definedName name="xxx" localSheetId="0" hidden="1">{"FB Assumptions",#N/A,FALSE,"Asu";"FB Cashflow 1",#N/A,FALSE,"F&amp;B";"FB Cashflow 2",#N/A,FALSE,"F&amp;B"}</definedName>
    <definedName name="xxx" localSheetId="1" hidden="1">{"FB Assumptions",#N/A,FALSE,"Asu";"FB Cashflow 1",#N/A,FALSE,"F&amp;B";"FB Cashflow 2",#N/A,FALSE,"F&amp;B"}</definedName>
    <definedName name="xxx" localSheetId="2" hidden="1">{"FB Assumptions",#N/A,FALSE,"Asu";"FB Cashflow 1",#N/A,FALSE,"F&amp;B";"FB Cashflow 2",#N/A,FALSE,"F&amp;B"}</definedName>
    <definedName name="xxx" hidden="1">{"FB Assumptions",#N/A,FALSE,"Asu";"FB Cashflow 1",#N/A,FALSE,"F&amp;B";"FB Cashflow 2",#N/A,FALSE,"F&amp;B"}</definedName>
    <definedName name="Year">'[4]POV Master'!$L$3:$L$28</definedName>
    <definedName name="yoo" localSheetId="2" hidden="1">#REF!</definedName>
    <definedName name="yoo" hidden="1">#REF!</definedName>
    <definedName name="z." localSheetId="0" hidden="1">{"CF Assumptions",#N/A,FALSE,"Asu";#N/A,#N/A,FALSE,"Summary";#N/A,#N/A,FALSE,"CF (2)";#N/A,#N/A,FALSE,"C&amp;D";"SM1",#N/A,FALSE,"SM";"SM2",#N/A,FALSE,"SM";#N/A,#N/A,FALSE,"B&amp;T";"Mgmt1",#N/A,FALSE,"MGMT";"Mgmt2",#N/A,FALSE,"MGMT";"Rent1",#N/A,FALSE,"RENT";"Rent2",#N/A,FALSE,"RENT";#N/A,#N/A,FALSE,"HOSP";#N/A,#N/A,FALSE,"FIN";#N/A,#N/A,FALSE,"Notes"}</definedName>
    <definedName name="z." localSheetId="1" hidden="1">{"CF Assumptions",#N/A,FALSE,"Asu";#N/A,#N/A,FALSE,"Summary";#N/A,#N/A,FALSE,"CF (2)";#N/A,#N/A,FALSE,"C&amp;D";"SM1",#N/A,FALSE,"SM";"SM2",#N/A,FALSE,"SM";#N/A,#N/A,FALSE,"B&amp;T";"Mgmt1",#N/A,FALSE,"MGMT";"Mgmt2",#N/A,FALSE,"MGMT";"Rent1",#N/A,FALSE,"RENT";"Rent2",#N/A,FALSE,"RENT";#N/A,#N/A,FALSE,"HOSP";#N/A,#N/A,FALSE,"FIN";#N/A,#N/A,FALSE,"Notes"}</definedName>
    <definedName name="z." localSheetId="2" hidden="1">{"CF Assumptions",#N/A,FALSE,"Asu";#N/A,#N/A,FALSE,"Summary";#N/A,#N/A,FALSE,"CF (2)";#N/A,#N/A,FALSE,"C&amp;D";"SM1",#N/A,FALSE,"SM";"SM2",#N/A,FALSE,"SM";#N/A,#N/A,FALSE,"B&amp;T";"Mgmt1",#N/A,FALSE,"MGMT";"Mgmt2",#N/A,FALSE,"MGMT";"Rent1",#N/A,FALSE,"RENT";"Rent2",#N/A,FALSE,"RENT";#N/A,#N/A,FALSE,"HOSP";#N/A,#N/A,FALSE,"FIN";#N/A,#N/A,FALSE,"Notes"}</definedName>
    <definedName name="z." hidden="1">{"CF Assumptions",#N/A,FALSE,"Asu";#N/A,#N/A,FALSE,"Summary";#N/A,#N/A,FALSE,"CF (2)";#N/A,#N/A,FALSE,"C&amp;D";"SM1",#N/A,FALSE,"SM";"SM2",#N/A,FALSE,"SM";#N/A,#N/A,FALSE,"B&amp;T";"Mgmt1",#N/A,FALSE,"MGMT";"Mgmt2",#N/A,FALSE,"MGMT";"Rent1",#N/A,FALSE,"RENT";"Rent2",#N/A,FALSE,"RENT";#N/A,#N/A,FALSE,"HOSP";#N/A,#N/A,FALSE,"FIN";#N/A,#N/A,FALSE,"Notes"}</definedName>
    <definedName name="Z_32A64185_6C5A_11D4_A921_00400535FE31_.wvu.Cols" hidden="1">'[9]cost per croc'!$C$1:$C$65536,'[9]cost per croc'!$F$1:$F$65536,'[9]cost per croc'!$J$1:$J$65536,'[9]cost per croc'!$L$1:$L$65536</definedName>
    <definedName name="Z_32A64185_6C5A_11D4_A921_00400535FE31_.wvu.Rows" hidden="1">'[9]cost per croc'!$A$33:$IV$34,'[9]cost per croc'!$A$36:$IV$38</definedName>
    <definedName name="ฤ" localSheetId="0" hidden="1">{"FB Assumptions",#N/A,FALSE,"Asu";"FB Cashflow 1",#N/A,FALSE,"F&amp;B";"FB Cashflow 2",#N/A,FALSE,"F&amp;B"}</definedName>
    <definedName name="ฤ" localSheetId="1" hidden="1">{"FB Assumptions",#N/A,FALSE,"Asu";"FB Cashflow 1",#N/A,FALSE,"F&amp;B";"FB Cashflow 2",#N/A,FALSE,"F&amp;B"}</definedName>
    <definedName name="ฤ" localSheetId="2" hidden="1">{"FB Assumptions",#N/A,FALSE,"Asu";"FB Cashflow 1",#N/A,FALSE,"F&amp;B";"FB Cashflow 2",#N/A,FALSE,"F&amp;B"}</definedName>
    <definedName name="ฤ" hidden="1">{"FB Assumptions",#N/A,FALSE,"Asu";"FB Cashflow 1",#N/A,FALSE,"F&amp;B";"FB Cashflow 2",#N/A,FALSE,"F&amp;B"}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M3" i="10" l="1"/>
  <c r="S26" i="10"/>
  <c r="M3" i="10"/>
  <c r="N19" i="10"/>
  <c r="I19" i="10"/>
  <c r="E3" i="10"/>
  <c r="C3" i="10"/>
  <c r="D17" i="10"/>
  <c r="BN21" i="10"/>
  <c r="BM4" i="10"/>
  <c r="BK4" i="10"/>
  <c r="BK3" i="10" s="1"/>
  <c r="BN97" i="10" s="1"/>
  <c r="BH4" i="10"/>
  <c r="BG4" i="10" s="1"/>
  <c r="BF4" i="10"/>
  <c r="BC4" i="10"/>
  <c r="BA4" i="10"/>
  <c r="AX4" i="10"/>
  <c r="AV4" i="10"/>
  <c r="AV3" i="10" s="1"/>
  <c r="AS4" i="10"/>
  <c r="AQ4" i="10"/>
  <c r="AQ3" i="10" s="1"/>
  <c r="AN4" i="10"/>
  <c r="AN3" i="10" s="1"/>
  <c r="AL4" i="10"/>
  <c r="AL3" i="10" s="1"/>
  <c r="AI4" i="10"/>
  <c r="AI3" i="10" s="1"/>
  <c r="AG4" i="10"/>
  <c r="AG3" i="10" s="1"/>
  <c r="AD4" i="10"/>
  <c r="AD3" i="10" s="1"/>
  <c r="AB4" i="10"/>
  <c r="AB3" i="10" s="1"/>
  <c r="Y4" i="10"/>
  <c r="Y3" i="10" s="1"/>
  <c r="W4" i="10"/>
  <c r="X4" i="10" s="1"/>
  <c r="T4" i="10"/>
  <c r="R4" i="10"/>
  <c r="R3" i="10" s="1"/>
  <c r="O4" i="10"/>
  <c r="M4" i="10"/>
  <c r="J4" i="10"/>
  <c r="H4" i="10"/>
  <c r="H3" i="10" s="1"/>
  <c r="E4" i="10"/>
  <c r="C4" i="10"/>
  <c r="BL7" i="10"/>
  <c r="BL8" i="10"/>
  <c r="BL9" i="10"/>
  <c r="BL10" i="10"/>
  <c r="BL11" i="10"/>
  <c r="BL12" i="10"/>
  <c r="BL13" i="10"/>
  <c r="BL14" i="10"/>
  <c r="BL15" i="10"/>
  <c r="BL16" i="10"/>
  <c r="BL17" i="10"/>
  <c r="BL18" i="10"/>
  <c r="BL19" i="10"/>
  <c r="BL20" i="10"/>
  <c r="BL21" i="10"/>
  <c r="BL22" i="10"/>
  <c r="BL23" i="10"/>
  <c r="BL24" i="10"/>
  <c r="BL25" i="10"/>
  <c r="BL26" i="10"/>
  <c r="BL27" i="10"/>
  <c r="BL28" i="10"/>
  <c r="BL29" i="10"/>
  <c r="BL30" i="10"/>
  <c r="BL31" i="10"/>
  <c r="BL32" i="10"/>
  <c r="BL33" i="10"/>
  <c r="BL34" i="10"/>
  <c r="BL35" i="10"/>
  <c r="BL36" i="10"/>
  <c r="BL37" i="10"/>
  <c r="BL38" i="10"/>
  <c r="BL39" i="10"/>
  <c r="BL40" i="10"/>
  <c r="BL41" i="10"/>
  <c r="BL42" i="10"/>
  <c r="BL43" i="10"/>
  <c r="BL44" i="10"/>
  <c r="BL45" i="10"/>
  <c r="BL46" i="10"/>
  <c r="BL47" i="10"/>
  <c r="BL48" i="10"/>
  <c r="BL49" i="10"/>
  <c r="BL50" i="10"/>
  <c r="BL51" i="10"/>
  <c r="BL52" i="10"/>
  <c r="BL53" i="10"/>
  <c r="BL54" i="10"/>
  <c r="BL55" i="10"/>
  <c r="BL56" i="10"/>
  <c r="BL57" i="10"/>
  <c r="BL58" i="10"/>
  <c r="BL59" i="10"/>
  <c r="BL60" i="10"/>
  <c r="BL61" i="10"/>
  <c r="BL62" i="10"/>
  <c r="BL63" i="10"/>
  <c r="BL64" i="10"/>
  <c r="BL65" i="10"/>
  <c r="BL66" i="10"/>
  <c r="BL67" i="10"/>
  <c r="BL68" i="10"/>
  <c r="BL69" i="10"/>
  <c r="BL70" i="10"/>
  <c r="BL71" i="10"/>
  <c r="BL72" i="10"/>
  <c r="BL73" i="10"/>
  <c r="BL74" i="10"/>
  <c r="BL75" i="10"/>
  <c r="BL76" i="10"/>
  <c r="BL77" i="10"/>
  <c r="BL78" i="10"/>
  <c r="BL79" i="10"/>
  <c r="BL80" i="10"/>
  <c r="BL81" i="10"/>
  <c r="BL82" i="10"/>
  <c r="BL83" i="10"/>
  <c r="BL84" i="10"/>
  <c r="BL85" i="10"/>
  <c r="BL86" i="10"/>
  <c r="BL87" i="10"/>
  <c r="BL88" i="10"/>
  <c r="BL89" i="10"/>
  <c r="BL90" i="10"/>
  <c r="BL91" i="10"/>
  <c r="BL92" i="10"/>
  <c r="BL93" i="10"/>
  <c r="BL94" i="10"/>
  <c r="BL95" i="10"/>
  <c r="BL96" i="10"/>
  <c r="BL97" i="10"/>
  <c r="BL98" i="10"/>
  <c r="BL99" i="10"/>
  <c r="BL100" i="10"/>
  <c r="BL101" i="10"/>
  <c r="BL102" i="10"/>
  <c r="BL103" i="10"/>
  <c r="BL104" i="10"/>
  <c r="BL105" i="10"/>
  <c r="BL106" i="10"/>
  <c r="BL107" i="10"/>
  <c r="BL108" i="10"/>
  <c r="BL109" i="10"/>
  <c r="BL110" i="10"/>
  <c r="BL111" i="10"/>
  <c r="BL112" i="10"/>
  <c r="BL113" i="10"/>
  <c r="BL114" i="10"/>
  <c r="BL115" i="10"/>
  <c r="BL116" i="10"/>
  <c r="BL117" i="10"/>
  <c r="BL118" i="10"/>
  <c r="BL119" i="10"/>
  <c r="BL120" i="10"/>
  <c r="BL121" i="10"/>
  <c r="BL122" i="10"/>
  <c r="BL123" i="10"/>
  <c r="BL124" i="10"/>
  <c r="BL125" i="10"/>
  <c r="BL126" i="10"/>
  <c r="BL127" i="10"/>
  <c r="BL128" i="10"/>
  <c r="BL129" i="10"/>
  <c r="BL130" i="10"/>
  <c r="BL131" i="10"/>
  <c r="BL132" i="10"/>
  <c r="BL133" i="10"/>
  <c r="BL134" i="10"/>
  <c r="BL135" i="10"/>
  <c r="BG5" i="10"/>
  <c r="BG6" i="10"/>
  <c r="BG7" i="10"/>
  <c r="BG8" i="10"/>
  <c r="BG9" i="10"/>
  <c r="BG10" i="10"/>
  <c r="BG11" i="10"/>
  <c r="BG12" i="10"/>
  <c r="BG13" i="10"/>
  <c r="BG14" i="10"/>
  <c r="BG15" i="10"/>
  <c r="BG16" i="10"/>
  <c r="BG17" i="10"/>
  <c r="BG18" i="10"/>
  <c r="BG19" i="10"/>
  <c r="BG20" i="10"/>
  <c r="BG21" i="10"/>
  <c r="BG22" i="10"/>
  <c r="BG23" i="10"/>
  <c r="BG24" i="10"/>
  <c r="BG25" i="10"/>
  <c r="BG26" i="10"/>
  <c r="BG27" i="10"/>
  <c r="BG28" i="10"/>
  <c r="BG29" i="10"/>
  <c r="BG30" i="10"/>
  <c r="BG31" i="10"/>
  <c r="BG32" i="10"/>
  <c r="BG33" i="10"/>
  <c r="BG34" i="10"/>
  <c r="BG35" i="10"/>
  <c r="BG36" i="10"/>
  <c r="BG37" i="10"/>
  <c r="BG38" i="10"/>
  <c r="BG39" i="10"/>
  <c r="BG40" i="10"/>
  <c r="BG41" i="10"/>
  <c r="BG42" i="10"/>
  <c r="BG43" i="10"/>
  <c r="BG44" i="10"/>
  <c r="BG45" i="10"/>
  <c r="BG46" i="10"/>
  <c r="BG47" i="10"/>
  <c r="BG48" i="10"/>
  <c r="BG49" i="10"/>
  <c r="BG50" i="10"/>
  <c r="BG51" i="10"/>
  <c r="BG52" i="10"/>
  <c r="BG53" i="10"/>
  <c r="BG54" i="10"/>
  <c r="BG55" i="10"/>
  <c r="BG56" i="10"/>
  <c r="BG57" i="10"/>
  <c r="BG58" i="10"/>
  <c r="BG59" i="10"/>
  <c r="BG60" i="10"/>
  <c r="BG61" i="10"/>
  <c r="BG62" i="10"/>
  <c r="BG63" i="10"/>
  <c r="BG64" i="10"/>
  <c r="BG65" i="10"/>
  <c r="BG66" i="10"/>
  <c r="BG67" i="10"/>
  <c r="BG68" i="10"/>
  <c r="BG69" i="10"/>
  <c r="BG70" i="10"/>
  <c r="BG71" i="10"/>
  <c r="BG72" i="10"/>
  <c r="BG73" i="10"/>
  <c r="BG74" i="10"/>
  <c r="BG75" i="10"/>
  <c r="BG76" i="10"/>
  <c r="BG77" i="10"/>
  <c r="BG78" i="10"/>
  <c r="BG79" i="10"/>
  <c r="BG80" i="10"/>
  <c r="BG81" i="10"/>
  <c r="BG82" i="10"/>
  <c r="BG83" i="10"/>
  <c r="BG84" i="10"/>
  <c r="BG85" i="10"/>
  <c r="BG86" i="10"/>
  <c r="BG87" i="10"/>
  <c r="BH3" i="10"/>
  <c r="BF3" i="10"/>
  <c r="BB5" i="10"/>
  <c r="BB6" i="10"/>
  <c r="BB7" i="10"/>
  <c r="BB8" i="10"/>
  <c r="BB9" i="10"/>
  <c r="BB10" i="10"/>
  <c r="BB11" i="10"/>
  <c r="BB12" i="10"/>
  <c r="BB13" i="10"/>
  <c r="BB14" i="10"/>
  <c r="BB15" i="10"/>
  <c r="BB16" i="10"/>
  <c r="BB17" i="10"/>
  <c r="BB18" i="10"/>
  <c r="BB19" i="10"/>
  <c r="BB20" i="10"/>
  <c r="BB21" i="10"/>
  <c r="BB22" i="10"/>
  <c r="BB23" i="10"/>
  <c r="BB24" i="10"/>
  <c r="BB25" i="10"/>
  <c r="BB26" i="10"/>
  <c r="BB27" i="10"/>
  <c r="BB28" i="10"/>
  <c r="BB29" i="10"/>
  <c r="BB30" i="10"/>
  <c r="BB31" i="10"/>
  <c r="BB32" i="10"/>
  <c r="BB33" i="10"/>
  <c r="BB34" i="10"/>
  <c r="BB35" i="10"/>
  <c r="BB36" i="10"/>
  <c r="BB37" i="10"/>
  <c r="BB38" i="10"/>
  <c r="BB39" i="10"/>
  <c r="BB40" i="10"/>
  <c r="BB41" i="10"/>
  <c r="BB42" i="10"/>
  <c r="BB43" i="10"/>
  <c r="BB44" i="10"/>
  <c r="BB45" i="10"/>
  <c r="BB46" i="10"/>
  <c r="BB47" i="10"/>
  <c r="BB48" i="10"/>
  <c r="BB49" i="10"/>
  <c r="BB50" i="10"/>
  <c r="BB51" i="10"/>
  <c r="BB52" i="10"/>
  <c r="BB53" i="10"/>
  <c r="BB54" i="10"/>
  <c r="BB55" i="10"/>
  <c r="BB56" i="10"/>
  <c r="BB57" i="10"/>
  <c r="BB58" i="10"/>
  <c r="BB59" i="10"/>
  <c r="BB60" i="10"/>
  <c r="BB61" i="10"/>
  <c r="BB62" i="10"/>
  <c r="BB63" i="10"/>
  <c r="BB64" i="10"/>
  <c r="BB65" i="10"/>
  <c r="BB66" i="10"/>
  <c r="BB67" i="10"/>
  <c r="BB68" i="10"/>
  <c r="BB69" i="10"/>
  <c r="BB70" i="10"/>
  <c r="BB71" i="10"/>
  <c r="BB72" i="10"/>
  <c r="BB73" i="10"/>
  <c r="BB74" i="10"/>
  <c r="BB75" i="10"/>
  <c r="BB76" i="10"/>
  <c r="BB77" i="10"/>
  <c r="BB78" i="10"/>
  <c r="BB79" i="10"/>
  <c r="BB80" i="10"/>
  <c r="BB81" i="10"/>
  <c r="BB82" i="10"/>
  <c r="BB83" i="10"/>
  <c r="BA3" i="10"/>
  <c r="AW5" i="10"/>
  <c r="AW6" i="10"/>
  <c r="AW7" i="10"/>
  <c r="AW8" i="10"/>
  <c r="AW9" i="10"/>
  <c r="AW10" i="10"/>
  <c r="AW11" i="10"/>
  <c r="AW12" i="10"/>
  <c r="AW13" i="10"/>
  <c r="AW14" i="10"/>
  <c r="AW15" i="10"/>
  <c r="AW16" i="10"/>
  <c r="AW17" i="10"/>
  <c r="AW18" i="10"/>
  <c r="AW19" i="10"/>
  <c r="AW20" i="10"/>
  <c r="AW21" i="10"/>
  <c r="AW22" i="10"/>
  <c r="AW23" i="10"/>
  <c r="AW24" i="10"/>
  <c r="AW25" i="10"/>
  <c r="AW26" i="10"/>
  <c r="AW27" i="10"/>
  <c r="AW28" i="10"/>
  <c r="AW29" i="10"/>
  <c r="AW30" i="10"/>
  <c r="AW31" i="10"/>
  <c r="AW32" i="10"/>
  <c r="AW33" i="10"/>
  <c r="AW34" i="10"/>
  <c r="AW35" i="10"/>
  <c r="AW36" i="10"/>
  <c r="AW37" i="10"/>
  <c r="AW38" i="10"/>
  <c r="AW39" i="10"/>
  <c r="AW40" i="10"/>
  <c r="AW41" i="10"/>
  <c r="AW42" i="10"/>
  <c r="AW43" i="10"/>
  <c r="AW44" i="10"/>
  <c r="AW45" i="10"/>
  <c r="AW46" i="10"/>
  <c r="AW47" i="10"/>
  <c r="AW48" i="10"/>
  <c r="AW49" i="10"/>
  <c r="AW50" i="10"/>
  <c r="AW51" i="10"/>
  <c r="AW52" i="10"/>
  <c r="AW53" i="10"/>
  <c r="AW54" i="10"/>
  <c r="AW55" i="10"/>
  <c r="AW56" i="10"/>
  <c r="AW57" i="10"/>
  <c r="AW58" i="10"/>
  <c r="AW59" i="10"/>
  <c r="AW60" i="10"/>
  <c r="AW61" i="10"/>
  <c r="AW62" i="10"/>
  <c r="AW63" i="10"/>
  <c r="AW64" i="10"/>
  <c r="AW65" i="10"/>
  <c r="AW66" i="10"/>
  <c r="AW67" i="10"/>
  <c r="AW68" i="10"/>
  <c r="AW69" i="10"/>
  <c r="AW70" i="10"/>
  <c r="AW71" i="10"/>
  <c r="AW72" i="10"/>
  <c r="AW73" i="10"/>
  <c r="AW74" i="10"/>
  <c r="AW75" i="10"/>
  <c r="AW76" i="10"/>
  <c r="AW77" i="10"/>
  <c r="AW78" i="10"/>
  <c r="AR5" i="10"/>
  <c r="AR6" i="10"/>
  <c r="AR7" i="10"/>
  <c r="AR8" i="10"/>
  <c r="AR9" i="10"/>
  <c r="AR10" i="10"/>
  <c r="AR11" i="10"/>
  <c r="AR12" i="10"/>
  <c r="AR13" i="10"/>
  <c r="AR14" i="10"/>
  <c r="AR15" i="10"/>
  <c r="AR16" i="10"/>
  <c r="AR17" i="10"/>
  <c r="AR18" i="10"/>
  <c r="AR19" i="10"/>
  <c r="AR20" i="10"/>
  <c r="AR21" i="10"/>
  <c r="AR22" i="10"/>
  <c r="AR23" i="10"/>
  <c r="AR24" i="10"/>
  <c r="AR25" i="10"/>
  <c r="AR26" i="10"/>
  <c r="AR27" i="10"/>
  <c r="AR28" i="10"/>
  <c r="AR29" i="10"/>
  <c r="AR30" i="10"/>
  <c r="AR31" i="10"/>
  <c r="AR32" i="10"/>
  <c r="AR33" i="10"/>
  <c r="AR34" i="10"/>
  <c r="AR35" i="10"/>
  <c r="AR36" i="10"/>
  <c r="AR37" i="10"/>
  <c r="AR38" i="10"/>
  <c r="AR39" i="10"/>
  <c r="AR40" i="10"/>
  <c r="AR41" i="10"/>
  <c r="AR42" i="10"/>
  <c r="AR43" i="10"/>
  <c r="AR44" i="10"/>
  <c r="AR45" i="10"/>
  <c r="AR46" i="10"/>
  <c r="AR47" i="10"/>
  <c r="AR48" i="10"/>
  <c r="AR49" i="10"/>
  <c r="AR50" i="10"/>
  <c r="AR51" i="10"/>
  <c r="AR52" i="10"/>
  <c r="AR53" i="10"/>
  <c r="AR54" i="10"/>
  <c r="AR55" i="10"/>
  <c r="AR56" i="10"/>
  <c r="AR57" i="10"/>
  <c r="AR58" i="10"/>
  <c r="AR59" i="10"/>
  <c r="AR60" i="10"/>
  <c r="AR61" i="10"/>
  <c r="AR62" i="10"/>
  <c r="AR63" i="10"/>
  <c r="AR64" i="10"/>
  <c r="AR65" i="10"/>
  <c r="AR66" i="10"/>
  <c r="AR67" i="10"/>
  <c r="AR68" i="10"/>
  <c r="AR69" i="10"/>
  <c r="AR70" i="10"/>
  <c r="AR71" i="10"/>
  <c r="AR72" i="10"/>
  <c r="AR73" i="10"/>
  <c r="AR74" i="10"/>
  <c r="AR75" i="10"/>
  <c r="AR76" i="10"/>
  <c r="AR77" i="10"/>
  <c r="AR78" i="10"/>
  <c r="AR79" i="10"/>
  <c r="AS3" i="10"/>
  <c r="AM5" i="10"/>
  <c r="AM6" i="10"/>
  <c r="AM7" i="10"/>
  <c r="AM8" i="10"/>
  <c r="AM9" i="10"/>
  <c r="AM10" i="10"/>
  <c r="AM11" i="10"/>
  <c r="AM12" i="10"/>
  <c r="AM13" i="10"/>
  <c r="AM14" i="10"/>
  <c r="AM15" i="10"/>
  <c r="AM16" i="10"/>
  <c r="AM17" i="10"/>
  <c r="AM18" i="10"/>
  <c r="AM19" i="10"/>
  <c r="AM20" i="10"/>
  <c r="AM21" i="10"/>
  <c r="AM22" i="10"/>
  <c r="AM23" i="10"/>
  <c r="AM24" i="10"/>
  <c r="AM25" i="10"/>
  <c r="AM26" i="10"/>
  <c r="AM27" i="10"/>
  <c r="AM28" i="10"/>
  <c r="AM29" i="10"/>
  <c r="AM30" i="10"/>
  <c r="AM31" i="10"/>
  <c r="AM32" i="10"/>
  <c r="AM33" i="10"/>
  <c r="AM34" i="10"/>
  <c r="AM35" i="10"/>
  <c r="AM36" i="10"/>
  <c r="AM37" i="10"/>
  <c r="AM38" i="10"/>
  <c r="AM39" i="10"/>
  <c r="AM40" i="10"/>
  <c r="AM41" i="10"/>
  <c r="AM42" i="10"/>
  <c r="AM43" i="10"/>
  <c r="AM44" i="10"/>
  <c r="AM45" i="10"/>
  <c r="AM46" i="10"/>
  <c r="AM47" i="10"/>
  <c r="AM48" i="10"/>
  <c r="AM49" i="10"/>
  <c r="AM50" i="10"/>
  <c r="AM51" i="10"/>
  <c r="AM52" i="10"/>
  <c r="AM53" i="10"/>
  <c r="AM54" i="10"/>
  <c r="AM55" i="10"/>
  <c r="AM56" i="10"/>
  <c r="AM57" i="10"/>
  <c r="AM58" i="10"/>
  <c r="AM59" i="10"/>
  <c r="AM60" i="10"/>
  <c r="AM61" i="10"/>
  <c r="AM62" i="10"/>
  <c r="AM63" i="10"/>
  <c r="AM64" i="10"/>
  <c r="AM65" i="10"/>
  <c r="AM66" i="10"/>
  <c r="AM67" i="10"/>
  <c r="AM68" i="10"/>
  <c r="AM69" i="10"/>
  <c r="AM70" i="10"/>
  <c r="AM71" i="10"/>
  <c r="AM72" i="10"/>
  <c r="AM73" i="10"/>
  <c r="AM74" i="10"/>
  <c r="AM75" i="10"/>
  <c r="AM76" i="10"/>
  <c r="AM77" i="10"/>
  <c r="AM78" i="10"/>
  <c r="AH9" i="10"/>
  <c r="AH10" i="10"/>
  <c r="AH11" i="10"/>
  <c r="AH12" i="10"/>
  <c r="AH13" i="10"/>
  <c r="AH14" i="10"/>
  <c r="AH15" i="10"/>
  <c r="AH16" i="10"/>
  <c r="AH17" i="10"/>
  <c r="AH18" i="10"/>
  <c r="AH19" i="10"/>
  <c r="AH20" i="10"/>
  <c r="AH21" i="10"/>
  <c r="AH22" i="10"/>
  <c r="AH23" i="10"/>
  <c r="AH24" i="10"/>
  <c r="AH25" i="10"/>
  <c r="AH26" i="10"/>
  <c r="AH27" i="10"/>
  <c r="AH28" i="10"/>
  <c r="AH29" i="10"/>
  <c r="AH30" i="10"/>
  <c r="AH31" i="10"/>
  <c r="AH32" i="10"/>
  <c r="AH33" i="10"/>
  <c r="AH34" i="10"/>
  <c r="AH35" i="10"/>
  <c r="AH36" i="10"/>
  <c r="AH37" i="10"/>
  <c r="AH38" i="10"/>
  <c r="AH39" i="10"/>
  <c r="AH40" i="10"/>
  <c r="AH41" i="10"/>
  <c r="AH42" i="10"/>
  <c r="AH43" i="10"/>
  <c r="AH44" i="10"/>
  <c r="AH45" i="10"/>
  <c r="AH46" i="10"/>
  <c r="AH47" i="10"/>
  <c r="AH48" i="10"/>
  <c r="AH49" i="10"/>
  <c r="AH50" i="10"/>
  <c r="AH51" i="10"/>
  <c r="AH52" i="10"/>
  <c r="AH53" i="10"/>
  <c r="AH54" i="10"/>
  <c r="AH55" i="10"/>
  <c r="AH56" i="10"/>
  <c r="AH57" i="10"/>
  <c r="AH58" i="10"/>
  <c r="AH59" i="10"/>
  <c r="AH60" i="10"/>
  <c r="AH61" i="10"/>
  <c r="AH62" i="10"/>
  <c r="AH63" i="10"/>
  <c r="AH64" i="10"/>
  <c r="AH65" i="10"/>
  <c r="AH66" i="10"/>
  <c r="AH67" i="10"/>
  <c r="AH68" i="10"/>
  <c r="AH69" i="10"/>
  <c r="AH70" i="10"/>
  <c r="AH71" i="10"/>
  <c r="AH72" i="10"/>
  <c r="AH5" i="10"/>
  <c r="AH6" i="10"/>
  <c r="AH7" i="10"/>
  <c r="AC5" i="10"/>
  <c r="AC6" i="10"/>
  <c r="AC7" i="10"/>
  <c r="AC8" i="10"/>
  <c r="AC9" i="10"/>
  <c r="AC10" i="10"/>
  <c r="AC11" i="10"/>
  <c r="AC12" i="10"/>
  <c r="AC13" i="10"/>
  <c r="AC14" i="10"/>
  <c r="AC15" i="10"/>
  <c r="AC16" i="10"/>
  <c r="AC17" i="10"/>
  <c r="AC18" i="10"/>
  <c r="AC19" i="10"/>
  <c r="AC20" i="10"/>
  <c r="AC21" i="10"/>
  <c r="AC22" i="10"/>
  <c r="AC23" i="10"/>
  <c r="AC24" i="10"/>
  <c r="AC25" i="10"/>
  <c r="AC26" i="10"/>
  <c r="AC27" i="10"/>
  <c r="AC28" i="10"/>
  <c r="AC29" i="10"/>
  <c r="AC30" i="10"/>
  <c r="AC31" i="10"/>
  <c r="AC32" i="10"/>
  <c r="AC33" i="10"/>
  <c r="AC34" i="10"/>
  <c r="AC35" i="10"/>
  <c r="AC36" i="10"/>
  <c r="AC37" i="10"/>
  <c r="AC38" i="10"/>
  <c r="AC39" i="10"/>
  <c r="AC40" i="10"/>
  <c r="AC41" i="10"/>
  <c r="AC42" i="10"/>
  <c r="AC43" i="10"/>
  <c r="AC44" i="10"/>
  <c r="AC45" i="10"/>
  <c r="AC46" i="10"/>
  <c r="AC47" i="10"/>
  <c r="AC48" i="10"/>
  <c r="AC49" i="10"/>
  <c r="AC50" i="10"/>
  <c r="AC51" i="10"/>
  <c r="AC52" i="10"/>
  <c r="AC53" i="10"/>
  <c r="AC54" i="10"/>
  <c r="AC55" i="10"/>
  <c r="AC56" i="10"/>
  <c r="AC57" i="10"/>
  <c r="AC58" i="10"/>
  <c r="AC59" i="10"/>
  <c r="AC60" i="10"/>
  <c r="AC61" i="10"/>
  <c r="AC62" i="10"/>
  <c r="AC63" i="10"/>
  <c r="AC64" i="10"/>
  <c r="AC65" i="10"/>
  <c r="AC66" i="10"/>
  <c r="AC67" i="10"/>
  <c r="AC68" i="10"/>
  <c r="T3" i="10"/>
  <c r="X5" i="10"/>
  <c r="X6" i="10"/>
  <c r="X7" i="10"/>
  <c r="X8" i="10"/>
  <c r="X9" i="10"/>
  <c r="X10" i="10"/>
  <c r="X11" i="10"/>
  <c r="X12" i="10"/>
  <c r="X13" i="10"/>
  <c r="X14" i="10"/>
  <c r="X15" i="10"/>
  <c r="X16" i="10"/>
  <c r="X17" i="10"/>
  <c r="X18" i="10"/>
  <c r="X19" i="10"/>
  <c r="X20" i="10"/>
  <c r="X21" i="10"/>
  <c r="X22" i="10"/>
  <c r="X23" i="10"/>
  <c r="X24" i="10"/>
  <c r="X25" i="10"/>
  <c r="X26" i="10"/>
  <c r="X27" i="10"/>
  <c r="X28" i="10"/>
  <c r="X29" i="10"/>
  <c r="X30" i="10"/>
  <c r="X31" i="10"/>
  <c r="X32" i="10"/>
  <c r="X33" i="10"/>
  <c r="X34" i="10"/>
  <c r="X35" i="10"/>
  <c r="X36" i="10"/>
  <c r="X37" i="10"/>
  <c r="X38" i="10"/>
  <c r="X39" i="10"/>
  <c r="X40" i="10"/>
  <c r="X41" i="10"/>
  <c r="X42" i="10"/>
  <c r="X43" i="10"/>
  <c r="X44" i="10"/>
  <c r="X45" i="10"/>
  <c r="X46" i="10"/>
  <c r="X47" i="10"/>
  <c r="X48" i="10"/>
  <c r="X49" i="10"/>
  <c r="X50" i="10"/>
  <c r="X51" i="10"/>
  <c r="X52" i="10"/>
  <c r="X53" i="10"/>
  <c r="X54" i="10"/>
  <c r="X55" i="10"/>
  <c r="X56" i="10"/>
  <c r="X57" i="10"/>
  <c r="X58" i="10"/>
  <c r="X59" i="10"/>
  <c r="X60" i="10"/>
  <c r="X61" i="10"/>
  <c r="X62" i="10"/>
  <c r="X63" i="10"/>
  <c r="X64" i="10"/>
  <c r="X65" i="10"/>
  <c r="X66" i="10"/>
  <c r="X67" i="10"/>
  <c r="X68" i="10"/>
  <c r="X69" i="10"/>
  <c r="X70" i="10"/>
  <c r="X71" i="10"/>
  <c r="X72" i="10"/>
  <c r="X73" i="10"/>
  <c r="X74" i="10"/>
  <c r="X75" i="10"/>
  <c r="S5" i="10"/>
  <c r="S6" i="10"/>
  <c r="S7" i="10"/>
  <c r="S8" i="10"/>
  <c r="S9" i="10"/>
  <c r="S10" i="10"/>
  <c r="S11" i="10"/>
  <c r="S12" i="10"/>
  <c r="S13" i="10"/>
  <c r="S14" i="10"/>
  <c r="S15" i="10"/>
  <c r="S16" i="10"/>
  <c r="S17" i="10"/>
  <c r="S18" i="10"/>
  <c r="S19" i="10"/>
  <c r="S20" i="10"/>
  <c r="S21" i="10"/>
  <c r="S22" i="10"/>
  <c r="S23" i="10"/>
  <c r="S24" i="10"/>
  <c r="S25" i="10"/>
  <c r="S27" i="10"/>
  <c r="S28" i="10"/>
  <c r="S29" i="10"/>
  <c r="S30" i="10"/>
  <c r="S31" i="10"/>
  <c r="S32" i="10"/>
  <c r="S33" i="10"/>
  <c r="S34" i="10"/>
  <c r="S35" i="10"/>
  <c r="S36" i="10"/>
  <c r="S37" i="10"/>
  <c r="S38" i="10"/>
  <c r="S39" i="10"/>
  <c r="S40" i="10"/>
  <c r="S41" i="10"/>
  <c r="S42" i="10"/>
  <c r="S43" i="10"/>
  <c r="S44" i="10"/>
  <c r="S45" i="10"/>
  <c r="S46" i="10"/>
  <c r="S47" i="10"/>
  <c r="S48" i="10"/>
  <c r="S49" i="10"/>
  <c r="S50" i="10"/>
  <c r="S51" i="10"/>
  <c r="S52" i="10"/>
  <c r="S53" i="10"/>
  <c r="S54" i="10"/>
  <c r="S55" i="10"/>
  <c r="S56" i="10"/>
  <c r="S57" i="10"/>
  <c r="S58" i="10"/>
  <c r="S59" i="10"/>
  <c r="S60" i="10"/>
  <c r="S61" i="10"/>
  <c r="S62" i="10"/>
  <c r="S63" i="10"/>
  <c r="S64" i="10"/>
  <c r="S65" i="10"/>
  <c r="S66" i="10"/>
  <c r="S67" i="10"/>
  <c r="S68" i="10"/>
  <c r="S69" i="10"/>
  <c r="S70" i="10"/>
  <c r="S71" i="10"/>
  <c r="S72" i="10"/>
  <c r="S73" i="10"/>
  <c r="N7" i="10"/>
  <c r="N8" i="10"/>
  <c r="N9" i="10"/>
  <c r="N10" i="10"/>
  <c r="N11" i="10"/>
  <c r="N12" i="10"/>
  <c r="N13" i="10"/>
  <c r="N14" i="10"/>
  <c r="N15" i="10"/>
  <c r="N16" i="10"/>
  <c r="N17" i="10"/>
  <c r="N18" i="10"/>
  <c r="N20" i="10"/>
  <c r="N21" i="10"/>
  <c r="N22" i="10"/>
  <c r="N23" i="10"/>
  <c r="N24" i="10"/>
  <c r="N25" i="10"/>
  <c r="N26" i="10"/>
  <c r="N27" i="10"/>
  <c r="N28" i="10"/>
  <c r="N29" i="10"/>
  <c r="N30" i="10"/>
  <c r="N31" i="10"/>
  <c r="N32" i="10"/>
  <c r="N33" i="10"/>
  <c r="N34" i="10"/>
  <c r="N35" i="10"/>
  <c r="N36" i="10"/>
  <c r="N37" i="10"/>
  <c r="N38" i="10"/>
  <c r="N39" i="10"/>
  <c r="N40" i="10"/>
  <c r="N41" i="10"/>
  <c r="N42" i="10"/>
  <c r="N43" i="10"/>
  <c r="N44" i="10"/>
  <c r="N45" i="10"/>
  <c r="N46" i="10"/>
  <c r="N47" i="10"/>
  <c r="N48" i="10"/>
  <c r="N49" i="10"/>
  <c r="N50" i="10"/>
  <c r="N51" i="10"/>
  <c r="N52" i="10"/>
  <c r="N53" i="10"/>
  <c r="N54" i="10"/>
  <c r="N55" i="10"/>
  <c r="N56" i="10"/>
  <c r="N57" i="10"/>
  <c r="N58" i="10"/>
  <c r="N59" i="10"/>
  <c r="N60" i="10"/>
  <c r="N61" i="10"/>
  <c r="N62" i="10"/>
  <c r="N63" i="10"/>
  <c r="N64" i="10"/>
  <c r="N65" i="10"/>
  <c r="N66" i="10"/>
  <c r="N67" i="10"/>
  <c r="N68" i="10"/>
  <c r="N69" i="10"/>
  <c r="N70" i="10"/>
  <c r="N71" i="10"/>
  <c r="N72" i="10"/>
  <c r="N5" i="10"/>
  <c r="N6" i="10"/>
  <c r="I5" i="10"/>
  <c r="I6" i="10"/>
  <c r="I7" i="10"/>
  <c r="I8" i="10"/>
  <c r="I9" i="10"/>
  <c r="I10" i="10"/>
  <c r="I11" i="10"/>
  <c r="I12" i="10"/>
  <c r="I13" i="10"/>
  <c r="I14" i="10"/>
  <c r="I15" i="10"/>
  <c r="I16" i="10"/>
  <c r="I17" i="10"/>
  <c r="I18" i="10"/>
  <c r="I20" i="10"/>
  <c r="I21" i="10"/>
  <c r="I22" i="10"/>
  <c r="I23" i="10"/>
  <c r="I24" i="10"/>
  <c r="I25" i="10"/>
  <c r="I26" i="10"/>
  <c r="I27" i="10"/>
  <c r="I28" i="10"/>
  <c r="I29" i="10"/>
  <c r="I30" i="10"/>
  <c r="I31" i="10"/>
  <c r="I32" i="10"/>
  <c r="I33" i="10"/>
  <c r="I34" i="10"/>
  <c r="I35" i="10"/>
  <c r="I36" i="10"/>
  <c r="I37" i="10"/>
  <c r="I38" i="10"/>
  <c r="I39" i="10"/>
  <c r="I40" i="10"/>
  <c r="I41" i="10"/>
  <c r="I42" i="10"/>
  <c r="I43" i="10"/>
  <c r="I44" i="10"/>
  <c r="I45" i="10"/>
  <c r="I46" i="10"/>
  <c r="I47" i="10"/>
  <c r="I48" i="10"/>
  <c r="I49" i="10"/>
  <c r="I50" i="10"/>
  <c r="I51" i="10"/>
  <c r="I52" i="10"/>
  <c r="I53" i="10"/>
  <c r="I54" i="10"/>
  <c r="I55" i="10"/>
  <c r="I56" i="10"/>
  <c r="I57" i="10"/>
  <c r="I58" i="10"/>
  <c r="I59" i="10"/>
  <c r="I60" i="10"/>
  <c r="I61" i="10"/>
  <c r="I62" i="10"/>
  <c r="I63" i="10"/>
  <c r="I64" i="10"/>
  <c r="I65" i="10"/>
  <c r="I66" i="10"/>
  <c r="I67" i="10"/>
  <c r="I68" i="10"/>
  <c r="I69" i="10"/>
  <c r="I70" i="10"/>
  <c r="I71" i="10"/>
  <c r="I72" i="10"/>
  <c r="I73" i="10"/>
  <c r="I74" i="10"/>
  <c r="I75" i="10"/>
  <c r="I76" i="10"/>
  <c r="I77" i="10"/>
  <c r="I78" i="10"/>
  <c r="I79" i="10"/>
  <c r="I80" i="10"/>
  <c r="I81" i="10"/>
  <c r="I82" i="10"/>
  <c r="I83" i="10"/>
  <c r="I84" i="10"/>
  <c r="I85" i="10"/>
  <c r="I86" i="10"/>
  <c r="I87" i="10"/>
  <c r="I88" i="10"/>
  <c r="I89" i="10"/>
  <c r="D11" i="10"/>
  <c r="D12" i="10"/>
  <c r="D13" i="10"/>
  <c r="D14" i="10"/>
  <c r="D15" i="10"/>
  <c r="D16" i="10"/>
  <c r="D18" i="10"/>
  <c r="D19" i="10"/>
  <c r="D20" i="10"/>
  <c r="D21" i="10"/>
  <c r="D22" i="10"/>
  <c r="D23" i="10"/>
  <c r="D24" i="10"/>
  <c r="D25" i="10"/>
  <c r="D26" i="10"/>
  <c r="D27" i="10"/>
  <c r="D28" i="10"/>
  <c r="D29" i="10"/>
  <c r="D30" i="10"/>
  <c r="D31" i="10"/>
  <c r="D32" i="10"/>
  <c r="D33" i="10"/>
  <c r="D34" i="10"/>
  <c r="D35" i="10"/>
  <c r="D36" i="10"/>
  <c r="D37" i="10"/>
  <c r="D38" i="10"/>
  <c r="D39" i="10"/>
  <c r="D40" i="10"/>
  <c r="D41" i="10"/>
  <c r="D42" i="10"/>
  <c r="D43" i="10"/>
  <c r="D44" i="10"/>
  <c r="D45" i="10"/>
  <c r="D46" i="10"/>
  <c r="D47" i="10"/>
  <c r="D48" i="10"/>
  <c r="D49" i="10"/>
  <c r="D50" i="10"/>
  <c r="D51" i="10"/>
  <c r="D52" i="10"/>
  <c r="D53" i="10"/>
  <c r="D54" i="10"/>
  <c r="D55" i="10"/>
  <c r="D56" i="10"/>
  <c r="D57" i="10"/>
  <c r="D58" i="10"/>
  <c r="D59" i="10"/>
  <c r="D60" i="10"/>
  <c r="D61" i="10"/>
  <c r="D62" i="10"/>
  <c r="D63" i="10"/>
  <c r="D64" i="10"/>
  <c r="D65" i="10"/>
  <c r="D66" i="10"/>
  <c r="D67" i="10"/>
  <c r="D68" i="10"/>
  <c r="D69" i="10"/>
  <c r="D70" i="10"/>
  <c r="D71" i="10"/>
  <c r="D72" i="10"/>
  <c r="D73" i="10"/>
  <c r="D74" i="10"/>
  <c r="D75" i="10"/>
  <c r="D76" i="10"/>
  <c r="D77" i="10"/>
  <c r="D78" i="10"/>
  <c r="D79" i="10"/>
  <c r="D80" i="10"/>
  <c r="D81" i="10"/>
  <c r="D82" i="10"/>
  <c r="D83" i="10"/>
  <c r="D8" i="10"/>
  <c r="D9" i="10"/>
  <c r="D10" i="10"/>
  <c r="D6" i="10"/>
  <c r="D7" i="10"/>
  <c r="D5" i="10"/>
  <c r="S74" i="10"/>
  <c r="BL5" i="10"/>
  <c r="BL6" i="10"/>
  <c r="AH8" i="10"/>
  <c r="BL4" i="10"/>
  <c r="AR4" i="10"/>
  <c r="N5" i="9"/>
  <c r="N6" i="9"/>
  <c r="N7" i="9"/>
  <c r="N8" i="9"/>
  <c r="N9" i="9"/>
  <c r="N10" i="9"/>
  <c r="N11" i="9"/>
  <c r="N12" i="9"/>
  <c r="N13" i="9"/>
  <c r="N14" i="9"/>
  <c r="N15" i="9"/>
  <c r="N16" i="9"/>
  <c r="N17" i="9"/>
  <c r="N18" i="9"/>
  <c r="N19" i="9"/>
  <c r="N20" i="9"/>
  <c r="N21" i="9"/>
  <c r="N22" i="9"/>
  <c r="N23" i="9"/>
  <c r="N24" i="9"/>
  <c r="N25" i="9"/>
  <c r="N26" i="9"/>
  <c r="N27" i="9"/>
  <c r="N28" i="9"/>
  <c r="N29" i="9"/>
  <c r="N30" i="9"/>
  <c r="N31" i="9"/>
  <c r="N32" i="9"/>
  <c r="N33" i="9"/>
  <c r="N34" i="9"/>
  <c r="N35" i="9"/>
  <c r="N36" i="9"/>
  <c r="N37" i="9"/>
  <c r="N38" i="9"/>
  <c r="N39" i="9"/>
  <c r="N40" i="9"/>
  <c r="N41" i="9"/>
  <c r="N42" i="9"/>
  <c r="N43" i="9"/>
  <c r="N44" i="9"/>
  <c r="N45" i="9"/>
  <c r="N46" i="9"/>
  <c r="N47" i="9"/>
  <c r="N48" i="9"/>
  <c r="N49" i="9"/>
  <c r="N50" i="9"/>
  <c r="N51" i="9"/>
  <c r="N52" i="9"/>
  <c r="N53" i="9"/>
  <c r="N54" i="9"/>
  <c r="N55" i="9"/>
  <c r="N56" i="9"/>
  <c r="N57" i="9"/>
  <c r="N58" i="9"/>
  <c r="N59" i="9"/>
  <c r="N60" i="9"/>
  <c r="N61" i="9"/>
  <c r="N62" i="9"/>
  <c r="N63" i="9"/>
  <c r="N64" i="9"/>
  <c r="N65" i="9"/>
  <c r="N66" i="9"/>
  <c r="N67" i="9"/>
  <c r="N68" i="9"/>
  <c r="N69" i="9"/>
  <c r="N70" i="9"/>
  <c r="N71" i="9"/>
  <c r="N72" i="9"/>
  <c r="N73" i="9"/>
  <c r="N74" i="9"/>
  <c r="N75" i="9"/>
  <c r="N76" i="9"/>
  <c r="N77" i="9"/>
  <c r="N78" i="9"/>
  <c r="N79" i="9"/>
  <c r="N80" i="9"/>
  <c r="N81" i="9"/>
  <c r="N82" i="9"/>
  <c r="N83" i="9"/>
  <c r="N84" i="9"/>
  <c r="N85" i="9"/>
  <c r="N86" i="9"/>
  <c r="N87" i="9"/>
  <c r="N88" i="9"/>
  <c r="N89" i="9"/>
  <c r="N90" i="9"/>
  <c r="N91" i="9"/>
  <c r="N92" i="9"/>
  <c r="N93" i="9"/>
  <c r="N94" i="9"/>
  <c r="N95" i="9"/>
  <c r="N96" i="9"/>
  <c r="N97" i="9"/>
  <c r="N98" i="9"/>
  <c r="N99" i="9"/>
  <c r="N100" i="9"/>
  <c r="N101" i="9"/>
  <c r="N102" i="9"/>
  <c r="N103" i="9"/>
  <c r="N104" i="9"/>
  <c r="N105" i="9"/>
  <c r="N106" i="9"/>
  <c r="N107" i="9"/>
  <c r="N108" i="9"/>
  <c r="N109" i="9"/>
  <c r="N110" i="9"/>
  <c r="N111" i="9"/>
  <c r="N112" i="9"/>
  <c r="N113" i="9"/>
  <c r="N114" i="9"/>
  <c r="N115" i="9"/>
  <c r="N116" i="9"/>
  <c r="N117" i="9"/>
  <c r="N4" i="9"/>
  <c r="N3" i="9"/>
  <c r="I5" i="9"/>
  <c r="I6" i="9"/>
  <c r="I7" i="9"/>
  <c r="I8" i="9"/>
  <c r="I9" i="9"/>
  <c r="I10" i="9"/>
  <c r="I11" i="9"/>
  <c r="I12" i="9"/>
  <c r="I13" i="9"/>
  <c r="I14" i="9"/>
  <c r="I15" i="9"/>
  <c r="I16" i="9"/>
  <c r="I17" i="9"/>
  <c r="I18" i="9"/>
  <c r="I19" i="9"/>
  <c r="I20" i="9"/>
  <c r="I21" i="9"/>
  <c r="I22" i="9"/>
  <c r="I23" i="9"/>
  <c r="I24" i="9"/>
  <c r="I25" i="9"/>
  <c r="I26" i="9"/>
  <c r="I27" i="9"/>
  <c r="I28" i="9"/>
  <c r="I29" i="9"/>
  <c r="I30" i="9"/>
  <c r="I31" i="9"/>
  <c r="I32" i="9"/>
  <c r="I33" i="9"/>
  <c r="I34" i="9"/>
  <c r="I35" i="9"/>
  <c r="I36" i="9"/>
  <c r="I37" i="9"/>
  <c r="I38" i="9"/>
  <c r="I39" i="9"/>
  <c r="I40" i="9"/>
  <c r="I41" i="9"/>
  <c r="I42" i="9"/>
  <c r="I43" i="9"/>
  <c r="I44" i="9"/>
  <c r="I45" i="9"/>
  <c r="I46" i="9"/>
  <c r="I47" i="9"/>
  <c r="I48" i="9"/>
  <c r="I49" i="9"/>
  <c r="I50" i="9"/>
  <c r="I51" i="9"/>
  <c r="I52" i="9"/>
  <c r="I53" i="9"/>
  <c r="I54" i="9"/>
  <c r="I55" i="9"/>
  <c r="I56" i="9"/>
  <c r="I57" i="9"/>
  <c r="I58" i="9"/>
  <c r="I59" i="9"/>
  <c r="I60" i="9"/>
  <c r="I61" i="9"/>
  <c r="I62" i="9"/>
  <c r="I63" i="9"/>
  <c r="I64" i="9"/>
  <c r="I65" i="9"/>
  <c r="I66" i="9"/>
  <c r="I67" i="9"/>
  <c r="I68" i="9"/>
  <c r="I69" i="9"/>
  <c r="I70" i="9"/>
  <c r="I71" i="9"/>
  <c r="I72" i="9"/>
  <c r="I73" i="9"/>
  <c r="I74" i="9"/>
  <c r="I75" i="9"/>
  <c r="I76" i="9"/>
  <c r="I77" i="9"/>
  <c r="I78" i="9"/>
  <c r="I79" i="9"/>
  <c r="I80" i="9"/>
  <c r="I81" i="9"/>
  <c r="I82" i="9"/>
  <c r="I83" i="9"/>
  <c r="I84" i="9"/>
  <c r="I85" i="9"/>
  <c r="I86" i="9"/>
  <c r="I87" i="9"/>
  <c r="I88" i="9"/>
  <c r="I89" i="9"/>
  <c r="I90" i="9"/>
  <c r="I91" i="9"/>
  <c r="I92" i="9"/>
  <c r="I93" i="9"/>
  <c r="I94" i="9"/>
  <c r="I95" i="9"/>
  <c r="I96" i="9"/>
  <c r="I97" i="9"/>
  <c r="I98" i="9"/>
  <c r="I99" i="9"/>
  <c r="I100" i="9"/>
  <c r="I101" i="9"/>
  <c r="I102" i="9"/>
  <c r="I103" i="9"/>
  <c r="I104" i="9"/>
  <c r="I105" i="9"/>
  <c r="I106" i="9"/>
  <c r="I107" i="9"/>
  <c r="I108" i="9"/>
  <c r="I109" i="9"/>
  <c r="I110" i="9"/>
  <c r="I111" i="9"/>
  <c r="I112" i="9"/>
  <c r="I113" i="9"/>
  <c r="I114" i="9"/>
  <c r="I115" i="9"/>
  <c r="I116" i="9"/>
  <c r="I117" i="9"/>
  <c r="I4" i="9"/>
  <c r="I3" i="9"/>
  <c r="D3" i="9"/>
  <c r="D5" i="9"/>
  <c r="D6" i="9"/>
  <c r="D7" i="9"/>
  <c r="D8" i="9"/>
  <c r="D9" i="9"/>
  <c r="D10" i="9"/>
  <c r="D11" i="9"/>
  <c r="D12" i="9"/>
  <c r="D13" i="9"/>
  <c r="D14" i="9"/>
  <c r="D15" i="9"/>
  <c r="D16" i="9"/>
  <c r="D17" i="9"/>
  <c r="D18" i="9"/>
  <c r="D19" i="9"/>
  <c r="D20" i="9"/>
  <c r="D21" i="9"/>
  <c r="D22" i="9"/>
  <c r="D23" i="9"/>
  <c r="D24" i="9"/>
  <c r="D25" i="9"/>
  <c r="D26" i="9"/>
  <c r="D27" i="9"/>
  <c r="D28" i="9"/>
  <c r="D29" i="9"/>
  <c r="D30" i="9"/>
  <c r="D31" i="9"/>
  <c r="D32" i="9"/>
  <c r="D33" i="9"/>
  <c r="D34" i="9"/>
  <c r="D35" i="9"/>
  <c r="D36" i="9"/>
  <c r="D37" i="9"/>
  <c r="D38" i="9"/>
  <c r="D39" i="9"/>
  <c r="D40" i="9"/>
  <c r="D41" i="9"/>
  <c r="D42" i="9"/>
  <c r="D43" i="9"/>
  <c r="D44" i="9"/>
  <c r="D45" i="9"/>
  <c r="D46" i="9"/>
  <c r="D47" i="9"/>
  <c r="D48" i="9"/>
  <c r="D49" i="9"/>
  <c r="D50" i="9"/>
  <c r="D51" i="9"/>
  <c r="D52" i="9"/>
  <c r="D53" i="9"/>
  <c r="D54" i="9"/>
  <c r="D55" i="9"/>
  <c r="D56" i="9"/>
  <c r="D57" i="9"/>
  <c r="D58" i="9"/>
  <c r="D59" i="9"/>
  <c r="D60" i="9"/>
  <c r="D61" i="9"/>
  <c r="D62" i="9"/>
  <c r="D63" i="9"/>
  <c r="D64" i="9"/>
  <c r="D65" i="9"/>
  <c r="D66" i="9"/>
  <c r="D67" i="9"/>
  <c r="D68" i="9"/>
  <c r="D69" i="9"/>
  <c r="D70" i="9"/>
  <c r="D71" i="9"/>
  <c r="D72" i="9"/>
  <c r="D73" i="9"/>
  <c r="D74" i="9"/>
  <c r="D75" i="9"/>
  <c r="D76" i="9"/>
  <c r="D77" i="9"/>
  <c r="D78" i="9"/>
  <c r="D79" i="9"/>
  <c r="D80" i="9"/>
  <c r="D81" i="9"/>
  <c r="D82" i="9"/>
  <c r="D83" i="9"/>
  <c r="D84" i="9"/>
  <c r="D85" i="9"/>
  <c r="D86" i="9"/>
  <c r="D87" i="9"/>
  <c r="D88" i="9"/>
  <c r="D89" i="9"/>
  <c r="D90" i="9"/>
  <c r="D91" i="9"/>
  <c r="D92" i="9"/>
  <c r="D93" i="9"/>
  <c r="D94" i="9"/>
  <c r="D95" i="9"/>
  <c r="D96" i="9"/>
  <c r="D97" i="9"/>
  <c r="D98" i="9"/>
  <c r="D99" i="9"/>
  <c r="D100" i="9"/>
  <c r="D101" i="9"/>
  <c r="D102" i="9"/>
  <c r="D103" i="9"/>
  <c r="D104" i="9"/>
  <c r="D105" i="9"/>
  <c r="D106" i="9"/>
  <c r="D107" i="9"/>
  <c r="D108" i="9"/>
  <c r="D109" i="9"/>
  <c r="D110" i="9"/>
  <c r="D111" i="9"/>
  <c r="D112" i="9"/>
  <c r="D113" i="9"/>
  <c r="D114" i="9"/>
  <c r="D115" i="9"/>
  <c r="D116" i="9"/>
  <c r="D117" i="9"/>
  <c r="D4" i="9"/>
  <c r="BL3" i="9"/>
  <c r="AC3" i="9"/>
  <c r="BB4" i="10" l="1"/>
  <c r="BC3" i="10"/>
  <c r="BB3" i="10" s="1"/>
  <c r="AM4" i="10"/>
  <c r="N4" i="10"/>
  <c r="AH4" i="10"/>
  <c r="AW4" i="10"/>
  <c r="AX3" i="10"/>
  <c r="AW3" i="10" s="1"/>
  <c r="AC4" i="10"/>
  <c r="W3" i="10"/>
  <c r="X3" i="10" s="1"/>
  <c r="S4" i="10"/>
  <c r="O3" i="10"/>
  <c r="N3" i="10" s="1"/>
  <c r="D4" i="10"/>
  <c r="I4" i="10"/>
  <c r="AH3" i="10"/>
  <c r="J3" i="10"/>
  <c r="I3" i="10" s="1"/>
  <c r="AM3" i="10"/>
  <c r="BG3" i="10"/>
  <c r="BN4" i="10"/>
  <c r="AR3" i="10"/>
  <c r="BN88" i="10"/>
  <c r="BN36" i="10"/>
  <c r="BN66" i="10"/>
  <c r="BN16" i="10"/>
  <c r="BN17" i="10"/>
  <c r="BN25" i="10"/>
  <c r="BN96" i="10"/>
  <c r="BN7" i="10"/>
  <c r="BN27" i="10"/>
  <c r="BN54" i="10"/>
  <c r="BN35" i="10"/>
  <c r="BN8" i="10"/>
  <c r="BN70" i="10"/>
  <c r="BN44" i="10"/>
  <c r="BN13" i="10"/>
  <c r="BN32" i="10"/>
  <c r="BN46" i="10"/>
  <c r="BN56" i="10"/>
  <c r="BN72" i="10"/>
  <c r="BN84" i="10"/>
  <c r="BN9" i="10"/>
  <c r="BN23" i="10"/>
  <c r="BN28" i="10"/>
  <c r="BN42" i="10"/>
  <c r="BN62" i="10"/>
  <c r="BN5" i="10"/>
  <c r="BN19" i="10"/>
  <c r="BN38" i="10"/>
  <c r="BN52" i="10"/>
  <c r="BN68" i="10"/>
  <c r="BN92" i="10"/>
  <c r="BN98" i="10"/>
  <c r="BN15" i="10"/>
  <c r="BN24" i="10"/>
  <c r="BN34" i="10"/>
  <c r="BN43" i="10"/>
  <c r="BN48" i="10"/>
  <c r="BN58" i="10"/>
  <c r="BN74" i="10"/>
  <c r="BN80" i="10"/>
  <c r="BN11" i="10"/>
  <c r="BN20" i="10"/>
  <c r="BN30" i="10"/>
  <c r="BN39" i="10"/>
  <c r="BN64" i="10"/>
  <c r="BL3" i="10"/>
  <c r="BN12" i="10"/>
  <c r="BN31" i="10"/>
  <c r="BN40" i="10"/>
  <c r="BN50" i="10"/>
  <c r="BN60" i="10"/>
  <c r="BN76" i="10"/>
  <c r="BN29" i="10"/>
  <c r="BN33" i="10"/>
  <c r="BN37" i="10"/>
  <c r="BN41" i="10"/>
  <c r="BN45" i="10"/>
  <c r="BN53" i="10"/>
  <c r="BN57" i="10"/>
  <c r="BN61" i="10"/>
  <c r="BN65" i="10"/>
  <c r="BN69" i="10"/>
  <c r="BN73" i="10"/>
  <c r="BN77" i="10"/>
  <c r="BN81" i="10"/>
  <c r="BN85" i="10"/>
  <c r="BN89" i="10"/>
  <c r="BN93" i="10"/>
  <c r="BN78" i="10"/>
  <c r="BN82" i="10"/>
  <c r="BN86" i="10"/>
  <c r="BN90" i="10"/>
  <c r="BN94" i="10"/>
  <c r="BN6" i="10"/>
  <c r="BN10" i="10"/>
  <c r="BN14" i="10"/>
  <c r="BN18" i="10"/>
  <c r="BN22" i="10"/>
  <c r="BN26" i="10"/>
  <c r="BN51" i="10"/>
  <c r="BN99" i="10"/>
  <c r="BN47" i="10"/>
  <c r="BN55" i="10"/>
  <c r="BN59" i="10"/>
  <c r="BN63" i="10"/>
  <c r="BN67" i="10"/>
  <c r="BN71" i="10"/>
  <c r="BN75" i="10"/>
  <c r="BN79" i="10"/>
  <c r="BN83" i="10"/>
  <c r="BN87" i="10"/>
  <c r="BN91" i="10"/>
  <c r="BN95" i="10"/>
  <c r="BN49" i="10"/>
  <c r="AC3" i="10"/>
  <c r="S3" i="10"/>
  <c r="D3" i="10"/>
  <c r="BL104" i="9"/>
  <c r="BL103" i="9"/>
  <c r="BL102" i="9"/>
  <c r="BL101" i="9"/>
  <c r="BL100" i="9"/>
  <c r="BL99" i="9"/>
  <c r="BL98" i="9"/>
  <c r="BL97" i="9"/>
  <c r="BL96" i="9"/>
  <c r="BL95" i="9"/>
  <c r="BL94" i="9"/>
  <c r="BL93" i="9"/>
  <c r="BL92" i="9"/>
  <c r="BL91" i="9"/>
  <c r="BL90" i="9"/>
  <c r="BL89" i="9"/>
  <c r="BL88" i="9"/>
  <c r="BL87" i="9"/>
  <c r="BL86" i="9"/>
  <c r="BL85" i="9"/>
  <c r="BL84" i="9"/>
  <c r="BL83" i="9"/>
  <c r="BL82" i="9"/>
  <c r="BL81" i="9"/>
  <c r="BL80" i="9"/>
  <c r="BL79" i="9"/>
  <c r="BL78" i="9"/>
  <c r="BL77" i="9"/>
  <c r="BL76" i="9"/>
  <c r="BL75" i="9"/>
  <c r="BL74" i="9"/>
  <c r="BL73" i="9"/>
  <c r="BL72" i="9"/>
  <c r="BL71" i="9"/>
  <c r="BL70" i="9"/>
  <c r="BL69" i="9"/>
  <c r="BL68" i="9"/>
  <c r="BL67" i="9"/>
  <c r="BL66" i="9"/>
  <c r="BL65" i="9"/>
  <c r="BL64" i="9"/>
  <c r="BL63" i="9"/>
  <c r="BL62" i="9"/>
  <c r="BL61" i="9"/>
  <c r="BL60" i="9"/>
  <c r="BL59" i="9"/>
  <c r="BL58" i="9"/>
  <c r="BL57" i="9"/>
  <c r="BL56" i="9"/>
  <c r="BL55" i="9"/>
  <c r="BL54" i="9"/>
  <c r="BL53" i="9"/>
  <c r="BL52" i="9"/>
  <c r="BL51" i="9"/>
  <c r="BL50" i="9"/>
  <c r="BL49" i="9"/>
  <c r="BL48" i="9"/>
  <c r="BL47" i="9"/>
  <c r="BL46" i="9"/>
  <c r="BL45" i="9"/>
  <c r="BL44" i="9"/>
  <c r="BL43" i="9"/>
  <c r="BL42" i="9"/>
  <c r="BL41" i="9"/>
  <c r="BL40" i="9"/>
  <c r="BL39" i="9"/>
  <c r="BL38" i="9"/>
  <c r="BL37" i="9"/>
  <c r="BL36" i="9"/>
  <c r="BL35" i="9"/>
  <c r="BL34" i="9"/>
  <c r="BL33" i="9"/>
  <c r="BL32" i="9"/>
  <c r="BL31" i="9"/>
  <c r="BL30" i="9"/>
  <c r="BL29" i="9"/>
  <c r="BL28" i="9"/>
  <c r="BL27" i="9"/>
  <c r="BL26" i="9"/>
  <c r="BL25" i="9"/>
  <c r="BL24" i="9"/>
  <c r="BL23" i="9"/>
  <c r="BL22" i="9"/>
  <c r="BL21" i="9"/>
  <c r="BL20" i="9"/>
  <c r="BL19" i="9"/>
  <c r="BL18" i="9"/>
  <c r="BL17" i="9"/>
  <c r="BL16" i="9"/>
  <c r="BL15" i="9"/>
  <c r="BL14" i="9"/>
  <c r="BL13" i="9"/>
  <c r="BL12" i="9"/>
  <c r="BL11" i="9"/>
  <c r="BL10" i="9"/>
  <c r="BL9" i="9"/>
  <c r="BL8" i="9"/>
  <c r="BL7" i="9"/>
  <c r="BL6" i="9"/>
  <c r="BL5" i="9"/>
  <c r="BL4" i="9"/>
  <c r="X3" i="9"/>
  <c r="R3" i="9"/>
  <c r="T3" i="9"/>
  <c r="S3" i="9" s="1"/>
  <c r="S4" i="9"/>
  <c r="S5" i="9"/>
  <c r="S6" i="9"/>
  <c r="S7" i="9"/>
  <c r="S8" i="9"/>
  <c r="S9" i="9"/>
  <c r="S10" i="9"/>
  <c r="S11" i="9"/>
  <c r="S12" i="9"/>
  <c r="S13" i="9"/>
  <c r="S14" i="9"/>
  <c r="S15" i="9"/>
  <c r="S16" i="9"/>
  <c r="S17" i="9"/>
  <c r="S18" i="9"/>
  <c r="S19" i="9"/>
  <c r="S20" i="9"/>
  <c r="S21" i="9"/>
  <c r="S22" i="9"/>
  <c r="S23" i="9"/>
  <c r="S24" i="9"/>
  <c r="S25" i="9"/>
  <c r="S26" i="9"/>
  <c r="S27" i="9"/>
  <c r="S28" i="9"/>
  <c r="S29" i="9"/>
  <c r="S30" i="9"/>
  <c r="S31" i="9"/>
  <c r="S32" i="9"/>
  <c r="S33" i="9"/>
  <c r="S34" i="9"/>
  <c r="S35" i="9"/>
  <c r="S36" i="9"/>
  <c r="S37" i="9"/>
  <c r="S38" i="9"/>
  <c r="S39" i="9"/>
  <c r="S40" i="9"/>
  <c r="S41" i="9"/>
  <c r="S42" i="9"/>
  <c r="S43" i="9"/>
  <c r="S44" i="9"/>
  <c r="S45" i="9"/>
  <c r="S46" i="9"/>
  <c r="S47" i="9"/>
  <c r="S48" i="9"/>
  <c r="S49" i="9"/>
  <c r="S50" i="9"/>
  <c r="S51" i="9"/>
  <c r="S52" i="9"/>
  <c r="S53" i="9"/>
  <c r="S54" i="9"/>
  <c r="S55" i="9"/>
  <c r="S56" i="9"/>
  <c r="S57" i="9"/>
  <c r="S58" i="9"/>
  <c r="S59" i="9"/>
  <c r="S60" i="9"/>
  <c r="S61" i="9"/>
  <c r="S62" i="9"/>
  <c r="S63" i="9"/>
  <c r="S64" i="9"/>
  <c r="S65" i="9"/>
  <c r="BL117" i="9" l="1"/>
  <c r="BL116" i="9"/>
  <c r="BL115" i="9"/>
  <c r="BL114" i="9"/>
  <c r="BL113" i="9"/>
  <c r="BL112" i="9"/>
  <c r="BL111" i="9"/>
  <c r="BL110" i="9"/>
  <c r="BL109" i="9"/>
  <c r="BL108" i="9"/>
  <c r="BL107" i="9"/>
  <c r="BL106" i="9"/>
  <c r="BL105" i="9"/>
  <c r="BB73" i="9"/>
  <c r="BB72" i="9"/>
  <c r="BG71" i="9"/>
  <c r="BB71" i="9"/>
  <c r="BG70" i="9"/>
  <c r="BB70" i="9"/>
  <c r="BG69" i="9"/>
  <c r="BB69" i="9"/>
  <c r="BG68" i="9"/>
  <c r="BB68" i="9"/>
  <c r="BG67" i="9"/>
  <c r="BB67" i="9"/>
  <c r="BG66" i="9"/>
  <c r="BB66" i="9"/>
  <c r="BG65" i="9"/>
  <c r="BB65" i="9"/>
  <c r="BG64" i="9"/>
  <c r="BB64" i="9"/>
  <c r="AH64" i="9"/>
  <c r="BG63" i="9"/>
  <c r="BB63" i="9"/>
  <c r="AW63" i="9"/>
  <c r="AH63" i="9"/>
  <c r="BG62" i="9"/>
  <c r="BB62" i="9"/>
  <c r="AW62" i="9"/>
  <c r="AM62" i="9"/>
  <c r="AH62" i="9"/>
  <c r="AC62" i="9"/>
  <c r="BG61" i="9"/>
  <c r="BB61" i="9"/>
  <c r="AW61" i="9"/>
  <c r="AM61" i="9"/>
  <c r="AH61" i="9"/>
  <c r="AC61" i="9"/>
  <c r="BG60" i="9"/>
  <c r="BB60" i="9"/>
  <c r="AW60" i="9"/>
  <c r="AM60" i="9"/>
  <c r="AH60" i="9"/>
  <c r="AC60" i="9"/>
  <c r="BG59" i="9"/>
  <c r="BB59" i="9"/>
  <c r="AW59" i="9"/>
  <c r="AM59" i="9"/>
  <c r="AH59" i="9"/>
  <c r="AC59" i="9"/>
  <c r="BG58" i="9"/>
  <c r="BB58" i="9"/>
  <c r="AW58" i="9"/>
  <c r="AR58" i="9"/>
  <c r="AM58" i="9"/>
  <c r="AH58" i="9"/>
  <c r="AC58" i="9"/>
  <c r="X58" i="9"/>
  <c r="BG57" i="9"/>
  <c r="BB57" i="9"/>
  <c r="AW57" i="9"/>
  <c r="AR57" i="9"/>
  <c r="AM57" i="9"/>
  <c r="AH57" i="9"/>
  <c r="AC57" i="9"/>
  <c r="X57" i="9"/>
  <c r="BG56" i="9"/>
  <c r="BB56" i="9"/>
  <c r="AW56" i="9"/>
  <c r="AR56" i="9"/>
  <c r="AM56" i="9"/>
  <c r="AH56" i="9"/>
  <c r="AC56" i="9"/>
  <c r="X56" i="9"/>
  <c r="BG55" i="9"/>
  <c r="BB55" i="9"/>
  <c r="AW55" i="9"/>
  <c r="AR55" i="9"/>
  <c r="AM55" i="9"/>
  <c r="AH55" i="9"/>
  <c r="AC55" i="9"/>
  <c r="X55" i="9"/>
  <c r="BG54" i="9"/>
  <c r="BB54" i="9"/>
  <c r="AW54" i="9"/>
  <c r="AR54" i="9"/>
  <c r="AM54" i="9"/>
  <c r="AH54" i="9"/>
  <c r="AC54" i="9"/>
  <c r="X54" i="9"/>
  <c r="BG53" i="9"/>
  <c r="BB53" i="9"/>
  <c r="AW53" i="9"/>
  <c r="AR53" i="9"/>
  <c r="AM53" i="9"/>
  <c r="AH53" i="9"/>
  <c r="AC53" i="9"/>
  <c r="X53" i="9"/>
  <c r="BG52" i="9"/>
  <c r="BB52" i="9"/>
  <c r="AW52" i="9"/>
  <c r="AR52" i="9"/>
  <c r="AM52" i="9"/>
  <c r="AH52" i="9"/>
  <c r="AC52" i="9"/>
  <c r="X52" i="9"/>
  <c r="BG51" i="9"/>
  <c r="BB51" i="9"/>
  <c r="AW51" i="9"/>
  <c r="AR51" i="9"/>
  <c r="AM51" i="9"/>
  <c r="AH51" i="9"/>
  <c r="AC51" i="9"/>
  <c r="X51" i="9"/>
  <c r="BG50" i="9"/>
  <c r="BB50" i="9"/>
  <c r="AW50" i="9"/>
  <c r="AR50" i="9"/>
  <c r="AM50" i="9"/>
  <c r="AH50" i="9"/>
  <c r="AC50" i="9"/>
  <c r="X50" i="9"/>
  <c r="BG49" i="9"/>
  <c r="BB49" i="9"/>
  <c r="AW49" i="9"/>
  <c r="AR49" i="9"/>
  <c r="AM49" i="9"/>
  <c r="AH49" i="9"/>
  <c r="AC49" i="9"/>
  <c r="X49" i="9"/>
  <c r="BG48" i="9"/>
  <c r="BB48" i="9"/>
  <c r="AW48" i="9"/>
  <c r="AR48" i="9"/>
  <c r="AM48" i="9"/>
  <c r="AH48" i="9"/>
  <c r="AC48" i="9"/>
  <c r="X48" i="9"/>
  <c r="BG47" i="9"/>
  <c r="BB47" i="9"/>
  <c r="AW47" i="9"/>
  <c r="AR47" i="9"/>
  <c r="AM47" i="9"/>
  <c r="AH47" i="9"/>
  <c r="AC47" i="9"/>
  <c r="X47" i="9"/>
  <c r="BG46" i="9"/>
  <c r="BB46" i="9"/>
  <c r="AW46" i="9"/>
  <c r="AR46" i="9"/>
  <c r="AM46" i="9"/>
  <c r="AH46" i="9"/>
  <c r="AC46" i="9"/>
  <c r="X46" i="9"/>
  <c r="BG45" i="9"/>
  <c r="BB45" i="9"/>
  <c r="AW45" i="9"/>
  <c r="AR45" i="9"/>
  <c r="AM45" i="9"/>
  <c r="AH45" i="9"/>
  <c r="AC45" i="9"/>
  <c r="X45" i="9"/>
  <c r="BG44" i="9"/>
  <c r="BB44" i="9"/>
  <c r="AW44" i="9"/>
  <c r="AR44" i="9"/>
  <c r="AM44" i="9"/>
  <c r="AH44" i="9"/>
  <c r="AC44" i="9"/>
  <c r="X44" i="9"/>
  <c r="BG43" i="9"/>
  <c r="BB43" i="9"/>
  <c r="AW43" i="9"/>
  <c r="AR43" i="9"/>
  <c r="AM43" i="9"/>
  <c r="AH43" i="9"/>
  <c r="AC43" i="9"/>
  <c r="X43" i="9"/>
  <c r="BG42" i="9"/>
  <c r="BB42" i="9"/>
  <c r="AW42" i="9"/>
  <c r="AR42" i="9"/>
  <c r="AM42" i="9"/>
  <c r="AH42" i="9"/>
  <c r="AC42" i="9"/>
  <c r="X42" i="9"/>
  <c r="BG41" i="9"/>
  <c r="BB41" i="9"/>
  <c r="AW41" i="9"/>
  <c r="AR41" i="9"/>
  <c r="AM41" i="9"/>
  <c r="AH41" i="9"/>
  <c r="AC41" i="9"/>
  <c r="X41" i="9"/>
  <c r="BG40" i="9"/>
  <c r="BB40" i="9"/>
  <c r="AW40" i="9"/>
  <c r="AR40" i="9"/>
  <c r="AM40" i="9"/>
  <c r="AH40" i="9"/>
  <c r="AC40" i="9"/>
  <c r="X40" i="9"/>
  <c r="BG39" i="9"/>
  <c r="BB39" i="9"/>
  <c r="AW39" i="9"/>
  <c r="AR39" i="9"/>
  <c r="AM39" i="9"/>
  <c r="AH39" i="9"/>
  <c r="AC39" i="9"/>
  <c r="X39" i="9"/>
  <c r="BG38" i="9"/>
  <c r="BB38" i="9"/>
  <c r="AW38" i="9"/>
  <c r="AR38" i="9"/>
  <c r="AM38" i="9"/>
  <c r="AH38" i="9"/>
  <c r="AC38" i="9"/>
  <c r="X38" i="9"/>
  <c r="BG37" i="9"/>
  <c r="BB37" i="9"/>
  <c r="AW37" i="9"/>
  <c r="AR37" i="9"/>
  <c r="AM37" i="9"/>
  <c r="AH37" i="9"/>
  <c r="AC37" i="9"/>
  <c r="X37" i="9"/>
  <c r="BG36" i="9"/>
  <c r="BB36" i="9"/>
  <c r="AW36" i="9"/>
  <c r="AR36" i="9"/>
  <c r="AM36" i="9"/>
  <c r="AH36" i="9"/>
  <c r="AC36" i="9"/>
  <c r="X36" i="9"/>
  <c r="BG35" i="9"/>
  <c r="BB35" i="9"/>
  <c r="AW35" i="9"/>
  <c r="AR35" i="9"/>
  <c r="AM35" i="9"/>
  <c r="AH35" i="9"/>
  <c r="AC35" i="9"/>
  <c r="X35" i="9"/>
  <c r="BG34" i="9"/>
  <c r="BB34" i="9"/>
  <c r="AW34" i="9"/>
  <c r="AR34" i="9"/>
  <c r="AM34" i="9"/>
  <c r="AH34" i="9"/>
  <c r="AC34" i="9"/>
  <c r="X34" i="9"/>
  <c r="BG33" i="9"/>
  <c r="BB33" i="9"/>
  <c r="AW33" i="9"/>
  <c r="AR33" i="9"/>
  <c r="AM33" i="9"/>
  <c r="AH33" i="9"/>
  <c r="AC33" i="9"/>
  <c r="X33" i="9"/>
  <c r="BG32" i="9"/>
  <c r="BB32" i="9"/>
  <c r="AW32" i="9"/>
  <c r="AR32" i="9"/>
  <c r="AM32" i="9"/>
  <c r="AH32" i="9"/>
  <c r="AC32" i="9"/>
  <c r="X32" i="9"/>
  <c r="BG31" i="9"/>
  <c r="BB31" i="9"/>
  <c r="AW31" i="9"/>
  <c r="AR31" i="9"/>
  <c r="AM31" i="9"/>
  <c r="AH31" i="9"/>
  <c r="AC31" i="9"/>
  <c r="X31" i="9"/>
  <c r="BG30" i="9"/>
  <c r="BB30" i="9"/>
  <c r="AW30" i="9"/>
  <c r="AR30" i="9"/>
  <c r="AM30" i="9"/>
  <c r="AH30" i="9"/>
  <c r="AC30" i="9"/>
  <c r="X30" i="9"/>
  <c r="BG29" i="9"/>
  <c r="BB29" i="9"/>
  <c r="AW29" i="9"/>
  <c r="AR29" i="9"/>
  <c r="AM29" i="9"/>
  <c r="AH29" i="9"/>
  <c r="AC29" i="9"/>
  <c r="X29" i="9"/>
  <c r="BG28" i="9"/>
  <c r="BB28" i="9"/>
  <c r="AW28" i="9"/>
  <c r="AR28" i="9"/>
  <c r="AM28" i="9"/>
  <c r="AH28" i="9"/>
  <c r="AC28" i="9"/>
  <c r="X28" i="9"/>
  <c r="BG27" i="9"/>
  <c r="BB27" i="9"/>
  <c r="AW27" i="9"/>
  <c r="AR27" i="9"/>
  <c r="AM27" i="9"/>
  <c r="AH27" i="9"/>
  <c r="AC27" i="9"/>
  <c r="X27" i="9"/>
  <c r="BG26" i="9"/>
  <c r="BB26" i="9"/>
  <c r="AW26" i="9"/>
  <c r="AR26" i="9"/>
  <c r="AM26" i="9"/>
  <c r="AH26" i="9"/>
  <c r="AC26" i="9"/>
  <c r="X26" i="9"/>
  <c r="BG25" i="9"/>
  <c r="BB25" i="9"/>
  <c r="AW25" i="9"/>
  <c r="AR25" i="9"/>
  <c r="AM25" i="9"/>
  <c r="AH25" i="9"/>
  <c r="AC25" i="9"/>
  <c r="X25" i="9"/>
  <c r="BG24" i="9"/>
  <c r="BB24" i="9"/>
  <c r="AW24" i="9"/>
  <c r="AR24" i="9"/>
  <c r="AM24" i="9"/>
  <c r="AH24" i="9"/>
  <c r="AC24" i="9"/>
  <c r="X24" i="9"/>
  <c r="BG23" i="9"/>
  <c r="BB23" i="9"/>
  <c r="AW23" i="9"/>
  <c r="AR23" i="9"/>
  <c r="AM23" i="9"/>
  <c r="AH23" i="9"/>
  <c r="AC23" i="9"/>
  <c r="X23" i="9"/>
  <c r="BG22" i="9"/>
  <c r="BB22" i="9"/>
  <c r="AW22" i="9"/>
  <c r="AR22" i="9"/>
  <c r="AM22" i="9"/>
  <c r="AH22" i="9"/>
  <c r="AC22" i="9"/>
  <c r="X22" i="9"/>
  <c r="BG21" i="9"/>
  <c r="BB21" i="9"/>
  <c r="AW21" i="9"/>
  <c r="AR21" i="9"/>
  <c r="AM21" i="9"/>
  <c r="AH21" i="9"/>
  <c r="AC21" i="9"/>
  <c r="X21" i="9"/>
  <c r="BG20" i="9"/>
  <c r="BB20" i="9"/>
  <c r="AW20" i="9"/>
  <c r="AR20" i="9"/>
  <c r="AM20" i="9"/>
  <c r="AH20" i="9"/>
  <c r="AC20" i="9"/>
  <c r="X20" i="9"/>
  <c r="BG19" i="9"/>
  <c r="BB19" i="9"/>
  <c r="AW19" i="9"/>
  <c r="AR19" i="9"/>
  <c r="AM19" i="9"/>
  <c r="AH19" i="9"/>
  <c r="AC19" i="9"/>
  <c r="X19" i="9"/>
  <c r="BG18" i="9"/>
  <c r="BB18" i="9"/>
  <c r="AW18" i="9"/>
  <c r="AR18" i="9"/>
  <c r="AM18" i="9"/>
  <c r="AH18" i="9"/>
  <c r="AC18" i="9"/>
  <c r="X18" i="9"/>
  <c r="BG17" i="9"/>
  <c r="BB17" i="9"/>
  <c r="AW17" i="9"/>
  <c r="AR17" i="9"/>
  <c r="AM17" i="9"/>
  <c r="AH17" i="9"/>
  <c r="AC17" i="9"/>
  <c r="X17" i="9"/>
  <c r="BG16" i="9"/>
  <c r="BB16" i="9"/>
  <c r="AW16" i="9"/>
  <c r="AR16" i="9"/>
  <c r="AM16" i="9"/>
  <c r="AH16" i="9"/>
  <c r="AC16" i="9"/>
  <c r="X16" i="9"/>
  <c r="BG15" i="9"/>
  <c r="BB15" i="9"/>
  <c r="AW15" i="9"/>
  <c r="AR15" i="9"/>
  <c r="AM15" i="9"/>
  <c r="AH15" i="9"/>
  <c r="AC15" i="9"/>
  <c r="X15" i="9"/>
  <c r="BG14" i="9"/>
  <c r="BB14" i="9"/>
  <c r="AW14" i="9"/>
  <c r="AR14" i="9"/>
  <c r="AM14" i="9"/>
  <c r="AH14" i="9"/>
  <c r="AC14" i="9"/>
  <c r="X14" i="9"/>
  <c r="BG13" i="9"/>
  <c r="BB13" i="9"/>
  <c r="AW13" i="9"/>
  <c r="AR13" i="9"/>
  <c r="AM13" i="9"/>
  <c r="AH13" i="9"/>
  <c r="AC13" i="9"/>
  <c r="X13" i="9"/>
  <c r="BG12" i="9"/>
  <c r="BB12" i="9"/>
  <c r="AW12" i="9"/>
  <c r="AR12" i="9"/>
  <c r="AM12" i="9"/>
  <c r="AH12" i="9"/>
  <c r="AC12" i="9"/>
  <c r="X12" i="9"/>
  <c r="BG11" i="9"/>
  <c r="BB11" i="9"/>
  <c r="AW11" i="9"/>
  <c r="AR11" i="9"/>
  <c r="AM11" i="9"/>
  <c r="AH11" i="9"/>
  <c r="AC11" i="9"/>
  <c r="X11" i="9"/>
  <c r="BG10" i="9"/>
  <c r="BB10" i="9"/>
  <c r="AW10" i="9"/>
  <c r="AR10" i="9"/>
  <c r="AM10" i="9"/>
  <c r="AH10" i="9"/>
  <c r="AC10" i="9"/>
  <c r="X10" i="9"/>
  <c r="BG9" i="9"/>
  <c r="BB9" i="9"/>
  <c r="AW9" i="9"/>
  <c r="AR9" i="9"/>
  <c r="AM9" i="9"/>
  <c r="AH9" i="9"/>
  <c r="AC9" i="9"/>
  <c r="X9" i="9"/>
  <c r="BG8" i="9"/>
  <c r="BB8" i="9"/>
  <c r="AW8" i="9"/>
  <c r="AR8" i="9"/>
  <c r="AM8" i="9"/>
  <c r="AH8" i="9"/>
  <c r="AC8" i="9"/>
  <c r="X8" i="9"/>
  <c r="BG7" i="9"/>
  <c r="BB7" i="9"/>
  <c r="AW7" i="9"/>
  <c r="AR7" i="9"/>
  <c r="AM7" i="9"/>
  <c r="AH7" i="9"/>
  <c r="AC7" i="9"/>
  <c r="X7" i="9"/>
  <c r="BG6" i="9"/>
  <c r="BB6" i="9"/>
  <c r="AW6" i="9"/>
  <c r="AR6" i="9"/>
  <c r="AM6" i="9"/>
  <c r="AH6" i="9"/>
  <c r="AC6" i="9"/>
  <c r="X6" i="9"/>
  <c r="BG5" i="9"/>
  <c r="BB5" i="9"/>
  <c r="AW5" i="9"/>
  <c r="AR5" i="9"/>
  <c r="AM5" i="9"/>
  <c r="AH5" i="9"/>
  <c r="AC5" i="9"/>
  <c r="X5" i="9"/>
  <c r="BG4" i="9"/>
  <c r="BB4" i="9"/>
  <c r="AW4" i="9"/>
  <c r="AR4" i="9"/>
  <c r="AM4" i="9"/>
  <c r="AH4" i="9"/>
  <c r="AC4" i="9"/>
  <c r="X4" i="9"/>
  <c r="L34" i="8"/>
  <c r="K34" i="8"/>
  <c r="J23" i="8"/>
  <c r="H23" i="8"/>
  <c r="L22" i="8"/>
  <c r="F22" i="8"/>
  <c r="F27" i="8" s="1"/>
  <c r="G22" i="8"/>
  <c r="D22" i="8"/>
  <c r="C22" i="8"/>
  <c r="C35" i="8" s="1"/>
  <c r="L71" i="8"/>
  <c r="K71" i="8"/>
  <c r="J71" i="8"/>
  <c r="I71" i="8"/>
  <c r="H71" i="8"/>
  <c r="G71" i="8"/>
  <c r="F71" i="8"/>
  <c r="E71" i="8"/>
  <c r="D71" i="8"/>
  <c r="C71" i="8"/>
  <c r="M70" i="8"/>
  <c r="M64" i="8"/>
  <c r="L60" i="8"/>
  <c r="K60" i="8"/>
  <c r="J60" i="8"/>
  <c r="I60" i="8"/>
  <c r="H60" i="8"/>
  <c r="G60" i="8"/>
  <c r="F60" i="8"/>
  <c r="E60" i="8"/>
  <c r="D60" i="8"/>
  <c r="C60" i="8"/>
  <c r="L59" i="8"/>
  <c r="L64" i="8" s="1"/>
  <c r="K59" i="8"/>
  <c r="K64" i="8" s="1"/>
  <c r="J59" i="8"/>
  <c r="J64" i="8" s="1"/>
  <c r="I59" i="8"/>
  <c r="I70" i="8" s="1"/>
  <c r="I72" i="8" s="1"/>
  <c r="H59" i="8"/>
  <c r="H70" i="8" s="1"/>
  <c r="H72" i="8" s="1"/>
  <c r="G59" i="8"/>
  <c r="G70" i="8" s="1"/>
  <c r="G72" i="8" s="1"/>
  <c r="F59" i="8"/>
  <c r="F70" i="8" s="1"/>
  <c r="F72" i="8" s="1"/>
  <c r="E59" i="8"/>
  <c r="E64" i="8" s="1"/>
  <c r="D59" i="8"/>
  <c r="D64" i="8" s="1"/>
  <c r="C59" i="8"/>
  <c r="C64" i="8" s="1"/>
  <c r="J34" i="8"/>
  <c r="I34" i="8"/>
  <c r="H34" i="8"/>
  <c r="G34" i="8"/>
  <c r="F34" i="8"/>
  <c r="E34" i="8"/>
  <c r="C34" i="8"/>
  <c r="M33" i="8"/>
  <c r="M27" i="8"/>
  <c r="L23" i="8"/>
  <c r="K23" i="8"/>
  <c r="I23" i="8"/>
  <c r="G23" i="8"/>
  <c r="F23" i="8"/>
  <c r="E23" i="8"/>
  <c r="D23" i="8"/>
  <c r="C23" i="8"/>
  <c r="K22" i="8"/>
  <c r="K35" i="8" s="1"/>
  <c r="J22" i="8"/>
  <c r="J33" i="8" s="1"/>
  <c r="I22" i="8"/>
  <c r="I33" i="8" s="1"/>
  <c r="H22" i="8"/>
  <c r="H33" i="8" s="1"/>
  <c r="E22" i="8"/>
  <c r="E27" i="8" s="1"/>
  <c r="I65" i="8" l="1"/>
  <c r="J65" i="8"/>
  <c r="C65" i="8"/>
  <c r="G65" i="8"/>
  <c r="J70" i="8"/>
  <c r="J72" i="8" s="1"/>
  <c r="J73" i="8" s="1"/>
  <c r="K65" i="8"/>
  <c r="F61" i="8"/>
  <c r="F62" i="8" s="1"/>
  <c r="F64" i="8"/>
  <c r="H65" i="8"/>
  <c r="K33" i="8"/>
  <c r="L28" i="8"/>
  <c r="K28" i="8"/>
  <c r="D34" i="8"/>
  <c r="D28" i="8" s="1"/>
  <c r="C28" i="8"/>
  <c r="L27" i="8"/>
  <c r="L35" i="8"/>
  <c r="L36" i="8" s="1"/>
  <c r="G33" i="8"/>
  <c r="G24" i="8"/>
  <c r="G25" i="8" s="1"/>
  <c r="G27" i="8"/>
  <c r="D27" i="8"/>
  <c r="D35" i="8"/>
  <c r="C33" i="8"/>
  <c r="F73" i="8"/>
  <c r="K36" i="8"/>
  <c r="G73" i="8"/>
  <c r="H24" i="8"/>
  <c r="H25" i="8" s="1"/>
  <c r="H27" i="8"/>
  <c r="E28" i="8"/>
  <c r="D33" i="8"/>
  <c r="L33" i="8"/>
  <c r="E35" i="8"/>
  <c r="E36" i="8" s="1"/>
  <c r="G61" i="8"/>
  <c r="G62" i="8" s="1"/>
  <c r="G64" i="8"/>
  <c r="D65" i="8"/>
  <c r="L65" i="8"/>
  <c r="C70" i="8"/>
  <c r="C72" i="8" s="1"/>
  <c r="K70" i="8"/>
  <c r="K72" i="8" s="1"/>
  <c r="H73" i="8"/>
  <c r="I24" i="8"/>
  <c r="I25" i="8" s="1"/>
  <c r="I27" i="8"/>
  <c r="F28" i="8"/>
  <c r="E33" i="8"/>
  <c r="F35" i="8"/>
  <c r="H61" i="8"/>
  <c r="H66" i="8" s="1"/>
  <c r="H64" i="8"/>
  <c r="E65" i="8"/>
  <c r="D70" i="8"/>
  <c r="D72" i="8" s="1"/>
  <c r="L70" i="8"/>
  <c r="L72" i="8" s="1"/>
  <c r="I73" i="8"/>
  <c r="J24" i="8"/>
  <c r="J25" i="8" s="1"/>
  <c r="J27" i="8"/>
  <c r="G28" i="8"/>
  <c r="F33" i="8"/>
  <c r="G35" i="8"/>
  <c r="C36" i="8"/>
  <c r="I61" i="8"/>
  <c r="I66" i="8" s="1"/>
  <c r="I64" i="8"/>
  <c r="F65" i="8"/>
  <c r="E70" i="8"/>
  <c r="E72" i="8" s="1"/>
  <c r="E73" i="8" s="1"/>
  <c r="C24" i="8"/>
  <c r="K24" i="8"/>
  <c r="K29" i="8" s="1"/>
  <c r="C27" i="8"/>
  <c r="K27" i="8"/>
  <c r="H28" i="8"/>
  <c r="H35" i="8"/>
  <c r="J61" i="8"/>
  <c r="D24" i="8"/>
  <c r="D25" i="8" s="1"/>
  <c r="L24" i="8"/>
  <c r="L25" i="8" s="1"/>
  <c r="I28" i="8"/>
  <c r="I35" i="8"/>
  <c r="C61" i="8"/>
  <c r="K61" i="8"/>
  <c r="K62" i="8" s="1"/>
  <c r="E24" i="8"/>
  <c r="E25" i="8" s="1"/>
  <c r="J28" i="8"/>
  <c r="J35" i="8"/>
  <c r="D61" i="8"/>
  <c r="D62" i="8" s="1"/>
  <c r="L61" i="8"/>
  <c r="L62" i="8" s="1"/>
  <c r="F24" i="8"/>
  <c r="F25" i="8" s="1"/>
  <c r="E61" i="8"/>
  <c r="E62" i="8" s="1"/>
  <c r="I67" i="8" l="1"/>
  <c r="H67" i="8"/>
  <c r="F66" i="8"/>
  <c r="F67" i="8" s="1"/>
  <c r="D36" i="8"/>
  <c r="J66" i="8"/>
  <c r="J67" i="8" s="1"/>
  <c r="G66" i="8"/>
  <c r="G67" i="8" s="1"/>
  <c r="J29" i="8"/>
  <c r="J30" i="8" s="1"/>
  <c r="H29" i="8"/>
  <c r="H30" i="8" s="1"/>
  <c r="K30" i="8"/>
  <c r="I29" i="8"/>
  <c r="I30" i="8" s="1"/>
  <c r="G29" i="8"/>
  <c r="G30" i="8" s="1"/>
  <c r="J62" i="8"/>
  <c r="F29" i="8"/>
  <c r="F30" i="8" s="1"/>
  <c r="D29" i="8"/>
  <c r="D30" i="8" s="1"/>
  <c r="C66" i="8"/>
  <c r="C67" i="8" s="1"/>
  <c r="K25" i="8"/>
  <c r="H36" i="8"/>
  <c r="I62" i="8"/>
  <c r="G36" i="8"/>
  <c r="H62" i="8"/>
  <c r="L66" i="8"/>
  <c r="L67" i="8" s="1"/>
  <c r="C62" i="8"/>
  <c r="L73" i="8"/>
  <c r="J36" i="8"/>
  <c r="L29" i="8"/>
  <c r="L30" i="8" s="1"/>
  <c r="C73" i="8"/>
  <c r="C25" i="8"/>
  <c r="D66" i="8"/>
  <c r="D67" i="8" s="1"/>
  <c r="D73" i="8"/>
  <c r="F36" i="8"/>
  <c r="E66" i="8"/>
  <c r="E67" i="8" s="1"/>
  <c r="E29" i="8"/>
  <c r="E30" i="8" s="1"/>
  <c r="I36" i="8"/>
  <c r="K66" i="8"/>
  <c r="K67" i="8" s="1"/>
  <c r="K73" i="8"/>
  <c r="C29" i="8"/>
  <c r="C30" i="8" s="1"/>
  <c r="M23" i="8" l="1"/>
  <c r="M24" i="8" l="1"/>
  <c r="BN46" i="9"/>
  <c r="BN13" i="9"/>
  <c r="BN81" i="9"/>
  <c r="BN64" i="9"/>
  <c r="BN60" i="9"/>
  <c r="BN8" i="9"/>
  <c r="BN24" i="9"/>
  <c r="BN38" i="9"/>
  <c r="BN53" i="9"/>
  <c r="BN72" i="9"/>
  <c r="BN67" i="9"/>
  <c r="BN48" i="9"/>
  <c r="BN80" i="9"/>
  <c r="BN17" i="9"/>
  <c r="BN5" i="9"/>
  <c r="BN31" i="9"/>
  <c r="BN71" i="9"/>
  <c r="BN78" i="9"/>
  <c r="BN86" i="9"/>
  <c r="BN11" i="9"/>
  <c r="BN28" i="9"/>
  <c r="BN40" i="9"/>
  <c r="BN90" i="9"/>
  <c r="BN9" i="9"/>
  <c r="BN35" i="9"/>
  <c r="BN83" i="9"/>
  <c r="BN92" i="9"/>
  <c r="BN87" i="9"/>
  <c r="BN22" i="9"/>
  <c r="BN68" i="9"/>
  <c r="BN69" i="9"/>
  <c r="BN79" i="9"/>
  <c r="BN93" i="9"/>
  <c r="BN15" i="9"/>
  <c r="BN30" i="9"/>
  <c r="BN44" i="9"/>
  <c r="BN55" i="9"/>
  <c r="BN99" i="9"/>
  <c r="BN26" i="9"/>
  <c r="BN74" i="9"/>
  <c r="BN94" i="9"/>
  <c r="BN45" i="9"/>
  <c r="BN75" i="9"/>
  <c r="BN82" i="9"/>
  <c r="BN89" i="9"/>
  <c r="BN96" i="9"/>
  <c r="BN6" i="9"/>
  <c r="BN12" i="9"/>
  <c r="BN20" i="9"/>
  <c r="BN27" i="9"/>
  <c r="BN33" i="9"/>
  <c r="BN42" i="9"/>
  <c r="BN52" i="9"/>
  <c r="BN88" i="9"/>
  <c r="BN76" i="9"/>
  <c r="BN62" i="9"/>
  <c r="BN66" i="9"/>
  <c r="BN77" i="9"/>
  <c r="BN84" i="9"/>
  <c r="BN91" i="9"/>
  <c r="BN98" i="9"/>
  <c r="BN37" i="9"/>
  <c r="BN50" i="9"/>
  <c r="BN70" i="9"/>
  <c r="BN97" i="9"/>
  <c r="BN7" i="9"/>
  <c r="BN10" i="9"/>
  <c r="BN14" i="9"/>
  <c r="BN18" i="9"/>
  <c r="BN21" i="9"/>
  <c r="BN23" i="9"/>
  <c r="BN25" i="9"/>
  <c r="BN29" i="9"/>
  <c r="BN32" i="9"/>
  <c r="BN36" i="9"/>
  <c r="BN39" i="9"/>
  <c r="BN41" i="9"/>
  <c r="BN43" i="9"/>
  <c r="BN47" i="9"/>
  <c r="BN51" i="9"/>
  <c r="BN54" i="9"/>
  <c r="BN56" i="9"/>
  <c r="BN58" i="9"/>
  <c r="BN65" i="9"/>
  <c r="BN63" i="9"/>
  <c r="BN95" i="9"/>
  <c r="BN61" i="9"/>
  <c r="BN85" i="9"/>
  <c r="BN4" i="9"/>
  <c r="BN19" i="9"/>
  <c r="BN34" i="9"/>
  <c r="BN49" i="9"/>
  <c r="BN57" i="9"/>
  <c r="BN59" i="9"/>
  <c r="BN16" i="9"/>
  <c r="BN73" i="9"/>
  <c r="O24" i="8" l="1"/>
  <c r="M35" i="8" l="1"/>
  <c r="M72" i="8"/>
  <c r="M60" i="8"/>
  <c r="O72" i="8" l="1"/>
  <c r="M29" i="8"/>
  <c r="O35" i="8"/>
  <c r="M61" i="8"/>
  <c r="O61" i="8" s="1"/>
  <c r="O60" i="8"/>
  <c r="M62" i="8" l="1"/>
  <c r="O62" i="8"/>
  <c r="M66" i="8"/>
  <c r="M71" i="8" l="1"/>
  <c r="M73" i="8" l="1"/>
  <c r="M65" i="8"/>
  <c r="M67" i="8" s="1"/>
  <c r="O71" i="8"/>
  <c r="O73" i="8" s="1"/>
  <c r="M34" i="8"/>
  <c r="M36" i="8" l="1"/>
  <c r="M28" i="8"/>
  <c r="M30" i="8" s="1"/>
  <c r="O34" i="8"/>
  <c r="O36" i="8" s="1"/>
  <c r="M25" i="8"/>
  <c r="O23" i="8"/>
  <c r="O25" i="8" s="1"/>
</calcChain>
</file>

<file path=xl/sharedStrings.xml><?xml version="1.0" encoding="utf-8"?>
<sst xmlns="http://schemas.openxmlformats.org/spreadsheetml/2006/main" count="2075" uniqueCount="161">
  <si>
    <t>ADR</t>
  </si>
  <si>
    <t>Revenue</t>
  </si>
  <si>
    <t>Row Labels</t>
  </si>
  <si>
    <t>Occ</t>
  </si>
  <si>
    <t>Rental</t>
  </si>
  <si>
    <t>Grand Total</t>
  </si>
  <si>
    <t>China</t>
  </si>
  <si>
    <t>Indonesia</t>
  </si>
  <si>
    <t>Thailand</t>
  </si>
  <si>
    <t>Malaysia</t>
  </si>
  <si>
    <t>Singapore</t>
  </si>
  <si>
    <t>Taiwan</t>
  </si>
  <si>
    <t>USA</t>
  </si>
  <si>
    <t>India</t>
  </si>
  <si>
    <t>Philippines</t>
  </si>
  <si>
    <t>Vietnam</t>
  </si>
  <si>
    <t>Japan</t>
  </si>
  <si>
    <t>UK</t>
  </si>
  <si>
    <t>Saudi Arabia</t>
  </si>
  <si>
    <t>Australia</t>
  </si>
  <si>
    <t>Myanmar</t>
  </si>
  <si>
    <t>Korea</t>
  </si>
  <si>
    <t>Room Nights</t>
  </si>
  <si>
    <t>Other</t>
  </si>
  <si>
    <t>Total</t>
  </si>
  <si>
    <t>Germany</t>
  </si>
  <si>
    <t>France</t>
  </si>
  <si>
    <t>Canada</t>
  </si>
  <si>
    <t>Pakistan</t>
  </si>
  <si>
    <t>YTD</t>
  </si>
  <si>
    <t>United States of America</t>
  </si>
  <si>
    <t>United Kingdom</t>
  </si>
  <si>
    <t>Republic of Korea</t>
  </si>
  <si>
    <t>Russia</t>
  </si>
  <si>
    <t>Italy</t>
  </si>
  <si>
    <t>Israel</t>
  </si>
  <si>
    <t>FY 2026</t>
  </si>
  <si>
    <t xml:space="preserve">Hong Kong </t>
  </si>
  <si>
    <t>Hong Kong</t>
  </si>
  <si>
    <t>Switzerland</t>
  </si>
  <si>
    <t>Tunisia</t>
  </si>
  <si>
    <t>Turkey</t>
  </si>
  <si>
    <t>UAE</t>
  </si>
  <si>
    <t>Netherlands</t>
  </si>
  <si>
    <t>Belgium</t>
  </si>
  <si>
    <t>Croatia</t>
  </si>
  <si>
    <t>Norway</t>
  </si>
  <si>
    <t>Ukraine</t>
  </si>
  <si>
    <t>Portugal</t>
  </si>
  <si>
    <t>Poland</t>
  </si>
  <si>
    <t>Sweden</t>
  </si>
  <si>
    <t>Kuwait</t>
  </si>
  <si>
    <t>Sri Lanka</t>
  </si>
  <si>
    <t>Macau</t>
  </si>
  <si>
    <t>Bangladesh</t>
  </si>
  <si>
    <t>Finland</t>
  </si>
  <si>
    <t>New Zealand</t>
  </si>
  <si>
    <t>Kazakhstan</t>
  </si>
  <si>
    <t>Spain</t>
  </si>
  <si>
    <t>Jordan</t>
  </si>
  <si>
    <t>Austria</t>
  </si>
  <si>
    <t>Mauritius</t>
  </si>
  <si>
    <t>Brazil</t>
  </si>
  <si>
    <t>Laos</t>
  </si>
  <si>
    <t>Estonia</t>
  </si>
  <si>
    <t>N/A</t>
  </si>
  <si>
    <t>Macau - China</t>
  </si>
  <si>
    <t>Bahrain</t>
  </si>
  <si>
    <t>Denmark</t>
  </si>
  <si>
    <t>Cameroon</t>
  </si>
  <si>
    <t>Lebanon</t>
  </si>
  <si>
    <t>United Arab Emirates</t>
  </si>
  <si>
    <t>Ireland</t>
  </si>
  <si>
    <t>Lithuania</t>
  </si>
  <si>
    <t>Chile</t>
  </si>
  <si>
    <t>Malta</t>
  </si>
  <si>
    <t>Mongolia</t>
  </si>
  <si>
    <t>Hungary</t>
  </si>
  <si>
    <t>Ethiopia</t>
  </si>
  <si>
    <t>Argentina</t>
  </si>
  <si>
    <t>Comoros</t>
  </si>
  <si>
    <t>Afghanistan</t>
  </si>
  <si>
    <t>Brunei</t>
  </si>
  <si>
    <t>Oman</t>
  </si>
  <si>
    <t xml:space="preserve">Macau </t>
  </si>
  <si>
    <t>Tanzania</t>
  </si>
  <si>
    <t>Egypt</t>
  </si>
  <si>
    <t>Colombia</t>
  </si>
  <si>
    <t>Greece</t>
  </si>
  <si>
    <t>Romania</t>
  </si>
  <si>
    <t>Iraq</t>
  </si>
  <si>
    <t>Maldives</t>
  </si>
  <si>
    <t>Czech Republic</t>
  </si>
  <si>
    <t>Peru</t>
  </si>
  <si>
    <t>Yemen</t>
  </si>
  <si>
    <t>Serbia</t>
  </si>
  <si>
    <t>Morocco</t>
  </si>
  <si>
    <t>Tajikistan</t>
  </si>
  <si>
    <t>Bulgaria</t>
  </si>
  <si>
    <t>Slovenia</t>
  </si>
  <si>
    <t>Slovakia</t>
  </si>
  <si>
    <t>Syria</t>
  </si>
  <si>
    <t>Iran</t>
  </si>
  <si>
    <t>South Africa</t>
  </si>
  <si>
    <t>Bosnia-Herzegovina</t>
  </si>
  <si>
    <t>Latvia</t>
  </si>
  <si>
    <t>Timor Leste</t>
  </si>
  <si>
    <t>Belarus</t>
  </si>
  <si>
    <t>Armenia</t>
  </si>
  <si>
    <t>El Salvador</t>
  </si>
  <si>
    <t>Luxembourg</t>
  </si>
  <si>
    <t>Mexico</t>
  </si>
  <si>
    <t>Uruguay</t>
  </si>
  <si>
    <t>Algeria</t>
  </si>
  <si>
    <t>Bolivia</t>
  </si>
  <si>
    <t>Iceland</t>
  </si>
  <si>
    <t>Nepal</t>
  </si>
  <si>
    <t>Uzbekistan</t>
  </si>
  <si>
    <t>Cyprus</t>
  </si>
  <si>
    <t>Palestine</t>
  </si>
  <si>
    <t>Ecuador</t>
  </si>
  <si>
    <t>Kyrgyzstan</t>
  </si>
  <si>
    <t>MTD</t>
  </si>
  <si>
    <t>Nationality MTD</t>
  </si>
  <si>
    <t>Variance</t>
  </si>
  <si>
    <t>Cambodia</t>
  </si>
  <si>
    <t>Nationality YTD</t>
  </si>
  <si>
    <t>Qatar</t>
  </si>
  <si>
    <t>Sudan</t>
  </si>
  <si>
    <t>Ghana</t>
  </si>
  <si>
    <t>Nigeria</t>
  </si>
  <si>
    <t>Bahamas</t>
  </si>
  <si>
    <t>Dominica</t>
  </si>
  <si>
    <t>Zambia</t>
  </si>
  <si>
    <t>Somalia</t>
  </si>
  <si>
    <t>Georgia</t>
  </si>
  <si>
    <t>Kenya</t>
  </si>
  <si>
    <t>England</t>
  </si>
  <si>
    <t>Trinidad And Tobago</t>
  </si>
  <si>
    <t>Saint Kitts And Nevis</t>
  </si>
  <si>
    <t>British Virgin Islands</t>
  </si>
  <si>
    <t>Kosovo</t>
  </si>
  <si>
    <t>Bhutan</t>
  </si>
  <si>
    <t>Northern Ireland</t>
  </si>
  <si>
    <t>FY 2025</t>
  </si>
  <si>
    <t>Albania</t>
  </si>
  <si>
    <t>Azerbaijan</t>
  </si>
  <si>
    <t>Cuba</t>
  </si>
  <si>
    <t>Fiji</t>
  </si>
  <si>
    <t>Ivory Coast</t>
  </si>
  <si>
    <t>Jamaica</t>
  </si>
  <si>
    <t>Liberia</t>
  </si>
  <si>
    <t>Libya</t>
  </si>
  <si>
    <t>Montenegro</t>
  </si>
  <si>
    <t>Panama</t>
  </si>
  <si>
    <t>Paraguay</t>
  </si>
  <si>
    <t>Puerto Rico</t>
  </si>
  <si>
    <t>Reunion</t>
  </si>
  <si>
    <t>Seychelles</t>
  </si>
  <si>
    <t>Uganda</t>
  </si>
  <si>
    <t>Venezuela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</si>
</sst>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[$-1010409]General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indexed="8"/>
      <name val="MS Sans Serif"/>
    </font>
    <font>
      <sz val="10"/>
      <name val="Arial"/>
      <family val="2"/>
    </font>
    <font>
      <b/>
      <sz val="10"/>
      <color theme="0"/>
      <name val="Calibri"/>
      <family val="2"/>
      <scheme val="minor"/>
    </font>
    <font>
      <sz val="11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theme="1"/>
      <name val="Arial"/>
      <family val="2"/>
    </font>
    <font>
      <b/>
      <sz val="10"/>
      <color indexed="8"/>
      <name val="Calibri"/>
      <family val="2"/>
      <scheme val="minor"/>
    </font>
    <font>
      <sz val="8"/>
      <color indexed="8"/>
      <name val="Century Gothic"/>
      <family val="2"/>
    </font>
    <font>
      <sz val="8"/>
      <name val="Century Gothic"/>
      <family val="2"/>
    </font>
    <font>
      <b/>
      <sz val="10"/>
      <color indexed="8"/>
      <name val="Georgia"/>
      <family val="1"/>
    </font>
    <font>
      <b/>
      <sz val="10"/>
      <color theme="0"/>
      <name val="Georgia"/>
      <family val="1"/>
    </font>
    <font>
      <sz val="10"/>
      <color indexed="8"/>
      <name val="Georgia"/>
      <family val="1"/>
    </font>
    <font>
      <b/>
      <i/>
      <sz val="10"/>
      <color indexed="8"/>
      <name val="Georgia"/>
      <family val="1"/>
    </font>
  </fonts>
  <fills count="18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CC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9"/>
      </patternFill>
    </fill>
    <fill>
      <patternFill patternType="solid">
        <fgColor rgb="FFFFFF00"/>
        <bgColor indexed="64"/>
      </patternFill>
    </fill>
    <fill>
      <patternFill patternType="solid">
        <fgColor theme="9" tint="-0.249977111117893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ck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33">
    <xf numFmtId="0" fontId="0" fillId="0" borderId="0"/>
    <xf numFmtId="0" fontId="3" fillId="0" borderId="0"/>
    <xf numFmtId="0" fontId="1" fillId="0" borderId="0"/>
    <xf numFmtId="0" fontId="4" fillId="0" borderId="0">
      <alignment wrapText="1"/>
    </xf>
    <xf numFmtId="43" fontId="1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8" fillId="7" borderId="0" applyNumberFormat="0" applyBorder="0" applyAlignment="0" applyProtection="0"/>
    <xf numFmtId="0" fontId="8" fillId="9" borderId="0" applyNumberFormat="0" applyBorder="0" applyAlignment="0" applyProtection="0"/>
    <xf numFmtId="0" fontId="8" fillId="11" borderId="0" applyNumberFormat="0" applyBorder="0" applyAlignment="0" applyProtection="0"/>
    <xf numFmtId="0" fontId="8" fillId="13" borderId="0" applyNumberFormat="0" applyBorder="0" applyAlignment="0" applyProtection="0"/>
    <xf numFmtId="0" fontId="7" fillId="0" borderId="15" applyNumberFormat="0" applyFill="0" applyAlignment="0" applyProtection="0"/>
    <xf numFmtId="0" fontId="1" fillId="7" borderId="0" applyNumberFormat="0" applyBorder="0" applyAlignment="0" applyProtection="0"/>
    <xf numFmtId="0" fontId="1" fillId="9" borderId="0" applyNumberFormat="0" applyBorder="0" applyAlignment="0" applyProtection="0"/>
    <xf numFmtId="0" fontId="1" fillId="11" borderId="0" applyNumberFormat="0" applyBorder="0" applyAlignment="0" applyProtection="0"/>
    <xf numFmtId="0" fontId="1" fillId="13" borderId="0" applyNumberFormat="0" applyBorder="0" applyAlignment="0" applyProtection="0"/>
    <xf numFmtId="0" fontId="1" fillId="6" borderId="16" applyNumberFormat="0" applyFont="0" applyAlignment="0" applyProtection="0"/>
    <xf numFmtId="0" fontId="1" fillId="8" borderId="0" applyNumberFormat="0" applyBorder="0" applyAlignment="0" applyProtection="0"/>
    <xf numFmtId="0" fontId="1" fillId="10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9" fontId="4" fillId="0" borderId="0" applyFont="0" applyFill="0" applyBorder="0" applyAlignment="0" applyProtection="0"/>
    <xf numFmtId="0" fontId="1" fillId="0" borderId="0"/>
    <xf numFmtId="0" fontId="1" fillId="13" borderId="0" applyNumberFormat="0" applyBorder="0" applyAlignment="0" applyProtection="0"/>
    <xf numFmtId="9" fontId="4" fillId="0" borderId="0" applyFont="0" applyFill="0" applyBorder="0" applyAlignment="0" applyProtection="0">
      <alignment wrapText="1"/>
    </xf>
    <xf numFmtId="0" fontId="1" fillId="0" borderId="0"/>
    <xf numFmtId="43" fontId="4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55">
    <xf numFmtId="0" fontId="0" fillId="0" borderId="0" xfId="0"/>
    <xf numFmtId="0" fontId="3" fillId="0" borderId="0" xfId="1"/>
    <xf numFmtId="0" fontId="1" fillId="0" borderId="0" xfId="2"/>
    <xf numFmtId="4" fontId="1" fillId="0" borderId="0" xfId="2" applyNumberFormat="1"/>
    <xf numFmtId="0" fontId="5" fillId="4" borderId="1" xfId="1" applyFont="1" applyFill="1" applyBorder="1" applyAlignment="1">
      <alignment horizontal="center"/>
    </xf>
    <xf numFmtId="3" fontId="3" fillId="0" borderId="0" xfId="1" applyNumberFormat="1"/>
    <xf numFmtId="0" fontId="1" fillId="3" borderId="7" xfId="2" applyFill="1" applyBorder="1"/>
    <xf numFmtId="17" fontId="2" fillId="2" borderId="6" xfId="2" applyNumberFormat="1" applyFont="1" applyFill="1" applyBorder="1" applyAlignment="1">
      <alignment horizontal="center"/>
    </xf>
    <xf numFmtId="0" fontId="1" fillId="3" borderId="2" xfId="2" applyFill="1" applyBorder="1"/>
    <xf numFmtId="0" fontId="1" fillId="3" borderId="3" xfId="2" applyFill="1" applyBorder="1"/>
    <xf numFmtId="17" fontId="2" fillId="2" borderId="6" xfId="2" applyNumberFormat="1" applyFont="1" applyFill="1" applyBorder="1"/>
    <xf numFmtId="166" fontId="10" fillId="0" borderId="0" xfId="3" applyNumberFormat="1" applyFont="1" applyAlignment="1">
      <alignment horizontal="right" vertical="center" wrapText="1" readingOrder="1"/>
    </xf>
    <xf numFmtId="0" fontId="1" fillId="3" borderId="11" xfId="2" applyFill="1" applyBorder="1"/>
    <xf numFmtId="0" fontId="2" fillId="2" borderId="4" xfId="2" applyFont="1" applyFill="1" applyBorder="1"/>
    <xf numFmtId="164" fontId="2" fillId="2" borderId="4" xfId="4" applyNumberFormat="1" applyFont="1" applyFill="1" applyBorder="1"/>
    <xf numFmtId="164" fontId="2" fillId="2" borderId="6" xfId="4" applyNumberFormat="1" applyFont="1" applyFill="1" applyBorder="1"/>
    <xf numFmtId="0" fontId="1" fillId="3" borderId="4" xfId="2" applyFill="1" applyBorder="1"/>
    <xf numFmtId="0" fontId="1" fillId="3" borderId="10" xfId="2" applyFill="1" applyBorder="1"/>
    <xf numFmtId="164" fontId="2" fillId="2" borderId="10" xfId="4" applyNumberFormat="1" applyFont="1" applyFill="1" applyBorder="1"/>
    <xf numFmtId="164" fontId="2" fillId="2" borderId="5" xfId="4" applyNumberFormat="1" applyFont="1" applyFill="1" applyBorder="1"/>
    <xf numFmtId="164" fontId="1" fillId="3" borderId="10" xfId="2" applyNumberFormat="1" applyFill="1" applyBorder="1"/>
    <xf numFmtId="164" fontId="2" fillId="2" borderId="6" xfId="4" applyNumberFormat="1" applyFont="1" applyFill="1" applyBorder="1" applyAlignment="1">
      <alignment horizontal="center"/>
    </xf>
    <xf numFmtId="0" fontId="2" fillId="3" borderId="5" xfId="2" applyFont="1" applyFill="1" applyBorder="1"/>
    <xf numFmtId="0" fontId="2" fillId="0" borderId="6" xfId="2" applyFont="1" applyBorder="1" applyAlignment="1">
      <alignment horizontal="left"/>
    </xf>
    <xf numFmtId="164" fontId="2" fillId="0" borderId="6" xfId="4" applyNumberFormat="1" applyFont="1" applyBorder="1"/>
    <xf numFmtId="0" fontId="2" fillId="3" borderId="6" xfId="2" applyFont="1" applyFill="1" applyBorder="1"/>
    <xf numFmtId="0" fontId="2" fillId="3" borderId="19" xfId="2" applyFont="1" applyFill="1" applyBorder="1"/>
    <xf numFmtId="164" fontId="2" fillId="0" borderId="19" xfId="4" applyNumberFormat="1" applyFont="1" applyBorder="1"/>
    <xf numFmtId="164" fontId="2" fillId="0" borderId="19" xfId="4" applyNumberFormat="1" applyFont="1" applyFill="1" applyBorder="1"/>
    <xf numFmtId="164" fontId="2" fillId="0" borderId="6" xfId="4" applyNumberFormat="1" applyFont="1" applyFill="1" applyBorder="1"/>
    <xf numFmtId="0" fontId="1" fillId="3" borderId="0" xfId="2" applyFill="1"/>
    <xf numFmtId="0" fontId="1" fillId="0" borderId="8" xfId="2" applyBorder="1" applyAlignment="1">
      <alignment horizontal="left"/>
    </xf>
    <xf numFmtId="164" fontId="6" fillId="0" borderId="8" xfId="4" applyNumberFormat="1" applyFont="1" applyFill="1" applyBorder="1"/>
    <xf numFmtId="164" fontId="0" fillId="0" borderId="8" xfId="4" applyNumberFormat="1" applyFont="1" applyBorder="1"/>
    <xf numFmtId="0" fontId="1" fillId="3" borderId="8" xfId="2" applyFill="1" applyBorder="1"/>
    <xf numFmtId="164" fontId="6" fillId="0" borderId="8" xfId="4" applyNumberFormat="1" applyFont="1" applyBorder="1"/>
    <xf numFmtId="164" fontId="6" fillId="0" borderId="0" xfId="4" applyNumberFormat="1" applyFont="1" applyBorder="1"/>
    <xf numFmtId="164" fontId="0" fillId="0" borderId="0" xfId="4" applyNumberFormat="1" applyFont="1" applyBorder="1"/>
    <xf numFmtId="0" fontId="1" fillId="0" borderId="8" xfId="2" applyBorder="1"/>
    <xf numFmtId="0" fontId="1" fillId="0" borderId="0" xfId="26"/>
    <xf numFmtId="164" fontId="1" fillId="0" borderId="8" xfId="27" applyNumberFormat="1" applyFont="1" applyBorder="1"/>
    <xf numFmtId="164" fontId="6" fillId="0" borderId="8" xfId="27" applyNumberFormat="1" applyFont="1" applyFill="1" applyBorder="1"/>
    <xf numFmtId="164" fontId="1" fillId="0" borderId="0" xfId="2" applyNumberFormat="1"/>
    <xf numFmtId="164" fontId="0" fillId="0" borderId="8" xfId="4" applyNumberFormat="1" applyFont="1" applyFill="1" applyBorder="1"/>
    <xf numFmtId="164" fontId="0" fillId="0" borderId="0" xfId="4" applyNumberFormat="1" applyFont="1" applyFill="1" applyBorder="1"/>
    <xf numFmtId="164" fontId="6" fillId="0" borderId="0" xfId="4" applyNumberFormat="1" applyFont="1" applyFill="1" applyBorder="1"/>
    <xf numFmtId="164" fontId="0" fillId="16" borderId="8" xfId="4" applyNumberFormat="1" applyFont="1" applyFill="1" applyBorder="1"/>
    <xf numFmtId="164" fontId="1" fillId="0" borderId="8" xfId="2" applyNumberFormat="1" applyBorder="1"/>
    <xf numFmtId="0" fontId="1" fillId="0" borderId="4" xfId="2" applyBorder="1"/>
    <xf numFmtId="164" fontId="1" fillId="0" borderId="0" xfId="27" applyNumberFormat="1" applyFont="1"/>
    <xf numFmtId="0" fontId="1" fillId="0" borderId="2" xfId="28" applyBorder="1" applyAlignment="1">
      <alignment horizontal="center" vertical="center"/>
    </xf>
    <xf numFmtId="0" fontId="2" fillId="2" borderId="19" xfId="28" applyFont="1" applyFill="1" applyBorder="1" applyAlignment="1">
      <alignment horizontal="center" vertical="center"/>
    </xf>
    <xf numFmtId="17" fontId="2" fillId="2" borderId="19" xfId="28" applyNumberFormat="1" applyFont="1" applyFill="1" applyBorder="1" applyAlignment="1">
      <alignment horizontal="center" vertical="center"/>
    </xf>
    <xf numFmtId="0" fontId="1" fillId="0" borderId="4" xfId="28" applyBorder="1" applyAlignment="1">
      <alignment horizontal="center" vertical="center"/>
    </xf>
    <xf numFmtId="0" fontId="2" fillId="2" borderId="5" xfId="28" applyFont="1" applyFill="1" applyBorder="1" applyAlignment="1">
      <alignment horizontal="center"/>
    </xf>
    <xf numFmtId="0" fontId="2" fillId="2" borderId="6" xfId="28" applyFont="1" applyFill="1" applyBorder="1" applyAlignment="1">
      <alignment horizontal="center"/>
    </xf>
    <xf numFmtId="0" fontId="1" fillId="0" borderId="8" xfId="28" applyBorder="1" applyAlignment="1">
      <alignment horizontal="center" vertical="center"/>
    </xf>
    <xf numFmtId="0" fontId="12" fillId="0" borderId="0" xfId="1" applyFont="1"/>
    <xf numFmtId="0" fontId="2" fillId="0" borderId="2" xfId="28" applyFont="1" applyBorder="1" applyAlignment="1">
      <alignment horizontal="left"/>
    </xf>
    <xf numFmtId="3" fontId="2" fillId="0" borderId="2" xfId="28" applyNumberFormat="1" applyFont="1" applyBorder="1"/>
    <xf numFmtId="4" fontId="2" fillId="0" borderId="2" xfId="28" applyNumberFormat="1" applyFont="1" applyBorder="1"/>
    <xf numFmtId="4" fontId="2" fillId="0" borderId="6" xfId="28" applyNumberFormat="1" applyFont="1" applyBorder="1"/>
    <xf numFmtId="3" fontId="2" fillId="0" borderId="6" xfId="28" applyNumberFormat="1" applyFont="1" applyBorder="1"/>
    <xf numFmtId="0" fontId="2" fillId="0" borderId="0" xfId="28" applyFont="1" applyAlignment="1">
      <alignment horizontal="left"/>
    </xf>
    <xf numFmtId="3" fontId="2" fillId="0" borderId="9" xfId="28" applyNumberFormat="1" applyFont="1" applyBorder="1"/>
    <xf numFmtId="4" fontId="2" fillId="0" borderId="8" xfId="28" applyNumberFormat="1" applyFont="1" applyBorder="1"/>
    <xf numFmtId="4" fontId="3" fillId="0" borderId="0" xfId="1" applyNumberFormat="1"/>
    <xf numFmtId="0" fontId="1" fillId="0" borderId="2" xfId="28" applyBorder="1" applyAlignment="1">
      <alignment horizontal="left"/>
    </xf>
    <xf numFmtId="3" fontId="1" fillId="0" borderId="2" xfId="28" applyNumberFormat="1" applyBorder="1"/>
    <xf numFmtId="4" fontId="1" fillId="0" borderId="2" xfId="28" applyNumberFormat="1" applyBorder="1"/>
    <xf numFmtId="165" fontId="3" fillId="0" borderId="0" xfId="29" applyNumberFormat="1" applyFont="1"/>
    <xf numFmtId="0" fontId="1" fillId="0" borderId="8" xfId="28" applyBorder="1" applyAlignment="1">
      <alignment horizontal="left"/>
    </xf>
    <xf numFmtId="3" fontId="1" fillId="0" borderId="8" xfId="28" applyNumberFormat="1" applyBorder="1"/>
    <xf numFmtId="4" fontId="1" fillId="0" borderId="8" xfId="28" applyNumberFormat="1" applyBorder="1"/>
    <xf numFmtId="0" fontId="1" fillId="0" borderId="4" xfId="28" applyBorder="1" applyAlignment="1">
      <alignment horizontal="left"/>
    </xf>
    <xf numFmtId="3" fontId="1" fillId="0" borderId="4" xfId="28" applyNumberFormat="1" applyBorder="1"/>
    <xf numFmtId="4" fontId="1" fillId="0" borderId="4" xfId="28" applyNumberFormat="1" applyBorder="1"/>
    <xf numFmtId="165" fontId="3" fillId="0" borderId="0" xfId="1" applyNumberFormat="1"/>
    <xf numFmtId="0" fontId="1" fillId="0" borderId="8" xfId="28" applyBorder="1"/>
    <xf numFmtId="0" fontId="13" fillId="17" borderId="1" xfId="1" applyFont="1" applyFill="1" applyBorder="1" applyAlignment="1">
      <alignment vertical="center"/>
    </xf>
    <xf numFmtId="0" fontId="13" fillId="17" borderId="1" xfId="1" applyFont="1" applyFill="1" applyBorder="1" applyAlignment="1">
      <alignment horizontal="center" vertical="center"/>
    </xf>
    <xf numFmtId="0" fontId="14" fillId="0" borderId="0" xfId="1" applyFont="1"/>
    <xf numFmtId="0" fontId="13" fillId="4" borderId="1" xfId="1" applyFont="1" applyFill="1" applyBorder="1" applyAlignment="1">
      <alignment horizontal="center"/>
    </xf>
    <xf numFmtId="0" fontId="14" fillId="0" borderId="1" xfId="1" applyFont="1" applyBorder="1" applyAlignment="1">
      <alignment horizontal="center" vertical="center"/>
    </xf>
    <xf numFmtId="3" fontId="14" fillId="0" borderId="1" xfId="1" applyNumberFormat="1" applyFont="1" applyBorder="1" applyAlignment="1">
      <alignment vertical="center"/>
    </xf>
    <xf numFmtId="3" fontId="14" fillId="0" borderId="0" xfId="1" applyNumberFormat="1" applyFont="1"/>
    <xf numFmtId="3" fontId="14" fillId="4" borderId="1" xfId="1" applyNumberFormat="1" applyFont="1" applyFill="1" applyBorder="1"/>
    <xf numFmtId="0" fontId="15" fillId="0" borderId="1" xfId="1" applyFont="1" applyBorder="1" applyAlignment="1">
      <alignment horizontal="center" vertical="center"/>
    </xf>
    <xf numFmtId="165" fontId="15" fillId="0" borderId="1" xfId="5" applyNumberFormat="1" applyFont="1" applyFill="1" applyBorder="1" applyAlignment="1" applyProtection="1">
      <alignment horizontal="right" vertical="center"/>
    </xf>
    <xf numFmtId="165" fontId="14" fillId="4" borderId="1" xfId="5" applyNumberFormat="1" applyFont="1" applyFill="1" applyBorder="1" applyAlignment="1" applyProtection="1"/>
    <xf numFmtId="0" fontId="14" fillId="0" borderId="0" xfId="1" applyFont="1" applyAlignment="1">
      <alignment vertical="center"/>
    </xf>
    <xf numFmtId="0" fontId="13" fillId="4" borderId="1" xfId="1" applyFont="1" applyFill="1" applyBorder="1"/>
    <xf numFmtId="0" fontId="14" fillId="4" borderId="1" xfId="1" applyFont="1" applyFill="1" applyBorder="1" applyAlignment="1">
      <alignment horizontal="center"/>
    </xf>
    <xf numFmtId="0" fontId="1" fillId="0" borderId="21" xfId="28" applyBorder="1"/>
    <xf numFmtId="9" fontId="14" fillId="4" borderId="1" xfId="5" applyFont="1" applyFill="1" applyBorder="1" applyAlignment="1" applyProtection="1"/>
    <xf numFmtId="9" fontId="14" fillId="4" borderId="1" xfId="5" applyFont="1" applyFill="1" applyBorder="1" applyAlignment="1" applyProtection="1">
      <alignment horizontal="right"/>
    </xf>
    <xf numFmtId="0" fontId="14" fillId="5" borderId="0" xfId="1" applyFont="1" applyFill="1"/>
    <xf numFmtId="0" fontId="9" fillId="0" borderId="0" xfId="1" applyFont="1"/>
    <xf numFmtId="9" fontId="14" fillId="4" borderId="1" xfId="5" applyFont="1" applyFill="1" applyBorder="1" applyAlignment="1" applyProtection="1">
      <alignment horizontal="center"/>
    </xf>
    <xf numFmtId="0" fontId="1" fillId="0" borderId="4" xfId="28" applyBorder="1"/>
    <xf numFmtId="0" fontId="1" fillId="0" borderId="0" xfId="28" applyAlignment="1">
      <alignment horizontal="center" vertical="center"/>
    </xf>
    <xf numFmtId="0" fontId="1" fillId="0" borderId="0" xfId="28"/>
    <xf numFmtId="0" fontId="1" fillId="0" borderId="0" xfId="28" applyAlignment="1">
      <alignment horizontal="left"/>
    </xf>
    <xf numFmtId="4" fontId="1" fillId="0" borderId="0" xfId="28" applyNumberFormat="1"/>
    <xf numFmtId="17" fontId="2" fillId="2" borderId="2" xfId="2" applyNumberFormat="1" applyFont="1" applyFill="1" applyBorder="1"/>
    <xf numFmtId="0" fontId="2" fillId="2" borderId="6" xfId="2" applyFont="1" applyFill="1" applyBorder="1"/>
    <xf numFmtId="164" fontId="2" fillId="2" borderId="19" xfId="27" applyNumberFormat="1" applyFont="1" applyFill="1" applyBorder="1"/>
    <xf numFmtId="164" fontId="2" fillId="2" borderId="6" xfId="27" applyNumberFormat="1" applyFont="1" applyFill="1" applyBorder="1" applyAlignment="1">
      <alignment horizontal="center"/>
    </xf>
    <xf numFmtId="164" fontId="2" fillId="2" borderId="0" xfId="27" applyNumberFormat="1" applyFont="1" applyFill="1" applyBorder="1"/>
    <xf numFmtId="164" fontId="2" fillId="0" borderId="19" xfId="27" applyNumberFormat="1" applyFont="1" applyBorder="1"/>
    <xf numFmtId="164" fontId="2" fillId="0" borderId="0" xfId="27" applyNumberFormat="1" applyFont="1" applyBorder="1"/>
    <xf numFmtId="165" fontId="1" fillId="0" borderId="0" xfId="31" applyNumberFormat="1" applyFont="1" applyBorder="1"/>
    <xf numFmtId="164" fontId="1" fillId="0" borderId="0" xfId="27" applyNumberFormat="1" applyFont="1" applyBorder="1"/>
    <xf numFmtId="1" fontId="2" fillId="2" borderId="4" xfId="4" applyNumberFormat="1" applyFont="1" applyFill="1" applyBorder="1" applyAlignment="1">
      <alignment horizontal="right"/>
    </xf>
    <xf numFmtId="1" fontId="2" fillId="0" borderId="6" xfId="4" applyNumberFormat="1" applyFont="1" applyBorder="1" applyAlignment="1">
      <alignment horizontal="right"/>
    </xf>
    <xf numFmtId="1" fontId="6" fillId="0" borderId="8" xfId="4" applyNumberFormat="1" applyFont="1" applyFill="1" applyBorder="1" applyAlignment="1">
      <alignment horizontal="right"/>
    </xf>
    <xf numFmtId="1" fontId="1" fillId="0" borderId="8" xfId="2" applyNumberFormat="1" applyBorder="1" applyAlignment="1">
      <alignment horizontal="right"/>
    </xf>
    <xf numFmtId="164" fontId="2" fillId="2" borderId="4" xfId="32" applyNumberFormat="1" applyFont="1" applyFill="1" applyBorder="1"/>
    <xf numFmtId="164" fontId="2" fillId="0" borderId="6" xfId="32" applyNumberFormat="1" applyFont="1" applyBorder="1"/>
    <xf numFmtId="164" fontId="6" fillId="0" borderId="8" xfId="32" applyNumberFormat="1" applyFont="1" applyFill="1" applyBorder="1"/>
    <xf numFmtId="164" fontId="1" fillId="0" borderId="8" xfId="32" applyNumberFormat="1" applyBorder="1"/>
    <xf numFmtId="1" fontId="2" fillId="2" borderId="4" xfId="4" applyNumberFormat="1" applyFont="1" applyFill="1" applyBorder="1"/>
    <xf numFmtId="1" fontId="6" fillId="0" borderId="8" xfId="4" applyNumberFormat="1" applyFont="1" applyFill="1" applyBorder="1"/>
    <xf numFmtId="1" fontId="1" fillId="0" borderId="8" xfId="2" applyNumberFormat="1" applyBorder="1"/>
    <xf numFmtId="164" fontId="2" fillId="2" borderId="10" xfId="32" applyNumberFormat="1" applyFont="1" applyFill="1" applyBorder="1"/>
    <xf numFmtId="164" fontId="1" fillId="0" borderId="0" xfId="32" applyNumberFormat="1" applyBorder="1"/>
    <xf numFmtId="164" fontId="1" fillId="0" borderId="0" xfId="32" applyNumberFormat="1"/>
    <xf numFmtId="164" fontId="2" fillId="2" borderId="5" xfId="32" applyNumberFormat="1" applyFont="1" applyFill="1" applyBorder="1"/>
    <xf numFmtId="164" fontId="2" fillId="0" borderId="6" xfId="32" applyNumberFormat="1" applyFont="1" applyBorder="1" applyAlignment="1">
      <alignment horizontal="right"/>
    </xf>
    <xf numFmtId="164" fontId="2" fillId="2" borderId="6" xfId="32" applyNumberFormat="1" applyFont="1" applyFill="1" applyBorder="1"/>
    <xf numFmtId="164" fontId="2" fillId="0" borderId="19" xfId="32" applyNumberFormat="1" applyFont="1" applyFill="1" applyBorder="1"/>
    <xf numFmtId="164" fontId="0" fillId="0" borderId="0" xfId="32" applyNumberFormat="1" applyFont="1" applyBorder="1"/>
    <xf numFmtId="164" fontId="0" fillId="0" borderId="0" xfId="32" applyNumberFormat="1" applyFont="1" applyFill="1" applyBorder="1"/>
    <xf numFmtId="164" fontId="2" fillId="0" borderId="6" xfId="32" applyNumberFormat="1" applyFont="1" applyFill="1" applyBorder="1"/>
    <xf numFmtId="164" fontId="0" fillId="0" borderId="8" xfId="32" applyNumberFormat="1" applyFont="1" applyBorder="1"/>
    <xf numFmtId="164" fontId="0" fillId="0" borderId="8" xfId="32" applyNumberFormat="1" applyFont="1" applyFill="1" applyBorder="1"/>
    <xf numFmtId="164" fontId="0" fillId="0" borderId="21" xfId="4" applyNumberFormat="1" applyFont="1" applyBorder="1"/>
    <xf numFmtId="0" fontId="1" fillId="0" borderId="22" xfId="2" applyBorder="1" applyAlignment="1">
      <alignment horizontal="left"/>
    </xf>
    <xf numFmtId="164" fontId="2" fillId="2" borderId="3" xfId="32" applyNumberFormat="1" applyFont="1" applyFill="1" applyBorder="1"/>
    <xf numFmtId="164" fontId="2" fillId="0" borderId="23" xfId="32" applyNumberFormat="1" applyFont="1" applyBorder="1"/>
    <xf numFmtId="164" fontId="1" fillId="0" borderId="0" xfId="32" applyNumberFormat="1" applyFont="1"/>
    <xf numFmtId="164" fontId="0" fillId="0" borderId="0" xfId="32" applyNumberFormat="1" applyFont="1"/>
    <xf numFmtId="164" fontId="2" fillId="2" borderId="6" xfId="32" applyNumberFormat="1" applyFont="1" applyFill="1" applyBorder="1" applyAlignment="1">
      <alignment horizontal="center"/>
    </xf>
    <xf numFmtId="164" fontId="2" fillId="0" borderId="19" xfId="32" applyNumberFormat="1" applyFont="1" applyBorder="1"/>
    <xf numFmtId="164" fontId="1" fillId="0" borderId="8" xfId="32" applyNumberFormat="1" applyFont="1" applyBorder="1"/>
    <xf numFmtId="166" fontId="10" fillId="15" borderId="1" xfId="3" applyNumberFormat="1" applyFont="1" applyFill="1" applyBorder="1" applyAlignment="1">
      <alignment horizontal="right" vertical="center" wrapText="1" readingOrder="1"/>
    </xf>
    <xf numFmtId="9" fontId="11" fillId="0" borderId="17" xfId="25" applyFont="1" applyBorder="1" applyAlignment="1">
      <alignment wrapText="1"/>
    </xf>
    <xf numFmtId="166" fontId="10" fillId="15" borderId="17" xfId="3" applyNumberFormat="1" applyFont="1" applyFill="1" applyBorder="1" applyAlignment="1">
      <alignment horizontal="right" vertical="center" wrapText="1" readingOrder="1"/>
    </xf>
    <xf numFmtId="166" fontId="10" fillId="0" borderId="17" xfId="3" applyNumberFormat="1" applyFont="1" applyBorder="1" applyAlignment="1">
      <alignment horizontal="right" vertical="center" wrapText="1" readingOrder="1"/>
    </xf>
    <xf numFmtId="0" fontId="10" fillId="15" borderId="18" xfId="3" applyFont="1" applyFill="1" applyBorder="1" applyAlignment="1">
      <alignment horizontal="left" vertical="center" wrapText="1" readingOrder="1"/>
    </xf>
    <xf numFmtId="0" fontId="10" fillId="15" borderId="12" xfId="3" applyFont="1" applyFill="1" applyBorder="1" applyAlignment="1">
      <alignment horizontal="left" vertical="center" wrapText="1" readingOrder="1"/>
    </xf>
    <xf numFmtId="0" fontId="10" fillId="15" borderId="13" xfId="3" applyFont="1" applyFill="1" applyBorder="1" applyAlignment="1">
      <alignment horizontal="left" vertical="center" wrapText="1" readingOrder="1"/>
    </xf>
    <xf numFmtId="0" fontId="8" fillId="0" borderId="19" xfId="28" applyFont="1" applyBorder="1" applyAlignment="1">
      <alignment horizontal="center"/>
    </xf>
    <xf numFmtId="0" fontId="8" fillId="0" borderId="20" xfId="28" applyFont="1" applyBorder="1" applyAlignment="1">
      <alignment horizontal="center"/>
    </xf>
    <xf numFmtId="0" fontId="8" fillId="0" borderId="14" xfId="28" applyFont="1" applyBorder="1" applyAlignment="1">
      <alignment horizontal="center"/>
    </xf>
  </cellXfs>
  <cellStyles count="33">
    <cellStyle name="20% - Accent1" xfId="13" xr:uid="{ECDF72F5-B892-4308-B089-51DAD67DB277}"/>
    <cellStyle name="20% - Accent1 2" xfId="8" xr:uid="{CC4F5FC2-B746-47AB-9458-7ECC0258301D}"/>
    <cellStyle name="20% - Accent1 3" xfId="18" xr:uid="{2816C794-ACD8-48A4-8301-635F0E460895}"/>
    <cellStyle name="20% - Accent2" xfId="14" xr:uid="{FC909641-D297-48B9-938D-1B70209238BF}"/>
    <cellStyle name="20% - Accent2 2" xfId="9" xr:uid="{3F19BB9D-FB31-414E-8F80-5475F75B8E7D}"/>
    <cellStyle name="20% - Accent2 3" xfId="19" xr:uid="{781637AB-FFAE-49EB-AFF7-5B043D53D488}"/>
    <cellStyle name="20% - Accent3" xfId="15" xr:uid="{2A77589F-4CC7-4284-B0A2-466E53E19715}"/>
    <cellStyle name="20% - Accent3 2" xfId="10" xr:uid="{8B85AAF2-8925-417C-87E1-0F1DBAA7D1C3}"/>
    <cellStyle name="20% - Accent3 3" xfId="20" xr:uid="{67819236-5919-40B9-ADEF-A7845B47CF0F}"/>
    <cellStyle name="20% - Accent4" xfId="16" xr:uid="{C8493FD2-F432-4E92-B9A1-780FB9A3F102}"/>
    <cellStyle name="20% - Accent4 2" xfId="11" xr:uid="{1EE02E90-62D6-4890-A9FC-96962261E242}"/>
    <cellStyle name="20% - Accent4 3" xfId="21" xr:uid="{AC93B799-E9A8-4033-928D-23BBA40DCB92}"/>
    <cellStyle name="20% - Accent5" xfId="17" xr:uid="{17AA2037-3C3F-4880-B897-004187FB87A1}"/>
    <cellStyle name="20% - Accent5 2" xfId="12" xr:uid="{BA5F25DB-22B5-4228-867C-684358E7B3EF}"/>
    <cellStyle name="20% - Accent5 3" xfId="24" xr:uid="{FF8A8CD2-9513-4E5A-846F-77999A3A6297}"/>
    <cellStyle name="20% - Accent6" xfId="23" xr:uid="{47276BD0-DFD3-49CC-B230-65F5C6162218}"/>
    <cellStyle name="20% - Accent6 2" xfId="22" xr:uid="{09B3677B-E59E-4633-A60A-09978FD14A9E}"/>
    <cellStyle name="Comma" xfId="32" builtinId="3"/>
    <cellStyle name="Comma 2" xfId="4" xr:uid="{95608DC1-9D27-4929-B6FA-1648513446EC}"/>
    <cellStyle name="Comma 6" xfId="27" xr:uid="{7342ECFC-4DCD-43ED-9D50-66204D39BA6F}"/>
    <cellStyle name="Normal" xfId="0" builtinId="0"/>
    <cellStyle name="Normal 13" xfId="28" xr:uid="{84C78CF6-2232-4039-AAAA-172C08626F98}"/>
    <cellStyle name="Normal 2" xfId="2" xr:uid="{627CB40F-DDD6-460C-905B-50A8B1777E1D}"/>
    <cellStyle name="Normal 2 3" xfId="6" xr:uid="{E43A6FDA-C650-45D8-9EB9-8953CDFE539D}"/>
    <cellStyle name="Normal 3" xfId="3" xr:uid="{E962745D-8A66-4FDB-A1AE-AD9A8FC5FA27}"/>
    <cellStyle name="Normal 4" xfId="30" xr:uid="{F11D3CCA-C9AD-4B57-A563-3BCD0CC102B5}"/>
    <cellStyle name="Normal 4 2" xfId="1" xr:uid="{27111F01-B80C-4786-A510-55677DE2772A}"/>
    <cellStyle name="Normal 9" xfId="26" xr:uid="{909CDEA5-8362-4B9A-90A4-5EF13A8C5DD5}"/>
    <cellStyle name="Percent 11" xfId="29" xr:uid="{96AADA9F-D02E-4E3E-A4F8-D1EEA734478C}"/>
    <cellStyle name="Percent 2" xfId="31" xr:uid="{A68F75C0-9028-4DA2-9045-F6DBD164DDA7}"/>
    <cellStyle name="Percent 2 2" xfId="7" xr:uid="{87EC2B4B-383E-4F2E-B73A-015B7C88F51C}"/>
    <cellStyle name="Percent 3" xfId="25" xr:uid="{64CE232D-817D-4E44-A191-E8329C61A401}"/>
    <cellStyle name="Percent 3 2" xfId="5" xr:uid="{69261759-1971-4098-9352-0FB47337C22C}"/>
  </cellStyles>
  <dxfs count="2">
    <dxf>
      <font>
        <b/>
        <i val="0"/>
        <color rgb="FFC00000"/>
      </font>
    </dxf>
    <dxf>
      <font>
        <b/>
        <i val="0"/>
        <color rgb="FFC00000"/>
      </font>
    </dxf>
  </dxfs>
  <tableStyles count="0" defaultTableStyle="TableStyleMedium2" defaultPivotStyle="PivotStyleLight16"/>
  <colors>
    <mruColors>
      <color rgb="FFF0949D"/>
      <color rgb="FFEC877C"/>
      <color rgb="FFE2463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5.xml"/><Relationship Id="rId13" Type="http://schemas.openxmlformats.org/officeDocument/2006/relationships/externalLink" Target="externalLinks/externalLink10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4.xml"/><Relationship Id="rId12" Type="http://schemas.openxmlformats.org/officeDocument/2006/relationships/externalLink" Target="externalLinks/externalLink9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11" Type="http://schemas.openxmlformats.org/officeDocument/2006/relationships/externalLink" Target="externalLinks/externalLink8.xml"/><Relationship Id="rId5" Type="http://schemas.openxmlformats.org/officeDocument/2006/relationships/externalLink" Target="externalLinks/externalLink2.xml"/><Relationship Id="rId15" Type="http://schemas.openxmlformats.org/officeDocument/2006/relationships/styles" Target="styles.xml"/><Relationship Id="rId10" Type="http://schemas.openxmlformats.org/officeDocument/2006/relationships/externalLink" Target="externalLinks/externalLink7.xml"/><Relationship Id="rId19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externalLink" Target="externalLinks/externalLink6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Room Nights MTD 2026</c:v>
          </c:tx>
          <c:spPr>
            <a:solidFill>
              <a:schemeClr val="accent6">
                <a:shade val="58000"/>
              </a:schemeClr>
            </a:solidFill>
            <a:ln>
              <a:noFill/>
            </a:ln>
            <a:effectLst/>
          </c:spPr>
          <c:invertIfNegative val="0"/>
          <c:cat>
            <c:strRef>
              <c:f>'Nationality( 2026vs2025)'!$C$22:$M$22</c:f>
              <c:strCache>
                <c:ptCount val="11"/>
                <c:pt idx="0">
                  <c:v>China</c:v>
                </c:pt>
                <c:pt idx="1">
                  <c:v>Indonesia</c:v>
                </c:pt>
                <c:pt idx="2">
                  <c:v>Thailand</c:v>
                </c:pt>
                <c:pt idx="3">
                  <c:v>Malaysia</c:v>
                </c:pt>
                <c:pt idx="4">
                  <c:v>Singapore</c:v>
                </c:pt>
                <c:pt idx="5">
                  <c:v>Taiwan</c:v>
                </c:pt>
                <c:pt idx="6">
                  <c:v>USA</c:v>
                </c:pt>
                <c:pt idx="7">
                  <c:v>India</c:v>
                </c:pt>
                <c:pt idx="8">
                  <c:v>Philippines</c:v>
                </c:pt>
                <c:pt idx="9">
                  <c:v>Vietnam</c:v>
                </c:pt>
                <c:pt idx="10">
                  <c:v>Other</c:v>
                </c:pt>
              </c:strCache>
            </c:strRef>
          </c:cat>
          <c:val>
            <c:numRef>
              <c:f>'Nationality( 2026vs2025)'!$C$23:$M$23</c:f>
              <c:numCache>
                <c:formatCode>#,##0</c:formatCode>
                <c:ptCount val="11"/>
                <c:pt idx="0">
                  <c:v>1098</c:v>
                </c:pt>
                <c:pt idx="1">
                  <c:v>568</c:v>
                </c:pt>
                <c:pt idx="2">
                  <c:v>319</c:v>
                </c:pt>
                <c:pt idx="3">
                  <c:v>308</c:v>
                </c:pt>
                <c:pt idx="4">
                  <c:v>262</c:v>
                </c:pt>
                <c:pt idx="5">
                  <c:v>221</c:v>
                </c:pt>
                <c:pt idx="6">
                  <c:v>173</c:v>
                </c:pt>
                <c:pt idx="7">
                  <c:v>126</c:v>
                </c:pt>
                <c:pt idx="8">
                  <c:v>118</c:v>
                </c:pt>
                <c:pt idx="9">
                  <c:v>104</c:v>
                </c:pt>
                <c:pt idx="10">
                  <c:v>791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665-4B65-9897-B26C4937CD81}"/>
            </c:ext>
          </c:extLst>
        </c:ser>
        <c:ser>
          <c:idx val="1"/>
          <c:order val="1"/>
          <c:tx>
            <c:v>Room Nights MTD 2025</c:v>
          </c:tx>
          <c:spPr>
            <a:solidFill>
              <a:schemeClr val="accent6">
                <a:shade val="86000"/>
              </a:schemeClr>
            </a:solidFill>
            <a:ln>
              <a:noFill/>
            </a:ln>
            <a:effectLst/>
          </c:spPr>
          <c:invertIfNegative val="0"/>
          <c:cat>
            <c:strRef>
              <c:f>'Nationality( 2026vs2025)'!$C$22:$M$22</c:f>
              <c:strCache>
                <c:ptCount val="11"/>
                <c:pt idx="0">
                  <c:v>China</c:v>
                </c:pt>
                <c:pt idx="1">
                  <c:v>Indonesia</c:v>
                </c:pt>
                <c:pt idx="2">
                  <c:v>Thailand</c:v>
                </c:pt>
                <c:pt idx="3">
                  <c:v>Malaysia</c:v>
                </c:pt>
                <c:pt idx="4">
                  <c:v>Singapore</c:v>
                </c:pt>
                <c:pt idx="5">
                  <c:v>Taiwan</c:v>
                </c:pt>
                <c:pt idx="6">
                  <c:v>USA</c:v>
                </c:pt>
                <c:pt idx="7">
                  <c:v>India</c:v>
                </c:pt>
                <c:pt idx="8">
                  <c:v>Philippines</c:v>
                </c:pt>
                <c:pt idx="9">
                  <c:v>Vietnam</c:v>
                </c:pt>
                <c:pt idx="10">
                  <c:v>Other</c:v>
                </c:pt>
              </c:strCache>
            </c:strRef>
          </c:cat>
          <c:val>
            <c:numRef>
              <c:f>'Nationality( 2026vs2025)'!$C$24:$M$24</c:f>
              <c:numCache>
                <c:formatCode>#,##0</c:formatCode>
                <c:ptCount val="11"/>
                <c:pt idx="0">
                  <c:v>702</c:v>
                </c:pt>
                <c:pt idx="1">
                  <c:v>207</c:v>
                </c:pt>
                <c:pt idx="2">
                  <c:v>433</c:v>
                </c:pt>
                <c:pt idx="3">
                  <c:v>277</c:v>
                </c:pt>
                <c:pt idx="4">
                  <c:v>459</c:v>
                </c:pt>
                <c:pt idx="5">
                  <c:v>207</c:v>
                </c:pt>
                <c:pt idx="6">
                  <c:v>206</c:v>
                </c:pt>
                <c:pt idx="7">
                  <c:v>177</c:v>
                </c:pt>
                <c:pt idx="8">
                  <c:v>177</c:v>
                </c:pt>
                <c:pt idx="9">
                  <c:v>162</c:v>
                </c:pt>
                <c:pt idx="10">
                  <c:v>1131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665-4B65-9897-B26C4937CD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681447016"/>
        <c:axId val="681445704"/>
      </c:barChart>
      <c:lineChart>
        <c:grouping val="standard"/>
        <c:varyColors val="0"/>
        <c:ser>
          <c:idx val="2"/>
          <c:order val="2"/>
          <c:tx>
            <c:v>ADR MTD 2026</c:v>
          </c:tx>
          <c:spPr>
            <a:ln w="28575" cap="rnd">
              <a:noFill/>
              <a:round/>
            </a:ln>
            <a:effectLst/>
          </c:spPr>
          <c:marker>
            <c:symbol val="diamond"/>
            <c:size val="10"/>
            <c:spPr>
              <a:solidFill>
                <a:schemeClr val="accent6">
                  <a:tint val="86000"/>
                </a:schemeClr>
              </a:solidFill>
              <a:ln w="9525">
                <a:solidFill>
                  <a:schemeClr val="accent6">
                    <a:tint val="86000"/>
                  </a:schemeClr>
                </a:solidFill>
              </a:ln>
              <a:effectLst/>
            </c:spPr>
          </c:marker>
          <c:dPt>
            <c:idx val="8"/>
            <c:marker>
              <c:symbol val="diamond"/>
              <c:size val="10"/>
              <c:spPr>
                <a:solidFill>
                  <a:schemeClr val="accent6">
                    <a:tint val="86000"/>
                  </a:schemeClr>
                </a:solidFill>
                <a:ln w="9525">
                  <a:solidFill>
                    <a:schemeClr val="accent6">
                      <a:tint val="86000"/>
                    </a:schemeClr>
                  </a:solidFill>
                </a:ln>
                <a:effectLst>
                  <a:outerShdw dist="50800" dir="5400000" sx="1000" sy="1000" algn="ctr" rotWithShape="0">
                    <a:srgbClr val="000000">
                      <a:alpha val="43137"/>
                    </a:srgbClr>
                  </a:outerShdw>
                </a:effectLst>
              </c:spPr>
            </c:marker>
            <c:bubble3D val="0"/>
            <c:spPr>
              <a:ln w="28575" cap="rnd">
                <a:noFill/>
                <a:round/>
              </a:ln>
              <a:effectLst>
                <a:outerShdw dist="50800" dir="5400000" sx="1000" sy="1000" algn="ctr" rotWithShape="0">
                  <a:srgbClr val="000000">
                    <a:alpha val="43137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E665-4B65-9897-B26C4937CD81}"/>
              </c:ext>
            </c:extLst>
          </c:dPt>
          <c:cat>
            <c:strRef>
              <c:f>'Nationality( 2026vs2025)'!$C$22:$M$22</c:f>
              <c:strCache>
                <c:ptCount val="11"/>
                <c:pt idx="0">
                  <c:v>China</c:v>
                </c:pt>
                <c:pt idx="1">
                  <c:v>Indonesia</c:v>
                </c:pt>
                <c:pt idx="2">
                  <c:v>Thailand</c:v>
                </c:pt>
                <c:pt idx="3">
                  <c:v>Malaysia</c:v>
                </c:pt>
                <c:pt idx="4">
                  <c:v>Singapore</c:v>
                </c:pt>
                <c:pt idx="5">
                  <c:v>Taiwan</c:v>
                </c:pt>
                <c:pt idx="6">
                  <c:v>USA</c:v>
                </c:pt>
                <c:pt idx="7">
                  <c:v>India</c:v>
                </c:pt>
                <c:pt idx="8">
                  <c:v>Philippines</c:v>
                </c:pt>
                <c:pt idx="9">
                  <c:v>Vietnam</c:v>
                </c:pt>
                <c:pt idx="10">
                  <c:v>Other</c:v>
                </c:pt>
              </c:strCache>
            </c:strRef>
          </c:cat>
          <c:val>
            <c:numRef>
              <c:f>'Nationality( 2026vs2025)'!$C$28:$M$28</c:f>
              <c:numCache>
                <c:formatCode>#,##0</c:formatCode>
                <c:ptCount val="11"/>
                <c:pt idx="0">
                  <c:v>1028.8271766848816</c:v>
                </c:pt>
                <c:pt idx="1">
                  <c:v>1056.1569894366198</c:v>
                </c:pt>
                <c:pt idx="2">
                  <c:v>1056.323855799373</c:v>
                </c:pt>
                <c:pt idx="3">
                  <c:v>1075.5249675324676</c:v>
                </c:pt>
                <c:pt idx="4">
                  <c:v>1062.8133587786258</c:v>
                </c:pt>
                <c:pt idx="5">
                  <c:v>1097.9331674208145</c:v>
                </c:pt>
                <c:pt idx="6">
                  <c:v>1119.6201156069365</c:v>
                </c:pt>
                <c:pt idx="7">
                  <c:v>1051.5874603174602</c:v>
                </c:pt>
                <c:pt idx="8">
                  <c:v>1019.4616101694916</c:v>
                </c:pt>
                <c:pt idx="9">
                  <c:v>1100.2604807692308</c:v>
                </c:pt>
                <c:pt idx="10">
                  <c:v>1217.5644121365356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665-4B65-9897-B26C4937CD81}"/>
            </c:ext>
          </c:extLst>
        </c:ser>
        <c:ser>
          <c:idx val="3"/>
          <c:order val="3"/>
          <c:tx>
            <c:v>ADR MTD 2025</c:v>
          </c:tx>
          <c:spPr>
            <a:ln w="28575" cap="rnd">
              <a:noFill/>
              <a:round/>
              <a:headEnd type="diamond"/>
            </a:ln>
            <a:effectLst/>
          </c:spPr>
          <c:marker>
            <c:symbol val="dash"/>
            <c:size val="15"/>
            <c:spPr>
              <a:solidFill>
                <a:schemeClr val="accent6">
                  <a:tint val="58000"/>
                </a:schemeClr>
              </a:solidFill>
              <a:ln w="9525">
                <a:solidFill>
                  <a:schemeClr val="accent6">
                    <a:tint val="58000"/>
                  </a:schemeClr>
                </a:solidFill>
              </a:ln>
              <a:effectLst/>
            </c:spPr>
          </c:marker>
          <c:cat>
            <c:strRef>
              <c:f>'Nationality( 2026vs2025)'!$C$22:$M$22</c:f>
              <c:strCache>
                <c:ptCount val="11"/>
                <c:pt idx="0">
                  <c:v>China</c:v>
                </c:pt>
                <c:pt idx="1">
                  <c:v>Indonesia</c:v>
                </c:pt>
                <c:pt idx="2">
                  <c:v>Thailand</c:v>
                </c:pt>
                <c:pt idx="3">
                  <c:v>Malaysia</c:v>
                </c:pt>
                <c:pt idx="4">
                  <c:v>Singapore</c:v>
                </c:pt>
                <c:pt idx="5">
                  <c:v>Taiwan</c:v>
                </c:pt>
                <c:pt idx="6">
                  <c:v>USA</c:v>
                </c:pt>
                <c:pt idx="7">
                  <c:v>India</c:v>
                </c:pt>
                <c:pt idx="8">
                  <c:v>Philippines</c:v>
                </c:pt>
                <c:pt idx="9">
                  <c:v>Vietnam</c:v>
                </c:pt>
                <c:pt idx="10">
                  <c:v>Other</c:v>
                </c:pt>
              </c:strCache>
            </c:strRef>
          </c:cat>
          <c:val>
            <c:numRef>
              <c:f>'Nationality( 2026vs2025)'!$C$29:$M$29</c:f>
              <c:numCache>
                <c:formatCode>#,##0</c:formatCode>
                <c:ptCount val="11"/>
                <c:pt idx="0">
                  <c:v>1130.8794301994301</c:v>
                </c:pt>
                <c:pt idx="1">
                  <c:v>1186.2988888888888</c:v>
                </c:pt>
                <c:pt idx="2">
                  <c:v>1137.6828175519629</c:v>
                </c:pt>
                <c:pt idx="3">
                  <c:v>1175.2309025270758</c:v>
                </c:pt>
                <c:pt idx="4">
                  <c:v>1181.0854466230937</c:v>
                </c:pt>
                <c:pt idx="5">
                  <c:v>1198.4127536231883</c:v>
                </c:pt>
                <c:pt idx="6">
                  <c:v>1196.5042718446603</c:v>
                </c:pt>
                <c:pt idx="7">
                  <c:v>1184.0473446327685</c:v>
                </c:pt>
                <c:pt idx="8">
                  <c:v>1228.9429378531074</c:v>
                </c:pt>
                <c:pt idx="9">
                  <c:v>1190.3752469135802</c:v>
                </c:pt>
                <c:pt idx="10">
                  <c:v>1149.2122723253729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E665-4B65-9897-B26C4937CD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81453248"/>
        <c:axId val="681444720"/>
      </c:lineChart>
      <c:catAx>
        <c:axId val="6814470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Georgia" panose="02040502050405020303" pitchFamily="18" charset="0"/>
                <a:ea typeface="+mn-ea"/>
                <a:cs typeface="+mn-cs"/>
              </a:defRPr>
            </a:pPr>
            <a:endParaRPr lang="en-US"/>
          </a:p>
        </c:txPr>
        <c:crossAx val="681445704"/>
        <c:crosses val="autoZero"/>
        <c:auto val="1"/>
        <c:lblAlgn val="ctr"/>
        <c:lblOffset val="100"/>
        <c:noMultiLvlLbl val="0"/>
      </c:catAx>
      <c:valAx>
        <c:axId val="681445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Georgia" panose="02040502050405020303" pitchFamily="18" charset="0"/>
                    <a:ea typeface="+mn-ea"/>
                    <a:cs typeface="+mn-cs"/>
                  </a:defRPr>
                </a:pPr>
                <a:r>
                  <a:rPr lang="en-US"/>
                  <a:t>Number of Room Nights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Georgia" panose="02040502050405020303" pitchFamily="18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Georgia" panose="02040502050405020303" pitchFamily="18" charset="0"/>
                <a:ea typeface="+mn-ea"/>
                <a:cs typeface="+mn-cs"/>
              </a:defRPr>
            </a:pPr>
            <a:endParaRPr lang="en-US"/>
          </a:p>
        </c:txPr>
        <c:crossAx val="681447016"/>
        <c:crosses val="autoZero"/>
        <c:crossBetween val="between"/>
      </c:valAx>
      <c:valAx>
        <c:axId val="681444720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Georgia" panose="02040502050405020303" pitchFamily="18" charset="0"/>
                    <a:ea typeface="+mn-ea"/>
                    <a:cs typeface="+mn-cs"/>
                  </a:defRPr>
                </a:pPr>
                <a:r>
                  <a:rPr lang="en-US"/>
                  <a:t>ADR (THB)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Georgia" panose="02040502050405020303" pitchFamily="18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Georgia" panose="02040502050405020303" pitchFamily="18" charset="0"/>
                <a:ea typeface="+mn-ea"/>
                <a:cs typeface="+mn-cs"/>
              </a:defRPr>
            </a:pPr>
            <a:endParaRPr lang="en-US"/>
          </a:p>
        </c:txPr>
        <c:crossAx val="681453248"/>
        <c:crosses val="max"/>
        <c:crossBetween val="between"/>
      </c:valAx>
      <c:catAx>
        <c:axId val="68145324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68144472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Georgia" panose="02040502050405020303" pitchFamily="18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Georgia" panose="02040502050405020303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Room nights YTD 2026</c:v>
          </c:tx>
          <c:spPr>
            <a:solidFill>
              <a:schemeClr val="accent6">
                <a:shade val="58000"/>
              </a:schemeClr>
            </a:solidFill>
            <a:ln>
              <a:noFill/>
            </a:ln>
            <a:effectLst/>
          </c:spPr>
          <c:invertIfNegative val="0"/>
          <c:cat>
            <c:strRef>
              <c:f>'Nationality( 2026vs2025)'!$C$59:$M$59</c:f>
              <c:strCache>
                <c:ptCount val="11"/>
                <c:pt idx="0">
                  <c:v>China</c:v>
                </c:pt>
                <c:pt idx="1">
                  <c:v>Indonesia</c:v>
                </c:pt>
                <c:pt idx="2">
                  <c:v>Singapore</c:v>
                </c:pt>
                <c:pt idx="3">
                  <c:v>Malaysia</c:v>
                </c:pt>
                <c:pt idx="4">
                  <c:v>Taiwan</c:v>
                </c:pt>
                <c:pt idx="5">
                  <c:v>Thailand</c:v>
                </c:pt>
                <c:pt idx="6">
                  <c:v>United States of America</c:v>
                </c:pt>
                <c:pt idx="7">
                  <c:v>Japan</c:v>
                </c:pt>
                <c:pt idx="8">
                  <c:v>United Kingdom</c:v>
                </c:pt>
                <c:pt idx="9">
                  <c:v>Germany</c:v>
                </c:pt>
                <c:pt idx="10">
                  <c:v>Other</c:v>
                </c:pt>
              </c:strCache>
            </c:strRef>
          </c:cat>
          <c:val>
            <c:numRef>
              <c:f>'Nationality( 2026vs2025)'!$C$60:$M$60</c:f>
              <c:numCache>
                <c:formatCode>#,##0</c:formatCode>
                <c:ptCount val="11"/>
                <c:pt idx="0">
                  <c:v>6141</c:v>
                </c:pt>
                <c:pt idx="1">
                  <c:v>3034</c:v>
                </c:pt>
                <c:pt idx="2">
                  <c:v>2336</c:v>
                </c:pt>
                <c:pt idx="3">
                  <c:v>2114</c:v>
                </c:pt>
                <c:pt idx="4">
                  <c:v>1524</c:v>
                </c:pt>
                <c:pt idx="5">
                  <c:v>1462</c:v>
                </c:pt>
                <c:pt idx="6">
                  <c:v>1440</c:v>
                </c:pt>
                <c:pt idx="7">
                  <c:v>1038</c:v>
                </c:pt>
                <c:pt idx="8">
                  <c:v>810</c:v>
                </c:pt>
                <c:pt idx="9">
                  <c:v>735</c:v>
                </c:pt>
                <c:pt idx="10">
                  <c:v>7197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DB4-437D-8F1E-BCC5C1113D02}"/>
            </c:ext>
          </c:extLst>
        </c:ser>
        <c:ser>
          <c:idx val="1"/>
          <c:order val="1"/>
          <c:tx>
            <c:v>Room Nights YTD 2025</c:v>
          </c:tx>
          <c:spPr>
            <a:solidFill>
              <a:schemeClr val="accent6">
                <a:shade val="86000"/>
              </a:schemeClr>
            </a:solidFill>
            <a:ln>
              <a:noFill/>
            </a:ln>
            <a:effectLst/>
          </c:spPr>
          <c:invertIfNegative val="0"/>
          <c:cat>
            <c:strRef>
              <c:f>'Nationality( 2026vs2025)'!$C$59:$M$59</c:f>
              <c:strCache>
                <c:ptCount val="11"/>
                <c:pt idx="0">
                  <c:v>China</c:v>
                </c:pt>
                <c:pt idx="1">
                  <c:v>Indonesia</c:v>
                </c:pt>
                <c:pt idx="2">
                  <c:v>Singapore</c:v>
                </c:pt>
                <c:pt idx="3">
                  <c:v>Malaysia</c:v>
                </c:pt>
                <c:pt idx="4">
                  <c:v>Taiwan</c:v>
                </c:pt>
                <c:pt idx="5">
                  <c:v>Thailand</c:v>
                </c:pt>
                <c:pt idx="6">
                  <c:v>United States of America</c:v>
                </c:pt>
                <c:pt idx="7">
                  <c:v>Japan</c:v>
                </c:pt>
                <c:pt idx="8">
                  <c:v>United Kingdom</c:v>
                </c:pt>
                <c:pt idx="9">
                  <c:v>Germany</c:v>
                </c:pt>
                <c:pt idx="10">
                  <c:v>Other</c:v>
                </c:pt>
              </c:strCache>
            </c:strRef>
          </c:cat>
          <c:val>
            <c:numRef>
              <c:f>'Nationality( 2026vs2025)'!$C$61:$M$61</c:f>
              <c:numCache>
                <c:formatCode>#,##0</c:formatCode>
                <c:ptCount val="11"/>
                <c:pt idx="0">
                  <c:v>4642</c:v>
                </c:pt>
                <c:pt idx="1">
                  <c:v>1017</c:v>
                </c:pt>
                <c:pt idx="2">
                  <c:v>2762</c:v>
                </c:pt>
                <c:pt idx="3">
                  <c:v>2138</c:v>
                </c:pt>
                <c:pt idx="4">
                  <c:v>1200</c:v>
                </c:pt>
                <c:pt idx="5">
                  <c:v>1872</c:v>
                </c:pt>
                <c:pt idx="6">
                  <c:v>2000</c:v>
                </c:pt>
                <c:pt idx="7">
                  <c:v>926</c:v>
                </c:pt>
                <c:pt idx="8">
                  <c:v>1201</c:v>
                </c:pt>
                <c:pt idx="9">
                  <c:v>755</c:v>
                </c:pt>
                <c:pt idx="10">
                  <c:v>9294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DB4-437D-8F1E-BCC5C1113D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681447016"/>
        <c:axId val="681445704"/>
      </c:barChart>
      <c:lineChart>
        <c:grouping val="standard"/>
        <c:varyColors val="0"/>
        <c:ser>
          <c:idx val="2"/>
          <c:order val="2"/>
          <c:tx>
            <c:v>ADR YTD 2026</c:v>
          </c:tx>
          <c:spPr>
            <a:ln w="28575" cap="rnd">
              <a:noFill/>
              <a:round/>
            </a:ln>
            <a:effectLst/>
          </c:spPr>
          <c:marker>
            <c:symbol val="diamond"/>
            <c:size val="10"/>
            <c:spPr>
              <a:solidFill>
                <a:schemeClr val="accent6">
                  <a:tint val="86000"/>
                </a:schemeClr>
              </a:solidFill>
              <a:ln w="9525">
                <a:solidFill>
                  <a:schemeClr val="accent6">
                    <a:tint val="86000"/>
                  </a:schemeClr>
                </a:solidFill>
              </a:ln>
              <a:effectLst/>
            </c:spPr>
          </c:marker>
          <c:cat>
            <c:strRef>
              <c:f>'Nationality( 2026vs2025)'!$C$59:$M$59</c:f>
              <c:strCache>
                <c:ptCount val="11"/>
                <c:pt idx="0">
                  <c:v>China</c:v>
                </c:pt>
                <c:pt idx="1">
                  <c:v>Indonesia</c:v>
                </c:pt>
                <c:pt idx="2">
                  <c:v>Singapore</c:v>
                </c:pt>
                <c:pt idx="3">
                  <c:v>Malaysia</c:v>
                </c:pt>
                <c:pt idx="4">
                  <c:v>Taiwan</c:v>
                </c:pt>
                <c:pt idx="5">
                  <c:v>Thailand</c:v>
                </c:pt>
                <c:pt idx="6">
                  <c:v>United States of America</c:v>
                </c:pt>
                <c:pt idx="7">
                  <c:v>Japan</c:v>
                </c:pt>
                <c:pt idx="8">
                  <c:v>United Kingdom</c:v>
                </c:pt>
                <c:pt idx="9">
                  <c:v>Germany</c:v>
                </c:pt>
                <c:pt idx="10">
                  <c:v>Other</c:v>
                </c:pt>
              </c:strCache>
            </c:strRef>
          </c:cat>
          <c:val>
            <c:numRef>
              <c:f>'Nationality( 2026vs2025)'!$C$65:$M$65</c:f>
              <c:numCache>
                <c:formatCode>#,##0</c:formatCode>
                <c:ptCount val="11"/>
                <c:pt idx="0">
                  <c:v>1275.0972968571893</c:v>
                </c:pt>
                <c:pt idx="1">
                  <c:v>1227.145346077785</c:v>
                </c:pt>
                <c:pt idx="2">
                  <c:v>1331.2450470890412</c:v>
                </c:pt>
                <c:pt idx="3">
                  <c:v>1334.5122280037842</c:v>
                </c:pt>
                <c:pt idx="4">
                  <c:v>1333.4799803149606</c:v>
                </c:pt>
                <c:pt idx="5">
                  <c:v>1298.4200820793433</c:v>
                </c:pt>
                <c:pt idx="6">
                  <c:v>1605.6017638888889</c:v>
                </c:pt>
                <c:pt idx="7">
                  <c:v>1389.3850096339113</c:v>
                </c:pt>
                <c:pt idx="8">
                  <c:v>1508.0674814814813</c:v>
                </c:pt>
                <c:pt idx="9">
                  <c:v>1492.0674421768708</c:v>
                </c:pt>
                <c:pt idx="10">
                  <c:v>1488.4010921217168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DB4-437D-8F1E-BCC5C1113D02}"/>
            </c:ext>
          </c:extLst>
        </c:ser>
        <c:ser>
          <c:idx val="3"/>
          <c:order val="3"/>
          <c:tx>
            <c:v>ADR YTD 2025</c:v>
          </c:tx>
          <c:spPr>
            <a:ln w="28575" cap="rnd">
              <a:noFill/>
              <a:round/>
            </a:ln>
            <a:effectLst/>
          </c:spPr>
          <c:marker>
            <c:symbol val="dash"/>
            <c:size val="15"/>
            <c:spPr>
              <a:solidFill>
                <a:schemeClr val="accent6">
                  <a:tint val="58000"/>
                </a:schemeClr>
              </a:solidFill>
              <a:ln w="9525">
                <a:solidFill>
                  <a:schemeClr val="accent6">
                    <a:tint val="58000"/>
                  </a:schemeClr>
                </a:solidFill>
              </a:ln>
              <a:effectLst/>
            </c:spPr>
          </c:marker>
          <c:cat>
            <c:strRef>
              <c:f>'Nationality( 2026vs2025)'!$C$59:$M$59</c:f>
              <c:strCache>
                <c:ptCount val="11"/>
                <c:pt idx="0">
                  <c:v>China</c:v>
                </c:pt>
                <c:pt idx="1">
                  <c:v>Indonesia</c:v>
                </c:pt>
                <c:pt idx="2">
                  <c:v>Singapore</c:v>
                </c:pt>
                <c:pt idx="3">
                  <c:v>Malaysia</c:v>
                </c:pt>
                <c:pt idx="4">
                  <c:v>Taiwan</c:v>
                </c:pt>
                <c:pt idx="5">
                  <c:v>Thailand</c:v>
                </c:pt>
                <c:pt idx="6">
                  <c:v>United States of America</c:v>
                </c:pt>
                <c:pt idx="7">
                  <c:v>Japan</c:v>
                </c:pt>
                <c:pt idx="8">
                  <c:v>United Kingdom</c:v>
                </c:pt>
                <c:pt idx="9">
                  <c:v>Germany</c:v>
                </c:pt>
                <c:pt idx="10">
                  <c:v>Other</c:v>
                </c:pt>
              </c:strCache>
            </c:strRef>
          </c:cat>
          <c:val>
            <c:numRef>
              <c:f>'Nationality( 2026vs2025)'!$C$66:$M$66</c:f>
              <c:numCache>
                <c:formatCode>#,##0</c:formatCode>
                <c:ptCount val="11"/>
                <c:pt idx="0">
                  <c:v>1363.0928543731152</c:v>
                </c:pt>
                <c:pt idx="1">
                  <c:v>1436.68197640118</c:v>
                </c:pt>
                <c:pt idx="2">
                  <c:v>1368.4723569876901</c:v>
                </c:pt>
                <c:pt idx="3">
                  <c:v>1398.2729607109447</c:v>
                </c:pt>
                <c:pt idx="4">
                  <c:v>1370.8001083333331</c:v>
                </c:pt>
                <c:pt idx="5">
                  <c:v>1311.9264209401708</c:v>
                </c:pt>
                <c:pt idx="6">
                  <c:v>1559.1527450000001</c:v>
                </c:pt>
                <c:pt idx="7">
                  <c:v>1420.762008639309</c:v>
                </c:pt>
                <c:pt idx="8">
                  <c:v>1454.8517901748544</c:v>
                </c:pt>
                <c:pt idx="9">
                  <c:v>1583.9672052980131</c:v>
                </c:pt>
                <c:pt idx="10">
                  <c:v>1401.4939778351634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DB4-437D-8F1E-BCC5C1113D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04542064"/>
        <c:axId val="904541408"/>
      </c:lineChart>
      <c:catAx>
        <c:axId val="6814470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Georgia" panose="02040502050405020303" pitchFamily="18" charset="0"/>
                <a:ea typeface="+mn-ea"/>
                <a:cs typeface="+mn-cs"/>
              </a:defRPr>
            </a:pPr>
            <a:endParaRPr lang="en-US"/>
          </a:p>
        </c:txPr>
        <c:crossAx val="681445704"/>
        <c:crosses val="autoZero"/>
        <c:auto val="1"/>
        <c:lblAlgn val="ctr"/>
        <c:lblOffset val="100"/>
        <c:noMultiLvlLbl val="0"/>
      </c:catAx>
      <c:valAx>
        <c:axId val="681445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Georgia" panose="02040502050405020303" pitchFamily="18" charset="0"/>
                    <a:ea typeface="+mn-ea"/>
                    <a:cs typeface="+mn-cs"/>
                  </a:defRPr>
                </a:pPr>
                <a:r>
                  <a:rPr lang="en-US"/>
                  <a:t>Number of Room Nights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Georgia" panose="02040502050405020303" pitchFamily="18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Georgia" panose="02040502050405020303" pitchFamily="18" charset="0"/>
                <a:ea typeface="+mn-ea"/>
                <a:cs typeface="+mn-cs"/>
              </a:defRPr>
            </a:pPr>
            <a:endParaRPr lang="en-US"/>
          </a:p>
        </c:txPr>
        <c:crossAx val="681447016"/>
        <c:crosses val="autoZero"/>
        <c:crossBetween val="between"/>
      </c:valAx>
      <c:valAx>
        <c:axId val="904541408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Georgia" panose="02040502050405020303" pitchFamily="18" charset="0"/>
                    <a:ea typeface="+mn-ea"/>
                    <a:cs typeface="+mn-cs"/>
                  </a:defRPr>
                </a:pPr>
                <a:r>
                  <a:rPr lang="en-US"/>
                  <a:t>ADR  (THB)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Georgia" panose="02040502050405020303" pitchFamily="18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Georgia" panose="02040502050405020303" pitchFamily="18" charset="0"/>
                <a:ea typeface="+mn-ea"/>
                <a:cs typeface="+mn-cs"/>
              </a:defRPr>
            </a:pPr>
            <a:endParaRPr lang="en-US"/>
          </a:p>
        </c:txPr>
        <c:crossAx val="904542064"/>
        <c:crosses val="max"/>
        <c:crossBetween val="between"/>
      </c:valAx>
      <c:catAx>
        <c:axId val="90454206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90454140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Georgia" panose="02040502050405020303" pitchFamily="18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Georgia" panose="02040502050405020303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" id="19">
  <a:schemeClr val="accent6"/>
</cs:colorStyle>
</file>

<file path=xl/charts/colors2.xml><?xml version="1.0" encoding="utf-8"?>
<cs:colorStyle xmlns:cs="http://schemas.microsoft.com/office/drawing/2012/chartStyle" xmlns:a="http://schemas.openxmlformats.org/drawingml/2006/main" meth="withinLinear" id="19">
  <a:schemeClr val="accent6"/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66</xdr:col>
      <xdr:colOff>0</xdr:colOff>
      <xdr:row>0</xdr:row>
      <xdr:rowOff>66675</xdr:rowOff>
    </xdr:from>
    <xdr:to>
      <xdr:col>72</xdr:col>
      <xdr:colOff>28575</xdr:colOff>
      <xdr:row>2</xdr:row>
      <xdr:rowOff>0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642344DD-935E-4AB9-A9A8-A2D871941630}"/>
            </a:ext>
          </a:extLst>
        </xdr:cNvPr>
        <xdr:cNvSpPr/>
      </xdr:nvSpPr>
      <xdr:spPr>
        <a:xfrm>
          <a:off x="28670250" y="63500"/>
          <a:ext cx="4521200" cy="317500"/>
        </a:xfrm>
        <a:prstGeom prst="roundRect">
          <a:avLst>
            <a:gd name="adj" fmla="val 3623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600"/>
            <a:t>Combine China and HK to the same country.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66</xdr:col>
      <xdr:colOff>0</xdr:colOff>
      <xdr:row>0</xdr:row>
      <xdr:rowOff>66675</xdr:rowOff>
    </xdr:from>
    <xdr:to>
      <xdr:col>72</xdr:col>
      <xdr:colOff>28575</xdr:colOff>
      <xdr:row>2</xdr:row>
      <xdr:rowOff>0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DBB51C6A-79DB-4D61-AE2B-5B22BEE77C2F}"/>
            </a:ext>
          </a:extLst>
        </xdr:cNvPr>
        <xdr:cNvSpPr/>
      </xdr:nvSpPr>
      <xdr:spPr>
        <a:xfrm>
          <a:off x="8572500" y="63500"/>
          <a:ext cx="4483100" cy="317500"/>
        </a:xfrm>
        <a:prstGeom prst="roundRect">
          <a:avLst>
            <a:gd name="adj" fmla="val 3623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600"/>
            <a:t>Combine China and HK to the same country.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4</xdr:row>
      <xdr:rowOff>145676</xdr:rowOff>
    </xdr:from>
    <xdr:to>
      <xdr:col>13</xdr:col>
      <xdr:colOff>11206</xdr:colOff>
      <xdr:row>20</xdr:row>
      <xdr:rowOff>123824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FF65F75-EDEB-404B-8BB9-6693A52807A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41</xdr:row>
      <xdr:rowOff>0</xdr:rowOff>
    </xdr:from>
    <xdr:to>
      <xdr:col>13</xdr:col>
      <xdr:colOff>0</xdr:colOff>
      <xdr:row>57</xdr:row>
      <xdr:rowOff>123824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3B4B76F-07B6-43C9-898F-6E3D4F35747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sharepoint.minornet.com/Users/junporn_lo/Documents/Wayne/Budget/Budget%202016/DOCUME~1/WWILLI~1/LOCALS~1/Temp/Rar$DI03.266/DOCUME~1/WWILLI~1/LOCALS~1/Temp/Rar$DI00.187/WINDOWS/TEMP/MYDOCS/PROJXLS/GRPSUMM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DOCUME~1\WWILLI~1\LOCALS~1\Temp\Rar$DI03.266\DOCUME~1\WWILLI~1\LOCALS~1\Temp\Rar$DI00.187\WINDOWS\TEMP\MYDOCS\PROJXLS\GRPSUMM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uananh\c\Balance%2001\Dec'01%20BS.xls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nakul.g/Desktop/Revenue%20Management/Q%20Review/2019/Q1/2019%20Q1%20Review.xlsm" TargetMode="External"/><Relationship Id="rId1" Type="http://schemas.openxmlformats.org/officeDocument/2006/relationships/externalLinkPath" Target="/Users/nakul.g/Desktop/Revenue%20Management/Q%20Review/2019/Q1/2019%20Q1%20Review.xlsm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personal\phenyanit_l_clwebacc_com\Documents\SEB\HQ%20reports\Forecast_V6%20(3).xlsm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cl.sharepoint.com/Users/ASUS/OneDrive/Desktop/Work%20SEB/BGT/2022%20BGT/B%20Group.xlsm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korpatthamadilok/Desktop/08-19/ORS24%20-%20Sales%20%20Revenue%20Template%20_201908.xlsb" TargetMode="External"/><Relationship Id="rId1" Type="http://schemas.openxmlformats.org/officeDocument/2006/relationships/externalLinkPath" Target="/Users/korpatthamadilok/Desktop/08-19/ORS24%20-%20Sales%20%20Revenue%20Template%20_201908.xlsb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junporn_lo\Documents\Month%20Ended\2018\5%20May%202018\From%20Property%20and%20LAN\Sum\ASAT_02%20Finance%20%20Month%20End%20Template%20%20V7.6.8_%20May18.xlsm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moyo\shareddocs\windows\TEMP\MONTHLTY%20ACCOUNTS%202000-1\Kcf%20MARCH%20%20reporting%20.xls" TargetMode="External"/></Relationships>
</file>

<file path=xl/externalLinks/_rels/externalLink10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cl-my.sharepoint.com/personal/pimchanat_w_the-ascott_com/Documents/Documents/_Pimchanat/LS8/LS8%20APR%2026%20End/LS8%20Monthly%20Review%20%20-%20Working%20Sheet%20Apr%202026.xlsx" TargetMode="External"/><Relationship Id="rId1" Type="http://schemas.openxmlformats.org/officeDocument/2006/relationships/externalLinkPath" Target="https://cl-my.sharepoint.com/personal/pimchanat_w_the-ascott_com/Documents/Documents/_Pimchanat/LS8/LS8%20APR%2026%20End/LS8%20Monthly%20Review%20%20-%20Working%20Sheet%20Apr%20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come"/>
      <sheetName val="Core"/>
      <sheetName val="Sheet1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come"/>
      <sheetName val="Core"/>
      <sheetName val="Sheet1"/>
      <sheetName val="Info"/>
      <sheetName val="Input Section"/>
      <sheetName val="Daily Handover"/>
      <sheetName val="DEDE98"/>
      <sheetName val="Submit 2018 (2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lance sheet"/>
      <sheetName val="TB"/>
      <sheetName val="MMMR"/>
      <sheetName val="NHOSPL"/>
      <sheetName val="TB (2)"/>
      <sheetName val="Deve Cost"/>
      <sheetName val="SIM"/>
      <sheetName val="Adjustment Entries"/>
      <sheetName val="Sheet13"/>
      <sheetName val="Sheet14"/>
      <sheetName val="Sheet15"/>
      <sheetName val="2009 Bgt"/>
      <sheetName val="(Dept"/>
      <sheetName val="ROOMS"/>
      <sheetName val="F&amp;B"/>
      <sheetName val="TEL"/>
      <sheetName val="BIZ"/>
      <sheetName val="LDRY"/>
      <sheetName val="R&amp;M"/>
      <sheetName val="S&amp;M"/>
      <sheetName val="ADMIN"/>
      <sheetName val="OTHER"/>
      <sheetName val="OWNER"/>
      <sheetName val="Dept)"/>
      <sheetName val="Sheet1"/>
      <sheetName val="Rev-Overview"/>
      <sheetName val="Rev-Summary"/>
      <sheetName val="Rev-Breakdown"/>
      <sheetName val="HR Info"/>
      <sheetName val="HR Info Details"/>
      <sheetName val="IT"/>
      <sheetName val="Eng Info"/>
      <sheetName val="FFE-Preopening"/>
      <sheetName val="Assumptions"/>
      <sheetName val="Depreciation Schedule"/>
      <sheetName val="POP Exp"/>
      <sheetName val="Performance"/>
      <sheetName val="月設定"/>
      <sheetName val="MTL$-INTER"/>
      <sheetName val="KASUS8"/>
      <sheetName val="KASUS10"/>
      <sheetName val="daf-3(OK)"/>
      <sheetName val="daf-7(OK)"/>
      <sheetName val="bisidev-2"/>
      <sheetName val="Reference List-Account Type "/>
      <sheetName val="Petty Cash"/>
      <sheetName val="Setup"/>
      <sheetName val="HSP(Perhitungan)"/>
      <sheetName val="harsat"/>
      <sheetName val="SE-C"/>
      <sheetName val="Kurs"/>
      <sheetName val="boq"/>
      <sheetName val="STR"/>
      <sheetName val="luar"/>
      <sheetName val="RINC hotel"/>
      <sheetName val="RINC FIN T4 "/>
      <sheetName val="RINC FIN T4  _3_"/>
      <sheetName val="RINC FIN T4  _2_"/>
      <sheetName val="k341k612"/>
      <sheetName val="WS"/>
      <sheetName val="Control_Vendor"/>
      <sheetName val="analisa"/>
      <sheetName val="bahan"/>
      <sheetName val="J"/>
      <sheetName val="Ven"/>
      <sheetName val="Material"/>
      <sheetName val="Upah"/>
      <sheetName val="rumus"/>
      <sheetName val="Sheet1 (2)"/>
      <sheetName val="Breakeven Analysis"/>
      <sheetName val="FOR APPROVAL"/>
      <sheetName val="LAND VALUE"/>
      <sheetName val="PBC - PHS"/>
      <sheetName val="Sheet2"/>
      <sheetName val="adj#5-b-2筛选底稿"/>
      <sheetName val="adj10#-b"/>
      <sheetName val="Balance_sheet"/>
      <sheetName val="TB_(2)"/>
      <sheetName val="Deve_Cost"/>
      <sheetName val="Adjustment_Entries"/>
      <sheetName val="2009_Bgt"/>
      <sheetName val="HR_Info"/>
      <sheetName val="HR_Info_Details"/>
      <sheetName val="Eng_Info"/>
      <sheetName val="Depreciation_Schedule"/>
      <sheetName val="POP_Exp"/>
      <sheetName val="Petty_Cash"/>
      <sheetName val="Reference_List-Account_Type_"/>
      <sheetName val="Cognos"/>
      <sheetName val="Settings"/>
      <sheetName val="Cashflow"/>
      <sheetName val="PRC PL"/>
      <sheetName val="LAT"/>
      <sheetName val="Check"/>
      <sheetName val="Allocation"/>
      <sheetName val="HR"/>
      <sheetName val="Sales"/>
      <sheetName val="Settlement"/>
      <sheetName val="K1-4-4"/>
      <sheetName val="master"/>
      <sheetName val="Accounts"/>
      <sheetName val="BudgetOR"/>
      <sheetName val="说明"/>
      <sheetName val="Sandi laba rugi"/>
      <sheetName val="Harga Satuan"/>
      <sheetName val="BQ-E20-02(Rp)"/>
      <sheetName val="AHS"/>
      <sheetName val="HARGA ALAT"/>
      <sheetName val="ANAM"/>
      <sheetName val="DCF"/>
      <sheetName val="MAPP"/>
      <sheetName val="rek det 1-3"/>
      <sheetName val="Actuals By AFE"/>
      <sheetName val="Input Variables"/>
      <sheetName val="Generation &amp; Fuel"/>
      <sheetName val="Projects"/>
      <sheetName val="JOB_Terms"/>
      <sheetName val="Assumption"/>
      <sheetName val="Dept"/>
      <sheetName val="UPH,BHN,ALT"/>
      <sheetName val="Analis harga"/>
      <sheetName val="BOOKING FORM"/>
      <sheetName val="Balance_sheet1"/>
      <sheetName val="TB_(2)1"/>
      <sheetName val="Deve_Cost1"/>
      <sheetName val="Adjustment_Entries1"/>
      <sheetName val="2009_Bgt1"/>
      <sheetName val="HR_Info1"/>
      <sheetName val="HR_Info_Details1"/>
      <sheetName val="Eng_Info1"/>
      <sheetName val="Depreciation_Schedule1"/>
      <sheetName val="POP_Exp1"/>
      <sheetName val="Reference_List-Account_Type_1"/>
      <sheetName val="Petty_Cash1"/>
      <sheetName val="RINC_hotel"/>
      <sheetName val="RINC_FIN_T4_"/>
      <sheetName val="RINC_FIN_T4___3_"/>
      <sheetName val="RINC_FIN_T4___2_"/>
      <sheetName val="Sheet1_(2)"/>
      <sheetName val="FOR_APPROVAL"/>
      <sheetName val="LAND_VALUE"/>
      <sheetName val="PBC_-_PHS"/>
      <sheetName val="Breakeven_Analysis"/>
      <sheetName val="PRC_PL"/>
      <sheetName val="AGTable"/>
      <sheetName val="Parameters"/>
      <sheetName val="KitchenTable"/>
      <sheetName val="Pay Schedule"/>
      <sheetName val="Rooms Table"/>
      <sheetName val="SalesTable"/>
      <sheetName val="Structure Sensitivity"/>
      <sheetName val="Old"/>
      <sheetName val="Control"/>
      <sheetName val="Operating Assumptions"/>
      <sheetName val="科目余额表"/>
      <sheetName val="科目余额表(原稿)"/>
      <sheetName val="CompanyData"/>
      <sheetName val="管理费用表"/>
      <sheetName val="Journal Listing"/>
      <sheetName val="Aging Datasheet"/>
      <sheetName val="General "/>
      <sheetName val="sel"/>
      <sheetName val="adm"/>
      <sheetName val="MovingintoHotel"/>
      <sheetName val="RecipeTest"/>
      <sheetName val="Operational Forms"/>
      <sheetName val="SpaTable"/>
      <sheetName val="Orientation"/>
      <sheetName val="Office Expense"/>
      <sheetName val="Ppty 1 - Analysis-2"/>
      <sheetName val="Cashflow(Scenario)"/>
      <sheetName val="Expense Summary"/>
      <sheetName val="Sum"/>
      <sheetName val="APT"/>
      <sheetName val="營業額"/>
      <sheetName val="銷貨成本明細"/>
      <sheetName val="Ranges1"/>
      <sheetName val="Appx B"/>
      <sheetName val="gl"/>
      <sheetName val="General"/>
      <sheetName val="Balance_sheet2"/>
      <sheetName val="TB_(2)2"/>
      <sheetName val="Deve_Cost2"/>
      <sheetName val="Adjustment_Entries2"/>
      <sheetName val="2009_Bgt2"/>
      <sheetName val="HR_Info2"/>
      <sheetName val="HR_Info_Details2"/>
      <sheetName val="Eng_Info2"/>
      <sheetName val="Depreciation_Schedule2"/>
      <sheetName val="POP_Exp2"/>
      <sheetName val="Reference_List-Account_Type_2"/>
      <sheetName val="Petty_Cash2"/>
      <sheetName val="RINC_hotel1"/>
      <sheetName val="RINC_FIN_T4_1"/>
      <sheetName val="RINC_FIN_T4___3_1"/>
      <sheetName val="RINC_FIN_T4___2_1"/>
      <sheetName val="Sheet1_(2)1"/>
      <sheetName val="FOR_APPROVAL1"/>
      <sheetName val="LAND_VALUE1"/>
      <sheetName val="PBC_-_PHS1"/>
      <sheetName val="Breakeven_Analysis1"/>
      <sheetName val="PRC_PL1"/>
      <sheetName val="Sandi_laba_rugi"/>
      <sheetName val="Harga_Satuan"/>
      <sheetName val="HARGA_ALAT"/>
      <sheetName val="rek_det_1-3"/>
      <sheetName val="Actuals_By_AFE"/>
      <sheetName val="Input_Variables"/>
      <sheetName val="Generation_&amp;_Fuel"/>
      <sheetName val="Analis_harga"/>
      <sheetName val="BOOKING_FORM"/>
      <sheetName val="Pay_Schedule"/>
      <sheetName val="Rooms_Table"/>
      <sheetName val="Structure_Sensitivity"/>
      <sheetName val="Operating_Assumptions"/>
      <sheetName val="Journal_Listing"/>
      <sheetName val="Aging_Datasheet"/>
      <sheetName val="General_"/>
      <sheetName val="Operational_Forms"/>
      <sheetName val="Office_Expense"/>
      <sheetName val="Ppty_1_-_Analysis-2"/>
      <sheetName val="Expense_Summary"/>
      <sheetName val="BII 2007"/>
      <sheetName val="Appx_B"/>
      <sheetName val="Ppty 1 - Analysis-1"/>
      <sheetName val="C"/>
      <sheetName val="Xaxis"/>
      <sheetName val="B"/>
      <sheetName val="A"/>
      <sheetName val="detail"/>
      <sheetName val="Input"/>
      <sheetName val="CFA"/>
      <sheetName val="Sales for 2001"/>
      <sheetName val="Cover"/>
      <sheetName val="U102"/>
      <sheetName val="accode"/>
      <sheetName val="Trial Balance"/>
      <sheetName val="Macro 1"/>
      <sheetName val="marco"/>
      <sheetName val="20220531_PYA"/>
      <sheetName val="20220630_PYA"/>
      <sheetName val="May 1999"/>
      <sheetName val="1-定期年金（十年期）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 refreshError="1"/>
      <sheetData sheetId="223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POV Master"/>
      <sheetName val="Room&amp;Booking (2)"/>
      <sheetName val="Instruction"/>
      <sheetName val="Instruction Q3"/>
      <sheetName val="POV"/>
      <sheetName val="Performance"/>
      <sheetName val="Q Inititative"/>
      <sheetName val="Summary"/>
      <sheetName val="Summary (month)"/>
      <sheetName val="Var by Q"/>
      <sheetName val="Var by Q (2)"/>
      <sheetName val="Rooms"/>
      <sheetName val="Residential"/>
      <sheetName val="Key S&amp;M"/>
      <sheetName val="Occ&amp;ADR Trend"/>
      <sheetName val="GOR&amp;GOP Trend"/>
      <sheetName val="Mkt Mix YTD"/>
      <sheetName val="Mkt Mix Q"/>
      <sheetName val="WS"/>
      <sheetName val="Room&amp;Booking"/>
      <sheetName val="Rooms Obj Q"/>
      <sheetName val="Rooms Obj FY"/>
      <sheetName val="Guest Experience"/>
      <sheetName val="Geo Mix Feeder YTD"/>
      <sheetName val="Geo Mix Feeder FY"/>
      <sheetName val="Comp Set"/>
      <sheetName val="F&amp;B"/>
      <sheetName val="FB_Sum"/>
      <sheetName val="F&amp;B Strategy"/>
      <sheetName val="SPA"/>
      <sheetName val="Gaming"/>
      <sheetName val="OOD"/>
      <sheetName val="Misc income"/>
      <sheetName val="OH"/>
      <sheetName val="OH (2)"/>
      <sheetName val="HR Resourcing"/>
      <sheetName val="HR Measures"/>
      <sheetName val="BS"/>
      <sheetName val="CF"/>
      <sheetName val="Capex"/>
      <sheetName val="OTB"/>
      <sheetName val="OTBSegment"/>
      <sheetName val="Forecast(by Q)"/>
      <sheetName val="FY Forecast"/>
      <sheetName val="Canteen Laundry"/>
    </sheetNames>
    <sheetDataSet>
      <sheetData sheetId="0">
        <row r="2">
          <cell r="O2">
            <v>2</v>
          </cell>
        </row>
        <row r="3">
          <cell r="L3">
            <v>2015</v>
          </cell>
          <cell r="N3" t="str">
            <v>Jan</v>
          </cell>
          <cell r="Q3" t="str">
            <v>FC01</v>
          </cell>
          <cell r="T3" t="str">
            <v>Month End</v>
          </cell>
          <cell r="Y3" t="str">
            <v>Anantara</v>
          </cell>
        </row>
        <row r="4">
          <cell r="L4">
            <v>2016</v>
          </cell>
          <cell r="N4" t="str">
            <v>Feb</v>
          </cell>
          <cell r="Q4" t="str">
            <v>FC02</v>
          </cell>
          <cell r="T4" t="str">
            <v>25th</v>
          </cell>
          <cell r="Y4" t="str">
            <v>Avani</v>
          </cell>
        </row>
        <row r="5">
          <cell r="L5">
            <v>2017</v>
          </cell>
          <cell r="N5" t="str">
            <v>Mar</v>
          </cell>
          <cell r="Q5" t="str">
            <v>FC03</v>
          </cell>
          <cell r="Y5" t="str">
            <v>Tivoli</v>
          </cell>
        </row>
        <row r="6">
          <cell r="L6">
            <v>2018</v>
          </cell>
          <cell r="N6" t="str">
            <v>Apr</v>
          </cell>
          <cell r="Q6" t="str">
            <v>FC04</v>
          </cell>
          <cell r="Y6" t="str">
            <v>Oaks</v>
          </cell>
        </row>
        <row r="7">
          <cell r="L7">
            <v>2019</v>
          </cell>
          <cell r="N7" t="str">
            <v>May</v>
          </cell>
          <cell r="Q7" t="str">
            <v>FC05</v>
          </cell>
          <cell r="Y7" t="str">
            <v>Marriott</v>
          </cell>
        </row>
        <row r="8">
          <cell r="L8">
            <v>2020</v>
          </cell>
          <cell r="N8" t="str">
            <v>Jun</v>
          </cell>
          <cell r="Q8" t="str">
            <v>FC06</v>
          </cell>
          <cell r="Y8" t="str">
            <v>Fourseasons</v>
          </cell>
        </row>
        <row r="9">
          <cell r="L9">
            <v>2021</v>
          </cell>
          <cell r="N9" t="str">
            <v>Jul</v>
          </cell>
          <cell r="Q9" t="str">
            <v>FC07</v>
          </cell>
          <cell r="Y9" t="str">
            <v>Other</v>
          </cell>
        </row>
        <row r="10">
          <cell r="L10">
            <v>2022</v>
          </cell>
          <cell r="N10" t="str">
            <v>Aug</v>
          </cell>
          <cell r="Q10" t="str">
            <v>FC08</v>
          </cell>
          <cell r="Y10" t="str">
            <v>AVC</v>
          </cell>
        </row>
        <row r="11">
          <cell r="L11">
            <v>2023</v>
          </cell>
          <cell r="N11" t="str">
            <v>Sep</v>
          </cell>
          <cell r="Q11" t="str">
            <v>FC09</v>
          </cell>
        </row>
        <row r="12">
          <cell r="L12">
            <v>2024</v>
          </cell>
          <cell r="N12" t="str">
            <v>Oct</v>
          </cell>
          <cell r="Q12" t="str">
            <v>FC10</v>
          </cell>
        </row>
        <row r="13">
          <cell r="L13">
            <v>2025</v>
          </cell>
          <cell r="N13" t="str">
            <v>Nov</v>
          </cell>
          <cell r="Q13" t="str">
            <v>FC11</v>
          </cell>
        </row>
        <row r="14">
          <cell r="L14">
            <v>2026</v>
          </cell>
          <cell r="N14" t="str">
            <v>Dec</v>
          </cell>
          <cell r="Q14" t="str">
            <v>FC12</v>
          </cell>
        </row>
        <row r="15">
          <cell r="L15">
            <v>2027</v>
          </cell>
        </row>
        <row r="16">
          <cell r="L16">
            <v>2028</v>
          </cell>
        </row>
        <row r="17">
          <cell r="L17">
            <v>2029</v>
          </cell>
        </row>
        <row r="18">
          <cell r="L18">
            <v>2030</v>
          </cell>
        </row>
        <row r="19">
          <cell r="L19">
            <v>2031</v>
          </cell>
        </row>
        <row r="20">
          <cell r="L20">
            <v>2032</v>
          </cell>
        </row>
        <row r="21">
          <cell r="L21">
            <v>2033</v>
          </cell>
        </row>
        <row r="22">
          <cell r="L22">
            <v>2034</v>
          </cell>
        </row>
        <row r="23">
          <cell r="L23">
            <v>2035</v>
          </cell>
        </row>
        <row r="24">
          <cell r="L24">
            <v>2036</v>
          </cell>
        </row>
        <row r="25">
          <cell r="L25">
            <v>2037</v>
          </cell>
        </row>
        <row r="26">
          <cell r="L26">
            <v>2038</v>
          </cell>
        </row>
        <row r="27">
          <cell r="L27">
            <v>2039</v>
          </cell>
        </row>
        <row r="28">
          <cell r="L28">
            <v>2040</v>
          </cell>
        </row>
      </sheetData>
      <sheetData sheetId="1"/>
      <sheetData sheetId="2"/>
      <sheetData sheetId="3"/>
      <sheetData sheetId="4">
        <row r="19">
          <cell r="E19">
            <v>2019</v>
          </cell>
          <cell r="K19" t="str">
            <v>BG_Final</v>
          </cell>
        </row>
        <row r="21">
          <cell r="E21" t="str">
            <v>Feb</v>
          </cell>
          <cell r="K21" t="str">
            <v>FC02</v>
          </cell>
        </row>
        <row r="23">
          <cell r="E23" t="str">
            <v>Month End</v>
          </cell>
          <cell r="K23" t="str">
            <v>Q review</v>
          </cell>
        </row>
        <row r="25">
          <cell r="E25" t="str">
            <v>Q1</v>
          </cell>
        </row>
        <row r="31">
          <cell r="E31" t="str">
            <v>MHG</v>
          </cell>
        </row>
        <row r="34">
          <cell r="E34" t="str">
            <v>VATR</v>
          </cell>
          <cell r="K34" t="str">
            <v>Custom1_TOP</v>
          </cell>
        </row>
        <row r="37">
          <cell r="E37" t="str">
            <v>BG_Final</v>
          </cell>
        </row>
        <row r="38">
          <cell r="K38" t="str">
            <v>Custom5_TOP</v>
          </cell>
        </row>
        <row r="39">
          <cell r="E39" t="str">
            <v>&lt;Entity Currency&gt;</v>
          </cell>
          <cell r="K39" t="str">
            <v>Custom6_TOP</v>
          </cell>
        </row>
        <row r="40">
          <cell r="K40" t="str">
            <v>Custom7_TOP</v>
          </cell>
        </row>
        <row r="41">
          <cell r="E41" t="str">
            <v>[ICP TOP]</v>
          </cell>
          <cell r="K41" t="str">
            <v>Custom8_TOP</v>
          </cell>
        </row>
        <row r="42">
          <cell r="E42">
            <v>1000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ex"/>
      <sheetName val="Jan"/>
      <sheetName val="Feb"/>
      <sheetName val="Mar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Summary"/>
      <sheetName val="FC-ACT"/>
      <sheetName val="LY"/>
      <sheetName val="BUD"/>
      <sheetName val="Var."/>
      <sheetName val="Occ"/>
      <sheetName val="RawData"/>
      <sheetName val="TY"/>
      <sheetName val="FC"/>
      <sheetName val="LY2"/>
      <sheetName val="LYBUD"/>
      <sheetName val="LYBUD2"/>
      <sheetName val="BUD2"/>
      <sheetName val="Mix"/>
      <sheetName val="Setup"/>
      <sheetName val="BI"/>
      <sheetName val="Guide"/>
      <sheetName val="Sharepoint Templat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>
        <row r="20">
          <cell r="J20" t="str">
            <v>Best Flexible Rate</v>
          </cell>
          <cell r="K20" t="str">
            <v>Public Discount</v>
          </cell>
          <cell r="L20" t="str">
            <v>Corporate Discount</v>
          </cell>
          <cell r="M20" t="str">
            <v>Partnership Discount</v>
          </cell>
          <cell r="N20" t="str">
            <v>Ascott Star Rewards</v>
          </cell>
          <cell r="O20" t="str">
            <v>Work Space</v>
          </cell>
          <cell r="P20" t="str">
            <v>Employee Travel</v>
          </cell>
          <cell r="Q20" t="str">
            <v>Corporate Contract (below 1 mth)</v>
          </cell>
          <cell r="R20" t="str">
            <v>Monthly Contract (1 to 6 mth)</v>
          </cell>
          <cell r="S20" t="str">
            <v>Long Term Contract (above 6 mth)</v>
          </cell>
          <cell r="T20" t="str">
            <v>Wholesale</v>
          </cell>
          <cell r="U20" t="str">
            <v>Corporate Group (below 1 mth)</v>
          </cell>
          <cell r="V20" t="str">
            <v>Corp Monthly Group (above 1 mth)</v>
          </cell>
          <cell r="W20" t="str">
            <v>Leisure Group</v>
          </cell>
          <cell r="X20" t="str">
            <v>Airline Crew Group</v>
          </cell>
          <cell r="Y20" t="str">
            <v>System Use</v>
          </cell>
          <cell r="Z20" t="str">
            <v>Complimentary</v>
          </cell>
          <cell r="AA20" t="str">
            <v>House Use</v>
          </cell>
          <cell r="AB20" t="str">
            <v>Best Flexible Rate</v>
          </cell>
          <cell r="AC20" t="str">
            <v>Public Discount</v>
          </cell>
          <cell r="AD20" t="str">
            <v>Corporate Discount</v>
          </cell>
          <cell r="AE20" t="str">
            <v>Partnership Discount</v>
          </cell>
          <cell r="AF20" t="str">
            <v>Ascott Star Rewards</v>
          </cell>
          <cell r="AG20" t="str">
            <v>Work Space</v>
          </cell>
          <cell r="AH20" t="str">
            <v>Employee Travel</v>
          </cell>
          <cell r="AI20" t="str">
            <v>Corporate Contract (below 1 mth)</v>
          </cell>
          <cell r="AJ20" t="str">
            <v>Monthly Contract (1 to 6 mth)</v>
          </cell>
          <cell r="AK20" t="str">
            <v>Long Term Contract (above 6 mth)</v>
          </cell>
          <cell r="AL20" t="str">
            <v>Wholesale</v>
          </cell>
          <cell r="AM20" t="str">
            <v>Corporate Group (below 1 mth)</v>
          </cell>
          <cell r="AN20" t="str">
            <v>Corp Monthly Group (above 1 mth)</v>
          </cell>
          <cell r="AO20" t="str">
            <v>Leisure Group</v>
          </cell>
          <cell r="AP20" t="str">
            <v>Airline Crew Group</v>
          </cell>
          <cell r="AR20" t="str">
            <v>System Use</v>
          </cell>
          <cell r="AS20" t="str">
            <v>Complimentary</v>
          </cell>
          <cell r="AT20" t="str">
            <v>House Use</v>
          </cell>
        </row>
        <row r="22">
          <cell r="G22">
            <v>44562</v>
          </cell>
          <cell r="J22">
            <v>1</v>
          </cell>
          <cell r="K22">
            <v>30</v>
          </cell>
          <cell r="L22">
            <v>0</v>
          </cell>
          <cell r="M22">
            <v>0</v>
          </cell>
          <cell r="N22">
            <v>8</v>
          </cell>
          <cell r="O22">
            <v>0</v>
          </cell>
          <cell r="P22">
            <v>0</v>
          </cell>
          <cell r="Q22">
            <v>10</v>
          </cell>
          <cell r="R22">
            <v>13</v>
          </cell>
          <cell r="S22">
            <v>0</v>
          </cell>
          <cell r="T22">
            <v>0</v>
          </cell>
          <cell r="U22">
            <v>2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5</v>
          </cell>
          <cell r="AB22">
            <v>8300</v>
          </cell>
          <cell r="AC22">
            <v>132733.64000000001</v>
          </cell>
          <cell r="AD22">
            <v>0</v>
          </cell>
          <cell r="AE22">
            <v>0</v>
          </cell>
          <cell r="AF22">
            <v>27235</v>
          </cell>
          <cell r="AG22">
            <v>0</v>
          </cell>
          <cell r="AH22">
            <v>0</v>
          </cell>
          <cell r="AI22">
            <v>28564.28</v>
          </cell>
          <cell r="AJ22">
            <v>49278.82</v>
          </cell>
          <cell r="AK22">
            <v>0</v>
          </cell>
          <cell r="AL22">
            <v>0</v>
          </cell>
          <cell r="AM22">
            <v>5000</v>
          </cell>
          <cell r="AN22">
            <v>0</v>
          </cell>
          <cell r="AO22">
            <v>0</v>
          </cell>
          <cell r="AP22">
            <v>0</v>
          </cell>
          <cell r="AR22">
            <v>0</v>
          </cell>
          <cell r="AS22">
            <v>0</v>
          </cell>
          <cell r="AT22">
            <v>0</v>
          </cell>
        </row>
        <row r="23">
          <cell r="G23">
            <v>44563</v>
          </cell>
          <cell r="J23">
            <v>2</v>
          </cell>
          <cell r="K23">
            <v>14</v>
          </cell>
          <cell r="L23">
            <v>0</v>
          </cell>
          <cell r="M23">
            <v>0</v>
          </cell>
          <cell r="N23">
            <v>1</v>
          </cell>
          <cell r="O23">
            <v>0</v>
          </cell>
          <cell r="P23">
            <v>0</v>
          </cell>
          <cell r="Q23">
            <v>8</v>
          </cell>
          <cell r="R23">
            <v>10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  <cell r="AA23">
            <v>5</v>
          </cell>
          <cell r="AB23">
            <v>16600</v>
          </cell>
          <cell r="AC23">
            <v>62212.52</v>
          </cell>
          <cell r="AD23">
            <v>0</v>
          </cell>
          <cell r="AE23">
            <v>0</v>
          </cell>
          <cell r="AF23">
            <v>8385</v>
          </cell>
          <cell r="AG23">
            <v>0</v>
          </cell>
          <cell r="AH23">
            <v>0</v>
          </cell>
          <cell r="AI23">
            <v>23564.28</v>
          </cell>
          <cell r="AJ23">
            <v>37814.54</v>
          </cell>
          <cell r="AK23">
            <v>0</v>
          </cell>
          <cell r="AL23">
            <v>0</v>
          </cell>
          <cell r="AM23">
            <v>0</v>
          </cell>
          <cell r="AN23">
            <v>0</v>
          </cell>
          <cell r="AO23">
            <v>0</v>
          </cell>
          <cell r="AP23">
            <v>0</v>
          </cell>
          <cell r="AR23">
            <v>0</v>
          </cell>
          <cell r="AS23">
            <v>0</v>
          </cell>
          <cell r="AT23">
            <v>0</v>
          </cell>
        </row>
        <row r="24">
          <cell r="G24">
            <v>44564</v>
          </cell>
          <cell r="J24">
            <v>0</v>
          </cell>
          <cell r="K24">
            <v>11</v>
          </cell>
          <cell r="L24">
            <v>0</v>
          </cell>
          <cell r="M24">
            <v>0</v>
          </cell>
          <cell r="N24">
            <v>3</v>
          </cell>
          <cell r="O24">
            <v>0</v>
          </cell>
          <cell r="P24">
            <v>0</v>
          </cell>
          <cell r="Q24">
            <v>9</v>
          </cell>
          <cell r="R24">
            <v>8</v>
          </cell>
          <cell r="S24">
            <v>0</v>
          </cell>
          <cell r="T24">
            <v>0</v>
          </cell>
          <cell r="U24">
            <v>16</v>
          </cell>
          <cell r="V24">
            <v>0</v>
          </cell>
          <cell r="W24">
            <v>0</v>
          </cell>
          <cell r="X24">
            <v>0</v>
          </cell>
          <cell r="Y24">
            <v>0</v>
          </cell>
          <cell r="Z24">
            <v>0</v>
          </cell>
          <cell r="AA24">
            <v>5</v>
          </cell>
          <cell r="AB24">
            <v>0</v>
          </cell>
          <cell r="AC24">
            <v>42366.9</v>
          </cell>
          <cell r="AD24">
            <v>0</v>
          </cell>
          <cell r="AE24">
            <v>0</v>
          </cell>
          <cell r="AF24">
            <v>8970</v>
          </cell>
          <cell r="AG24">
            <v>0</v>
          </cell>
          <cell r="AH24">
            <v>0</v>
          </cell>
          <cell r="AI24">
            <v>23628.28</v>
          </cell>
          <cell r="AJ24">
            <v>27558.54</v>
          </cell>
          <cell r="AK24">
            <v>0</v>
          </cell>
          <cell r="AL24">
            <v>0</v>
          </cell>
          <cell r="AM24">
            <v>56000</v>
          </cell>
          <cell r="AN24">
            <v>0</v>
          </cell>
          <cell r="AO24">
            <v>0</v>
          </cell>
          <cell r="AP24">
            <v>0</v>
          </cell>
          <cell r="AR24">
            <v>0</v>
          </cell>
          <cell r="AS24">
            <v>0</v>
          </cell>
          <cell r="AT24">
            <v>0</v>
          </cell>
        </row>
        <row r="25">
          <cell r="G25">
            <v>44565</v>
          </cell>
          <cell r="J25">
            <v>2</v>
          </cell>
          <cell r="K25">
            <v>11</v>
          </cell>
          <cell r="L25">
            <v>0</v>
          </cell>
          <cell r="M25">
            <v>0</v>
          </cell>
          <cell r="N25">
            <v>5</v>
          </cell>
          <cell r="O25">
            <v>0</v>
          </cell>
          <cell r="P25">
            <v>0</v>
          </cell>
          <cell r="Q25">
            <v>10</v>
          </cell>
          <cell r="R25">
            <v>8</v>
          </cell>
          <cell r="S25">
            <v>0</v>
          </cell>
          <cell r="T25">
            <v>0</v>
          </cell>
          <cell r="U25">
            <v>16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  <cell r="Z25">
            <v>0</v>
          </cell>
          <cell r="AA25">
            <v>5</v>
          </cell>
          <cell r="AB25">
            <v>7200</v>
          </cell>
          <cell r="AC25">
            <v>50067.17</v>
          </cell>
          <cell r="AD25">
            <v>0</v>
          </cell>
          <cell r="AE25">
            <v>0</v>
          </cell>
          <cell r="AF25">
            <v>15600</v>
          </cell>
          <cell r="AG25">
            <v>0</v>
          </cell>
          <cell r="AH25">
            <v>0</v>
          </cell>
          <cell r="AI25">
            <v>28012.35</v>
          </cell>
          <cell r="AJ25">
            <v>27558.54</v>
          </cell>
          <cell r="AK25">
            <v>0</v>
          </cell>
          <cell r="AL25">
            <v>0</v>
          </cell>
          <cell r="AM25">
            <v>56000</v>
          </cell>
          <cell r="AN25">
            <v>0</v>
          </cell>
          <cell r="AO25">
            <v>0</v>
          </cell>
          <cell r="AP25">
            <v>0</v>
          </cell>
          <cell r="AR25">
            <v>0</v>
          </cell>
          <cell r="AS25">
            <v>0</v>
          </cell>
          <cell r="AT25">
            <v>0</v>
          </cell>
        </row>
        <row r="26">
          <cell r="G26">
            <v>44566</v>
          </cell>
          <cell r="J26">
            <v>1</v>
          </cell>
          <cell r="K26">
            <v>18</v>
          </cell>
          <cell r="L26">
            <v>0</v>
          </cell>
          <cell r="M26">
            <v>0</v>
          </cell>
          <cell r="N26">
            <v>2</v>
          </cell>
          <cell r="O26">
            <v>0</v>
          </cell>
          <cell r="P26">
            <v>0</v>
          </cell>
          <cell r="Q26">
            <v>10</v>
          </cell>
          <cell r="R26">
            <v>8</v>
          </cell>
          <cell r="S26">
            <v>0</v>
          </cell>
          <cell r="T26">
            <v>0</v>
          </cell>
          <cell r="U26">
            <v>16</v>
          </cell>
          <cell r="V26">
            <v>0</v>
          </cell>
          <cell r="W26">
            <v>0</v>
          </cell>
          <cell r="X26">
            <v>0</v>
          </cell>
          <cell r="Y26">
            <v>0</v>
          </cell>
          <cell r="Z26">
            <v>0</v>
          </cell>
          <cell r="AA26">
            <v>5</v>
          </cell>
          <cell r="AB26">
            <v>3600</v>
          </cell>
          <cell r="AC26">
            <v>77023.58</v>
          </cell>
          <cell r="AD26">
            <v>0</v>
          </cell>
          <cell r="AE26">
            <v>0</v>
          </cell>
          <cell r="AF26">
            <v>9360.0499999999993</v>
          </cell>
          <cell r="AG26">
            <v>0</v>
          </cell>
          <cell r="AH26">
            <v>0</v>
          </cell>
          <cell r="AI26">
            <v>29437.14</v>
          </cell>
          <cell r="AJ26">
            <v>27558.54</v>
          </cell>
          <cell r="AK26">
            <v>0</v>
          </cell>
          <cell r="AL26">
            <v>0</v>
          </cell>
          <cell r="AM26">
            <v>56000</v>
          </cell>
          <cell r="AN26">
            <v>0</v>
          </cell>
          <cell r="AO26">
            <v>0</v>
          </cell>
          <cell r="AP26">
            <v>0</v>
          </cell>
          <cell r="AR26">
            <v>0</v>
          </cell>
          <cell r="AS26">
            <v>0</v>
          </cell>
          <cell r="AT26">
            <v>0</v>
          </cell>
        </row>
        <row r="27">
          <cell r="G27">
            <v>44567</v>
          </cell>
          <cell r="J27">
            <v>2</v>
          </cell>
          <cell r="K27">
            <v>32</v>
          </cell>
          <cell r="L27">
            <v>0</v>
          </cell>
          <cell r="M27">
            <v>0</v>
          </cell>
          <cell r="N27">
            <v>4</v>
          </cell>
          <cell r="O27">
            <v>0</v>
          </cell>
          <cell r="P27">
            <v>0</v>
          </cell>
          <cell r="Q27">
            <v>11</v>
          </cell>
          <cell r="R27">
            <v>8</v>
          </cell>
          <cell r="S27">
            <v>0</v>
          </cell>
          <cell r="T27">
            <v>0</v>
          </cell>
          <cell r="U27">
            <v>16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  <cell r="AA27">
            <v>2</v>
          </cell>
          <cell r="AB27">
            <v>10400</v>
          </cell>
          <cell r="AC27">
            <v>86899.73</v>
          </cell>
          <cell r="AD27">
            <v>0</v>
          </cell>
          <cell r="AE27">
            <v>0</v>
          </cell>
          <cell r="AF27">
            <v>6375</v>
          </cell>
          <cell r="AG27">
            <v>0</v>
          </cell>
          <cell r="AH27">
            <v>0</v>
          </cell>
          <cell r="AI27">
            <v>32589</v>
          </cell>
          <cell r="AJ27">
            <v>27558.54</v>
          </cell>
          <cell r="AK27">
            <v>0</v>
          </cell>
          <cell r="AL27">
            <v>0</v>
          </cell>
          <cell r="AM27">
            <v>56000</v>
          </cell>
          <cell r="AN27">
            <v>0</v>
          </cell>
          <cell r="AO27">
            <v>0</v>
          </cell>
          <cell r="AP27">
            <v>0</v>
          </cell>
          <cell r="AR27">
            <v>0</v>
          </cell>
          <cell r="AS27">
            <v>0</v>
          </cell>
          <cell r="AT27">
            <v>0</v>
          </cell>
        </row>
        <row r="28">
          <cell r="G28">
            <v>44568</v>
          </cell>
          <cell r="J28">
            <v>1</v>
          </cell>
          <cell r="K28">
            <v>35</v>
          </cell>
          <cell r="L28">
            <v>0</v>
          </cell>
          <cell r="M28">
            <v>0</v>
          </cell>
          <cell r="N28">
            <v>7</v>
          </cell>
          <cell r="O28">
            <v>0</v>
          </cell>
          <cell r="P28">
            <v>1</v>
          </cell>
          <cell r="Q28">
            <v>10</v>
          </cell>
          <cell r="R28">
            <v>8</v>
          </cell>
          <cell r="S28">
            <v>0</v>
          </cell>
          <cell r="T28">
            <v>0</v>
          </cell>
          <cell r="U28">
            <v>16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2</v>
          </cell>
          <cell r="AB28">
            <v>5600</v>
          </cell>
          <cell r="AC28">
            <v>98289.27</v>
          </cell>
          <cell r="AD28">
            <v>0</v>
          </cell>
          <cell r="AE28">
            <v>0</v>
          </cell>
          <cell r="AF28">
            <v>13260</v>
          </cell>
          <cell r="AG28">
            <v>0</v>
          </cell>
          <cell r="AH28">
            <v>1463</v>
          </cell>
          <cell r="AI28">
            <v>27821.14</v>
          </cell>
          <cell r="AJ28">
            <v>27558.54</v>
          </cell>
          <cell r="AK28">
            <v>0</v>
          </cell>
          <cell r="AL28">
            <v>0</v>
          </cell>
          <cell r="AM28">
            <v>56000</v>
          </cell>
          <cell r="AN28">
            <v>0</v>
          </cell>
          <cell r="AO28">
            <v>0</v>
          </cell>
          <cell r="AP28">
            <v>0</v>
          </cell>
          <cell r="AR28">
            <v>0</v>
          </cell>
          <cell r="AS28">
            <v>0</v>
          </cell>
          <cell r="AT28">
            <v>0</v>
          </cell>
        </row>
        <row r="29">
          <cell r="G29">
            <v>44569</v>
          </cell>
          <cell r="J29">
            <v>1</v>
          </cell>
          <cell r="K29">
            <v>29</v>
          </cell>
          <cell r="L29">
            <v>0</v>
          </cell>
          <cell r="M29">
            <v>0</v>
          </cell>
          <cell r="N29">
            <v>9</v>
          </cell>
          <cell r="O29">
            <v>0</v>
          </cell>
          <cell r="P29">
            <v>1</v>
          </cell>
          <cell r="Q29">
            <v>12</v>
          </cell>
          <cell r="R29">
            <v>8</v>
          </cell>
          <cell r="S29">
            <v>0</v>
          </cell>
          <cell r="T29">
            <v>0</v>
          </cell>
          <cell r="U29">
            <v>21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2</v>
          </cell>
          <cell r="AB29">
            <v>5600</v>
          </cell>
          <cell r="AC29">
            <v>86301.2</v>
          </cell>
          <cell r="AD29">
            <v>0</v>
          </cell>
          <cell r="AE29">
            <v>0</v>
          </cell>
          <cell r="AF29">
            <v>23224.54</v>
          </cell>
          <cell r="AG29">
            <v>0</v>
          </cell>
          <cell r="AH29">
            <v>1463</v>
          </cell>
          <cell r="AI29">
            <v>35289</v>
          </cell>
          <cell r="AJ29">
            <v>27558.54</v>
          </cell>
          <cell r="AK29">
            <v>0</v>
          </cell>
          <cell r="AL29">
            <v>0</v>
          </cell>
          <cell r="AM29">
            <v>81400</v>
          </cell>
          <cell r="AN29">
            <v>0</v>
          </cell>
          <cell r="AO29">
            <v>0</v>
          </cell>
          <cell r="AP29">
            <v>0</v>
          </cell>
          <cell r="AR29">
            <v>0</v>
          </cell>
          <cell r="AS29">
            <v>0</v>
          </cell>
          <cell r="AT29">
            <v>0</v>
          </cell>
        </row>
        <row r="30">
          <cell r="G30">
            <v>44570</v>
          </cell>
          <cell r="J30">
            <v>0</v>
          </cell>
          <cell r="K30">
            <v>40</v>
          </cell>
          <cell r="L30">
            <v>0</v>
          </cell>
          <cell r="M30">
            <v>0</v>
          </cell>
          <cell r="N30">
            <v>13</v>
          </cell>
          <cell r="O30">
            <v>0</v>
          </cell>
          <cell r="P30">
            <v>1</v>
          </cell>
          <cell r="Q30">
            <v>15</v>
          </cell>
          <cell r="R30">
            <v>8</v>
          </cell>
          <cell r="S30">
            <v>0</v>
          </cell>
          <cell r="T30">
            <v>0</v>
          </cell>
          <cell r="U30">
            <v>21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2</v>
          </cell>
          <cell r="AB30">
            <v>0</v>
          </cell>
          <cell r="AC30">
            <v>123053.62</v>
          </cell>
          <cell r="AD30">
            <v>0</v>
          </cell>
          <cell r="AE30">
            <v>0</v>
          </cell>
          <cell r="AF30">
            <v>27300</v>
          </cell>
          <cell r="AG30">
            <v>2999</v>
          </cell>
          <cell r="AH30">
            <v>1463</v>
          </cell>
          <cell r="AI30">
            <v>49555.96</v>
          </cell>
          <cell r="AJ30">
            <v>27558.54</v>
          </cell>
          <cell r="AK30">
            <v>0</v>
          </cell>
          <cell r="AL30">
            <v>0</v>
          </cell>
          <cell r="AM30">
            <v>83900</v>
          </cell>
          <cell r="AN30">
            <v>0</v>
          </cell>
          <cell r="AO30">
            <v>0</v>
          </cell>
          <cell r="AP30">
            <v>0</v>
          </cell>
          <cell r="AR30">
            <v>0</v>
          </cell>
          <cell r="AS30">
            <v>0</v>
          </cell>
          <cell r="AT30">
            <v>0</v>
          </cell>
        </row>
        <row r="31">
          <cell r="G31">
            <v>44571</v>
          </cell>
          <cell r="J31">
            <v>0</v>
          </cell>
          <cell r="K31">
            <v>30</v>
          </cell>
          <cell r="L31">
            <v>0</v>
          </cell>
          <cell r="M31">
            <v>0</v>
          </cell>
          <cell r="N31">
            <v>11</v>
          </cell>
          <cell r="O31">
            <v>0</v>
          </cell>
          <cell r="P31">
            <v>1</v>
          </cell>
          <cell r="Q31">
            <v>15</v>
          </cell>
          <cell r="R31">
            <v>9</v>
          </cell>
          <cell r="S31">
            <v>0</v>
          </cell>
          <cell r="T31">
            <v>0</v>
          </cell>
          <cell r="U31">
            <v>5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  <cell r="Z31">
            <v>0</v>
          </cell>
          <cell r="AA31">
            <v>2</v>
          </cell>
          <cell r="AB31">
            <v>0</v>
          </cell>
          <cell r="AC31">
            <v>98301.32</v>
          </cell>
          <cell r="AD31">
            <v>0</v>
          </cell>
          <cell r="AE31">
            <v>0</v>
          </cell>
          <cell r="AF31">
            <v>27285</v>
          </cell>
          <cell r="AG31">
            <v>0</v>
          </cell>
          <cell r="AH31">
            <v>1463</v>
          </cell>
          <cell r="AI31">
            <v>47323.82</v>
          </cell>
          <cell r="AJ31">
            <v>30558.54</v>
          </cell>
          <cell r="AK31">
            <v>0</v>
          </cell>
          <cell r="AL31">
            <v>0</v>
          </cell>
          <cell r="AM31">
            <v>41275</v>
          </cell>
          <cell r="AN31">
            <v>0</v>
          </cell>
          <cell r="AO31">
            <v>0</v>
          </cell>
          <cell r="AP31">
            <v>0</v>
          </cell>
          <cell r="AR31">
            <v>0</v>
          </cell>
          <cell r="AS31">
            <v>0</v>
          </cell>
          <cell r="AT31">
            <v>0</v>
          </cell>
        </row>
        <row r="32">
          <cell r="G32">
            <v>44572</v>
          </cell>
          <cell r="J32">
            <v>0</v>
          </cell>
          <cell r="K32">
            <v>31</v>
          </cell>
          <cell r="L32">
            <v>0</v>
          </cell>
          <cell r="M32">
            <v>0</v>
          </cell>
          <cell r="N32">
            <v>5</v>
          </cell>
          <cell r="O32">
            <v>0</v>
          </cell>
          <cell r="P32">
            <v>0</v>
          </cell>
          <cell r="Q32">
            <v>17</v>
          </cell>
          <cell r="R32">
            <v>9</v>
          </cell>
          <cell r="S32">
            <v>0</v>
          </cell>
          <cell r="T32">
            <v>0</v>
          </cell>
          <cell r="U32">
            <v>0</v>
          </cell>
          <cell r="V32">
            <v>0</v>
          </cell>
          <cell r="W32">
            <v>0</v>
          </cell>
          <cell r="X32">
            <v>0</v>
          </cell>
          <cell r="Y32">
            <v>0</v>
          </cell>
          <cell r="Z32">
            <v>0</v>
          </cell>
          <cell r="AA32">
            <v>2</v>
          </cell>
          <cell r="AB32">
            <v>0</v>
          </cell>
          <cell r="AC32">
            <v>88580.85</v>
          </cell>
          <cell r="AD32">
            <v>0</v>
          </cell>
          <cell r="AE32">
            <v>0</v>
          </cell>
          <cell r="AF32">
            <v>12100</v>
          </cell>
          <cell r="AG32">
            <v>5498</v>
          </cell>
          <cell r="AH32">
            <v>0</v>
          </cell>
          <cell r="AI32">
            <v>53323.82</v>
          </cell>
          <cell r="AJ32">
            <v>30558.54</v>
          </cell>
          <cell r="AK32">
            <v>0</v>
          </cell>
          <cell r="AL32">
            <v>0</v>
          </cell>
          <cell r="AM32">
            <v>0</v>
          </cell>
          <cell r="AN32">
            <v>0</v>
          </cell>
          <cell r="AO32">
            <v>0</v>
          </cell>
          <cell r="AP32">
            <v>0</v>
          </cell>
          <cell r="AR32">
            <v>0</v>
          </cell>
          <cell r="AS32">
            <v>0</v>
          </cell>
          <cell r="AT32">
            <v>0</v>
          </cell>
        </row>
        <row r="33">
          <cell r="G33">
            <v>44573</v>
          </cell>
          <cell r="J33">
            <v>0</v>
          </cell>
          <cell r="K33">
            <v>28</v>
          </cell>
          <cell r="L33">
            <v>0</v>
          </cell>
          <cell r="M33">
            <v>0</v>
          </cell>
          <cell r="N33">
            <v>6</v>
          </cell>
          <cell r="O33">
            <v>0</v>
          </cell>
          <cell r="P33">
            <v>0</v>
          </cell>
          <cell r="Q33">
            <v>16</v>
          </cell>
          <cell r="R33">
            <v>9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  <cell r="Z33">
            <v>2</v>
          </cell>
          <cell r="AA33">
            <v>2</v>
          </cell>
          <cell r="AB33">
            <v>0</v>
          </cell>
          <cell r="AC33">
            <v>72923.61</v>
          </cell>
          <cell r="AD33">
            <v>0</v>
          </cell>
          <cell r="AE33">
            <v>0</v>
          </cell>
          <cell r="AF33">
            <v>13924</v>
          </cell>
          <cell r="AG33">
            <v>0</v>
          </cell>
          <cell r="AH33">
            <v>0</v>
          </cell>
          <cell r="AI33">
            <v>51480.959999999999</v>
          </cell>
          <cell r="AJ33">
            <v>30558.54</v>
          </cell>
          <cell r="AK33">
            <v>0</v>
          </cell>
          <cell r="AL33">
            <v>0</v>
          </cell>
          <cell r="AM33">
            <v>0</v>
          </cell>
          <cell r="AN33">
            <v>0</v>
          </cell>
          <cell r="AO33">
            <v>0</v>
          </cell>
          <cell r="AP33">
            <v>0</v>
          </cell>
          <cell r="AR33">
            <v>0</v>
          </cell>
          <cell r="AS33">
            <v>0</v>
          </cell>
          <cell r="AT33">
            <v>0</v>
          </cell>
        </row>
        <row r="34">
          <cell r="G34">
            <v>44574</v>
          </cell>
          <cell r="J34">
            <v>0</v>
          </cell>
          <cell r="K34">
            <v>25</v>
          </cell>
          <cell r="L34">
            <v>0</v>
          </cell>
          <cell r="M34">
            <v>0</v>
          </cell>
          <cell r="N34">
            <v>3</v>
          </cell>
          <cell r="O34">
            <v>0</v>
          </cell>
          <cell r="P34">
            <v>0</v>
          </cell>
          <cell r="Q34">
            <v>14</v>
          </cell>
          <cell r="R34">
            <v>9</v>
          </cell>
          <cell r="S34">
            <v>0</v>
          </cell>
          <cell r="T34">
            <v>0</v>
          </cell>
          <cell r="U34">
            <v>0</v>
          </cell>
          <cell r="V34">
            <v>0</v>
          </cell>
          <cell r="W34">
            <v>0</v>
          </cell>
          <cell r="X34">
            <v>0</v>
          </cell>
          <cell r="Y34">
            <v>0</v>
          </cell>
          <cell r="Z34">
            <v>0</v>
          </cell>
          <cell r="AA34">
            <v>1</v>
          </cell>
          <cell r="AB34">
            <v>0</v>
          </cell>
          <cell r="AC34">
            <v>69489.47</v>
          </cell>
          <cell r="AD34">
            <v>0</v>
          </cell>
          <cell r="AE34">
            <v>0</v>
          </cell>
          <cell r="AF34">
            <v>6050</v>
          </cell>
          <cell r="AG34">
            <v>0</v>
          </cell>
          <cell r="AH34">
            <v>0</v>
          </cell>
          <cell r="AI34">
            <v>48481.86</v>
          </cell>
          <cell r="AJ34">
            <v>30558.54</v>
          </cell>
          <cell r="AK34">
            <v>0</v>
          </cell>
          <cell r="AL34">
            <v>0</v>
          </cell>
          <cell r="AM34">
            <v>0</v>
          </cell>
          <cell r="AN34">
            <v>0</v>
          </cell>
          <cell r="AO34">
            <v>0</v>
          </cell>
          <cell r="AP34">
            <v>0</v>
          </cell>
          <cell r="AR34">
            <v>0</v>
          </cell>
          <cell r="AS34">
            <v>0</v>
          </cell>
          <cell r="AT34">
            <v>0</v>
          </cell>
        </row>
        <row r="35">
          <cell r="G35">
            <v>44575</v>
          </cell>
          <cell r="J35">
            <v>0</v>
          </cell>
          <cell r="K35">
            <v>20</v>
          </cell>
          <cell r="L35">
            <v>0</v>
          </cell>
          <cell r="M35">
            <v>0</v>
          </cell>
          <cell r="N35">
            <v>1</v>
          </cell>
          <cell r="O35">
            <v>0</v>
          </cell>
          <cell r="P35">
            <v>0</v>
          </cell>
          <cell r="Q35">
            <v>12</v>
          </cell>
          <cell r="R35">
            <v>9</v>
          </cell>
          <cell r="S35">
            <v>0</v>
          </cell>
          <cell r="T35">
            <v>0</v>
          </cell>
          <cell r="U35">
            <v>0</v>
          </cell>
          <cell r="V35">
            <v>0</v>
          </cell>
          <cell r="W35">
            <v>0</v>
          </cell>
          <cell r="X35">
            <v>0</v>
          </cell>
          <cell r="Y35">
            <v>0</v>
          </cell>
          <cell r="Z35">
            <v>0</v>
          </cell>
          <cell r="AA35">
            <v>1</v>
          </cell>
          <cell r="AB35">
            <v>0</v>
          </cell>
          <cell r="AC35">
            <v>50905</v>
          </cell>
          <cell r="AD35">
            <v>0</v>
          </cell>
          <cell r="AE35">
            <v>0</v>
          </cell>
          <cell r="AF35">
            <v>1625</v>
          </cell>
          <cell r="AG35">
            <v>0</v>
          </cell>
          <cell r="AH35">
            <v>0</v>
          </cell>
          <cell r="AI35">
            <v>43481.86</v>
          </cell>
          <cell r="AJ35">
            <v>30558.54</v>
          </cell>
          <cell r="AK35">
            <v>0</v>
          </cell>
          <cell r="AL35">
            <v>0</v>
          </cell>
          <cell r="AM35">
            <v>0</v>
          </cell>
          <cell r="AN35">
            <v>0</v>
          </cell>
          <cell r="AO35">
            <v>0</v>
          </cell>
          <cell r="AP35">
            <v>0</v>
          </cell>
          <cell r="AR35">
            <v>0</v>
          </cell>
          <cell r="AS35">
            <v>0</v>
          </cell>
          <cell r="AT35">
            <v>0</v>
          </cell>
        </row>
        <row r="36">
          <cell r="G36">
            <v>44576</v>
          </cell>
          <cell r="J36">
            <v>0</v>
          </cell>
          <cell r="K36">
            <v>19</v>
          </cell>
          <cell r="L36">
            <v>0</v>
          </cell>
          <cell r="M36">
            <v>0</v>
          </cell>
          <cell r="N36">
            <v>1</v>
          </cell>
          <cell r="O36">
            <v>0</v>
          </cell>
          <cell r="P36">
            <v>0</v>
          </cell>
          <cell r="Q36">
            <v>12</v>
          </cell>
          <cell r="R36">
            <v>9</v>
          </cell>
          <cell r="S36">
            <v>0</v>
          </cell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  <cell r="Z36">
            <v>0</v>
          </cell>
          <cell r="AA36">
            <v>1</v>
          </cell>
          <cell r="AB36">
            <v>0</v>
          </cell>
          <cell r="AC36">
            <v>52269.7</v>
          </cell>
          <cell r="AD36">
            <v>0</v>
          </cell>
          <cell r="AE36">
            <v>0</v>
          </cell>
          <cell r="AF36">
            <v>1950</v>
          </cell>
          <cell r="AG36">
            <v>0</v>
          </cell>
          <cell r="AH36">
            <v>0</v>
          </cell>
          <cell r="AI36">
            <v>43481.86</v>
          </cell>
          <cell r="AJ36">
            <v>30558.54</v>
          </cell>
          <cell r="AK36">
            <v>0</v>
          </cell>
          <cell r="AL36">
            <v>0</v>
          </cell>
          <cell r="AM36">
            <v>0</v>
          </cell>
          <cell r="AN36">
            <v>0</v>
          </cell>
          <cell r="AO36">
            <v>0</v>
          </cell>
          <cell r="AP36">
            <v>0</v>
          </cell>
          <cell r="AR36">
            <v>0</v>
          </cell>
          <cell r="AS36">
            <v>0</v>
          </cell>
          <cell r="AT36">
            <v>0</v>
          </cell>
        </row>
        <row r="37">
          <cell r="G37">
            <v>44577</v>
          </cell>
          <cell r="J37">
            <v>0</v>
          </cell>
          <cell r="K37">
            <v>18</v>
          </cell>
          <cell r="L37">
            <v>0</v>
          </cell>
          <cell r="M37">
            <v>0</v>
          </cell>
          <cell r="N37">
            <v>2</v>
          </cell>
          <cell r="O37">
            <v>0</v>
          </cell>
          <cell r="P37">
            <v>0</v>
          </cell>
          <cell r="Q37">
            <v>14</v>
          </cell>
          <cell r="R37">
            <v>9</v>
          </cell>
          <cell r="S37">
            <v>0</v>
          </cell>
          <cell r="T37">
            <v>0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  <cell r="Y37">
            <v>0</v>
          </cell>
          <cell r="Z37">
            <v>0</v>
          </cell>
          <cell r="AA37">
            <v>1</v>
          </cell>
          <cell r="AB37">
            <v>0</v>
          </cell>
          <cell r="AC37">
            <v>51398.7</v>
          </cell>
          <cell r="AD37">
            <v>0</v>
          </cell>
          <cell r="AE37">
            <v>0</v>
          </cell>
          <cell r="AF37">
            <v>6240</v>
          </cell>
          <cell r="AG37">
            <v>0</v>
          </cell>
          <cell r="AH37">
            <v>0</v>
          </cell>
          <cell r="AI37">
            <v>46541.4</v>
          </cell>
          <cell r="AJ37">
            <v>30558.54</v>
          </cell>
          <cell r="AK37">
            <v>0</v>
          </cell>
          <cell r="AL37">
            <v>0</v>
          </cell>
          <cell r="AM37">
            <v>0</v>
          </cell>
          <cell r="AN37">
            <v>0</v>
          </cell>
          <cell r="AO37">
            <v>0</v>
          </cell>
          <cell r="AP37">
            <v>0</v>
          </cell>
          <cell r="AR37">
            <v>0</v>
          </cell>
          <cell r="AS37">
            <v>0</v>
          </cell>
          <cell r="AT37">
            <v>0</v>
          </cell>
        </row>
        <row r="38">
          <cell r="G38">
            <v>44578</v>
          </cell>
          <cell r="J38">
            <v>0</v>
          </cell>
          <cell r="K38">
            <v>6</v>
          </cell>
          <cell r="L38">
            <v>0</v>
          </cell>
          <cell r="M38">
            <v>0</v>
          </cell>
          <cell r="N38">
            <v>2</v>
          </cell>
          <cell r="O38">
            <v>0</v>
          </cell>
          <cell r="P38">
            <v>0</v>
          </cell>
          <cell r="Q38">
            <v>13</v>
          </cell>
          <cell r="R38">
            <v>9</v>
          </cell>
          <cell r="S38">
            <v>0</v>
          </cell>
          <cell r="T38">
            <v>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  <cell r="AA38">
            <v>1</v>
          </cell>
          <cell r="AB38">
            <v>0</v>
          </cell>
          <cell r="AC38">
            <v>15570</v>
          </cell>
          <cell r="AD38">
            <v>0</v>
          </cell>
          <cell r="AE38">
            <v>0</v>
          </cell>
          <cell r="AF38">
            <v>6240</v>
          </cell>
          <cell r="AG38">
            <v>0</v>
          </cell>
          <cell r="AH38">
            <v>0</v>
          </cell>
          <cell r="AI38">
            <v>42541.4</v>
          </cell>
          <cell r="AJ38">
            <v>30558.54</v>
          </cell>
          <cell r="AK38">
            <v>0</v>
          </cell>
          <cell r="AL38">
            <v>0</v>
          </cell>
          <cell r="AM38">
            <v>0</v>
          </cell>
          <cell r="AN38">
            <v>0</v>
          </cell>
          <cell r="AO38">
            <v>0</v>
          </cell>
          <cell r="AP38">
            <v>0</v>
          </cell>
          <cell r="AR38">
            <v>0</v>
          </cell>
          <cell r="AS38">
            <v>0</v>
          </cell>
          <cell r="AT38">
            <v>0</v>
          </cell>
        </row>
        <row r="39">
          <cell r="G39">
            <v>44579</v>
          </cell>
          <cell r="J39">
            <v>0</v>
          </cell>
          <cell r="K39">
            <v>7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12</v>
          </cell>
          <cell r="R39">
            <v>9</v>
          </cell>
          <cell r="S39">
            <v>0</v>
          </cell>
          <cell r="T39">
            <v>0</v>
          </cell>
          <cell r="U39">
            <v>0</v>
          </cell>
          <cell r="V39">
            <v>0</v>
          </cell>
          <cell r="W39">
            <v>0</v>
          </cell>
          <cell r="X39">
            <v>0</v>
          </cell>
          <cell r="Y39">
            <v>0</v>
          </cell>
          <cell r="Z39">
            <v>0</v>
          </cell>
          <cell r="AA39">
            <v>0</v>
          </cell>
          <cell r="AB39">
            <v>0</v>
          </cell>
          <cell r="AC39">
            <v>21350.63</v>
          </cell>
          <cell r="AD39">
            <v>0</v>
          </cell>
          <cell r="AE39">
            <v>0</v>
          </cell>
          <cell r="AF39">
            <v>0</v>
          </cell>
          <cell r="AG39">
            <v>0</v>
          </cell>
          <cell r="AH39">
            <v>0</v>
          </cell>
          <cell r="AI39">
            <v>37041.4</v>
          </cell>
          <cell r="AJ39">
            <v>30558.54</v>
          </cell>
          <cell r="AK39">
            <v>0</v>
          </cell>
          <cell r="AL39">
            <v>0</v>
          </cell>
          <cell r="AM39">
            <v>0</v>
          </cell>
          <cell r="AN39">
            <v>0</v>
          </cell>
          <cell r="AO39">
            <v>0</v>
          </cell>
          <cell r="AP39">
            <v>0</v>
          </cell>
          <cell r="AR39">
            <v>0</v>
          </cell>
          <cell r="AS39">
            <v>0</v>
          </cell>
          <cell r="AT39">
            <v>0</v>
          </cell>
        </row>
        <row r="40">
          <cell r="G40">
            <v>44580</v>
          </cell>
          <cell r="J40">
            <v>0</v>
          </cell>
          <cell r="K40">
            <v>5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11</v>
          </cell>
          <cell r="R40">
            <v>9</v>
          </cell>
          <cell r="S40">
            <v>0</v>
          </cell>
          <cell r="T40">
            <v>0</v>
          </cell>
          <cell r="U40">
            <v>0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  <cell r="Z40">
            <v>0</v>
          </cell>
          <cell r="AA40">
            <v>0</v>
          </cell>
          <cell r="AB40">
            <v>0</v>
          </cell>
          <cell r="AC40">
            <v>13035</v>
          </cell>
          <cell r="AD40">
            <v>0</v>
          </cell>
          <cell r="AE40">
            <v>0</v>
          </cell>
          <cell r="AF40">
            <v>0</v>
          </cell>
          <cell r="AG40">
            <v>0</v>
          </cell>
          <cell r="AH40">
            <v>0</v>
          </cell>
          <cell r="AI40">
            <v>34541.4</v>
          </cell>
          <cell r="AJ40">
            <v>30558.54</v>
          </cell>
          <cell r="AK40">
            <v>0</v>
          </cell>
          <cell r="AL40">
            <v>0</v>
          </cell>
          <cell r="AM40">
            <v>0</v>
          </cell>
          <cell r="AN40">
            <v>0</v>
          </cell>
          <cell r="AO40">
            <v>0</v>
          </cell>
          <cell r="AP40">
            <v>0</v>
          </cell>
          <cell r="AR40">
            <v>0</v>
          </cell>
          <cell r="AS40">
            <v>0</v>
          </cell>
          <cell r="AT40">
            <v>0</v>
          </cell>
        </row>
        <row r="41">
          <cell r="G41">
            <v>44581</v>
          </cell>
          <cell r="J41">
            <v>1</v>
          </cell>
          <cell r="K41">
            <v>6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11</v>
          </cell>
          <cell r="R41">
            <v>9</v>
          </cell>
          <cell r="S41">
            <v>0</v>
          </cell>
          <cell r="T41">
            <v>0</v>
          </cell>
          <cell r="U41">
            <v>0</v>
          </cell>
          <cell r="V41">
            <v>0</v>
          </cell>
          <cell r="W41">
            <v>0</v>
          </cell>
          <cell r="X41">
            <v>0</v>
          </cell>
          <cell r="Y41">
            <v>0</v>
          </cell>
          <cell r="Z41">
            <v>0</v>
          </cell>
          <cell r="AA41">
            <v>0</v>
          </cell>
          <cell r="AB41">
            <v>3500</v>
          </cell>
          <cell r="AC41">
            <v>14722.5</v>
          </cell>
          <cell r="AD41">
            <v>0</v>
          </cell>
          <cell r="AE41">
            <v>0</v>
          </cell>
          <cell r="AF41">
            <v>0</v>
          </cell>
          <cell r="AG41">
            <v>0</v>
          </cell>
          <cell r="AH41">
            <v>0</v>
          </cell>
          <cell r="AI41">
            <v>34541.4</v>
          </cell>
          <cell r="AJ41">
            <v>30558.54</v>
          </cell>
          <cell r="AK41">
            <v>0</v>
          </cell>
          <cell r="AL41">
            <v>0</v>
          </cell>
          <cell r="AM41">
            <v>0</v>
          </cell>
          <cell r="AN41">
            <v>0</v>
          </cell>
          <cell r="AO41">
            <v>0</v>
          </cell>
          <cell r="AP41">
            <v>0</v>
          </cell>
          <cell r="AR41">
            <v>0</v>
          </cell>
          <cell r="AS41">
            <v>0</v>
          </cell>
          <cell r="AT41">
            <v>0</v>
          </cell>
        </row>
        <row r="42">
          <cell r="G42">
            <v>44582</v>
          </cell>
          <cell r="J42">
            <v>1</v>
          </cell>
          <cell r="K42">
            <v>4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10</v>
          </cell>
          <cell r="R42">
            <v>9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3500</v>
          </cell>
          <cell r="AC42">
            <v>8912.5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  <cell r="AH42">
            <v>0</v>
          </cell>
          <cell r="AI42">
            <v>29541.4</v>
          </cell>
          <cell r="AJ42">
            <v>30558.54</v>
          </cell>
          <cell r="AK42">
            <v>0</v>
          </cell>
          <cell r="AL42">
            <v>0</v>
          </cell>
          <cell r="AM42">
            <v>0</v>
          </cell>
          <cell r="AN42">
            <v>0</v>
          </cell>
          <cell r="AO42">
            <v>0</v>
          </cell>
          <cell r="AP42">
            <v>0</v>
          </cell>
          <cell r="AR42">
            <v>0</v>
          </cell>
          <cell r="AS42">
            <v>0</v>
          </cell>
          <cell r="AT42">
            <v>0</v>
          </cell>
        </row>
        <row r="43">
          <cell r="G43">
            <v>44583</v>
          </cell>
          <cell r="J43">
            <v>1</v>
          </cell>
          <cell r="K43">
            <v>3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9</v>
          </cell>
          <cell r="R43">
            <v>9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3500</v>
          </cell>
          <cell r="AC43">
            <v>7985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  <cell r="AH43">
            <v>0</v>
          </cell>
          <cell r="AI43">
            <v>27041.4</v>
          </cell>
          <cell r="AJ43">
            <v>30558.54</v>
          </cell>
          <cell r="AK43">
            <v>0</v>
          </cell>
          <cell r="AL43">
            <v>0</v>
          </cell>
          <cell r="AM43">
            <v>0</v>
          </cell>
          <cell r="AN43">
            <v>0</v>
          </cell>
          <cell r="AO43">
            <v>0</v>
          </cell>
          <cell r="AP43">
            <v>0</v>
          </cell>
          <cell r="AR43">
            <v>0</v>
          </cell>
          <cell r="AS43">
            <v>0</v>
          </cell>
          <cell r="AT43">
            <v>0</v>
          </cell>
        </row>
        <row r="44">
          <cell r="G44">
            <v>44584</v>
          </cell>
          <cell r="J44">
            <v>1</v>
          </cell>
          <cell r="K44">
            <v>8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10</v>
          </cell>
          <cell r="R44">
            <v>9</v>
          </cell>
          <cell r="S44">
            <v>0</v>
          </cell>
          <cell r="T44">
            <v>0</v>
          </cell>
          <cell r="U44">
            <v>0</v>
          </cell>
          <cell r="V44">
            <v>0</v>
          </cell>
          <cell r="W44">
            <v>0</v>
          </cell>
          <cell r="X44">
            <v>0</v>
          </cell>
          <cell r="Y44">
            <v>0</v>
          </cell>
          <cell r="Z44">
            <v>0</v>
          </cell>
          <cell r="AA44">
            <v>0</v>
          </cell>
          <cell r="AB44">
            <v>3500</v>
          </cell>
          <cell r="AC44">
            <v>19935.88</v>
          </cell>
          <cell r="AD44">
            <v>0</v>
          </cell>
          <cell r="AE44">
            <v>0</v>
          </cell>
          <cell r="AF44">
            <v>0</v>
          </cell>
          <cell r="AG44">
            <v>0</v>
          </cell>
          <cell r="AH44">
            <v>0</v>
          </cell>
          <cell r="AI44">
            <v>30208.07</v>
          </cell>
          <cell r="AJ44">
            <v>30558.54</v>
          </cell>
          <cell r="AK44">
            <v>0</v>
          </cell>
          <cell r="AL44">
            <v>0</v>
          </cell>
          <cell r="AM44">
            <v>0</v>
          </cell>
          <cell r="AN44">
            <v>0</v>
          </cell>
          <cell r="AO44">
            <v>0</v>
          </cell>
          <cell r="AP44">
            <v>0</v>
          </cell>
          <cell r="AR44">
            <v>0</v>
          </cell>
          <cell r="AS44">
            <v>0</v>
          </cell>
          <cell r="AT44">
            <v>0</v>
          </cell>
        </row>
        <row r="45">
          <cell r="G45">
            <v>44585</v>
          </cell>
          <cell r="J45">
            <v>1</v>
          </cell>
          <cell r="K45">
            <v>5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10</v>
          </cell>
          <cell r="R45">
            <v>9</v>
          </cell>
          <cell r="S45">
            <v>0</v>
          </cell>
          <cell r="T45">
            <v>0</v>
          </cell>
          <cell r="U45">
            <v>0</v>
          </cell>
          <cell r="V45">
            <v>0</v>
          </cell>
          <cell r="W45">
            <v>0</v>
          </cell>
          <cell r="X45">
            <v>0</v>
          </cell>
          <cell r="Y45">
            <v>0</v>
          </cell>
          <cell r="Z45">
            <v>0</v>
          </cell>
          <cell r="AA45">
            <v>0</v>
          </cell>
          <cell r="AB45">
            <v>3500</v>
          </cell>
          <cell r="AC45">
            <v>13851.25</v>
          </cell>
          <cell r="AD45">
            <v>0</v>
          </cell>
          <cell r="AE45">
            <v>0</v>
          </cell>
          <cell r="AF45">
            <v>0</v>
          </cell>
          <cell r="AG45">
            <v>0</v>
          </cell>
          <cell r="AH45">
            <v>0</v>
          </cell>
          <cell r="AI45">
            <v>30208.07</v>
          </cell>
          <cell r="AJ45">
            <v>30558.54</v>
          </cell>
          <cell r="AK45">
            <v>0</v>
          </cell>
          <cell r="AL45">
            <v>0</v>
          </cell>
          <cell r="AM45">
            <v>0</v>
          </cell>
          <cell r="AN45">
            <v>0</v>
          </cell>
          <cell r="AO45">
            <v>0</v>
          </cell>
          <cell r="AP45">
            <v>0</v>
          </cell>
          <cell r="AR45">
            <v>0</v>
          </cell>
          <cell r="AS45">
            <v>0</v>
          </cell>
          <cell r="AT45">
            <v>0</v>
          </cell>
        </row>
        <row r="46">
          <cell r="G46">
            <v>44586</v>
          </cell>
          <cell r="J46">
            <v>1</v>
          </cell>
          <cell r="K46">
            <v>5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10</v>
          </cell>
          <cell r="R46">
            <v>9</v>
          </cell>
          <cell r="S46">
            <v>0</v>
          </cell>
          <cell r="T46">
            <v>0</v>
          </cell>
          <cell r="U46">
            <v>0</v>
          </cell>
          <cell r="V46">
            <v>0</v>
          </cell>
          <cell r="W46">
            <v>0</v>
          </cell>
          <cell r="X46">
            <v>0</v>
          </cell>
          <cell r="Y46">
            <v>0</v>
          </cell>
          <cell r="Z46">
            <v>0</v>
          </cell>
          <cell r="AA46">
            <v>0</v>
          </cell>
          <cell r="AB46">
            <v>3500</v>
          </cell>
          <cell r="AC46">
            <v>13262.5</v>
          </cell>
          <cell r="AD46">
            <v>0</v>
          </cell>
          <cell r="AE46">
            <v>0</v>
          </cell>
          <cell r="AF46">
            <v>0</v>
          </cell>
          <cell r="AG46">
            <v>0</v>
          </cell>
          <cell r="AH46">
            <v>0</v>
          </cell>
          <cell r="AI46">
            <v>30208.07</v>
          </cell>
          <cell r="AJ46">
            <v>30558.54</v>
          </cell>
          <cell r="AK46">
            <v>0</v>
          </cell>
          <cell r="AL46">
            <v>0</v>
          </cell>
          <cell r="AM46">
            <v>0</v>
          </cell>
          <cell r="AN46">
            <v>0</v>
          </cell>
          <cell r="AO46">
            <v>0</v>
          </cell>
          <cell r="AP46">
            <v>0</v>
          </cell>
          <cell r="AR46">
            <v>0</v>
          </cell>
          <cell r="AS46">
            <v>0</v>
          </cell>
          <cell r="AT46">
            <v>0</v>
          </cell>
        </row>
        <row r="47">
          <cell r="G47">
            <v>44587</v>
          </cell>
          <cell r="J47">
            <v>1</v>
          </cell>
          <cell r="K47">
            <v>2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15</v>
          </cell>
          <cell r="R47">
            <v>9</v>
          </cell>
          <cell r="S47">
            <v>0</v>
          </cell>
          <cell r="T47">
            <v>0</v>
          </cell>
          <cell r="U47">
            <v>0</v>
          </cell>
          <cell r="V47">
            <v>0</v>
          </cell>
          <cell r="W47">
            <v>0</v>
          </cell>
          <cell r="X47">
            <v>0</v>
          </cell>
          <cell r="Y47">
            <v>0</v>
          </cell>
          <cell r="Z47">
            <v>0</v>
          </cell>
          <cell r="AA47">
            <v>0</v>
          </cell>
          <cell r="AB47">
            <v>3500</v>
          </cell>
          <cell r="AC47">
            <v>4666.5</v>
          </cell>
          <cell r="AD47">
            <v>0</v>
          </cell>
          <cell r="AE47">
            <v>0</v>
          </cell>
          <cell r="AF47">
            <v>0</v>
          </cell>
          <cell r="AG47">
            <v>0</v>
          </cell>
          <cell r="AH47">
            <v>0</v>
          </cell>
          <cell r="AI47">
            <v>40922.370000000003</v>
          </cell>
          <cell r="AJ47">
            <v>30558.54</v>
          </cell>
          <cell r="AK47">
            <v>0</v>
          </cell>
          <cell r="AL47">
            <v>0</v>
          </cell>
          <cell r="AM47">
            <v>0</v>
          </cell>
          <cell r="AN47">
            <v>0</v>
          </cell>
          <cell r="AO47">
            <v>0</v>
          </cell>
          <cell r="AP47">
            <v>0</v>
          </cell>
          <cell r="AR47">
            <v>0</v>
          </cell>
          <cell r="AS47">
            <v>0</v>
          </cell>
          <cell r="AT47">
            <v>0</v>
          </cell>
        </row>
        <row r="48">
          <cell r="G48">
            <v>44588</v>
          </cell>
          <cell r="J48">
            <v>1</v>
          </cell>
          <cell r="K48">
            <v>1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  <cell r="Q48">
            <v>10</v>
          </cell>
          <cell r="R48">
            <v>9</v>
          </cell>
          <cell r="S48">
            <v>0</v>
          </cell>
          <cell r="T48">
            <v>0</v>
          </cell>
          <cell r="U48">
            <v>0</v>
          </cell>
          <cell r="V48">
            <v>0</v>
          </cell>
          <cell r="W48">
            <v>0</v>
          </cell>
          <cell r="X48">
            <v>0</v>
          </cell>
          <cell r="Y48">
            <v>0</v>
          </cell>
          <cell r="Z48">
            <v>0</v>
          </cell>
          <cell r="AA48">
            <v>0</v>
          </cell>
          <cell r="AB48">
            <v>3500</v>
          </cell>
          <cell r="AC48">
            <v>1912.5</v>
          </cell>
          <cell r="AD48">
            <v>0</v>
          </cell>
          <cell r="AE48">
            <v>0</v>
          </cell>
          <cell r="AF48">
            <v>0</v>
          </cell>
          <cell r="AG48">
            <v>0</v>
          </cell>
          <cell r="AH48">
            <v>0</v>
          </cell>
          <cell r="AI48">
            <v>30208.07</v>
          </cell>
          <cell r="AJ48">
            <v>30558.54</v>
          </cell>
          <cell r="AK48">
            <v>0</v>
          </cell>
          <cell r="AL48">
            <v>0</v>
          </cell>
          <cell r="AM48">
            <v>0</v>
          </cell>
          <cell r="AN48">
            <v>0</v>
          </cell>
          <cell r="AO48">
            <v>0</v>
          </cell>
          <cell r="AP48">
            <v>0</v>
          </cell>
          <cell r="AR48">
            <v>0</v>
          </cell>
          <cell r="AS48">
            <v>0</v>
          </cell>
          <cell r="AT48">
            <v>0</v>
          </cell>
        </row>
        <row r="49">
          <cell r="G49">
            <v>44589</v>
          </cell>
          <cell r="J49">
            <v>1</v>
          </cell>
          <cell r="K49">
            <v>1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  <cell r="P49">
            <v>0</v>
          </cell>
          <cell r="Q49">
            <v>10</v>
          </cell>
          <cell r="R49">
            <v>9</v>
          </cell>
          <cell r="S49">
            <v>0</v>
          </cell>
          <cell r="T49">
            <v>0</v>
          </cell>
          <cell r="U49">
            <v>2</v>
          </cell>
          <cell r="V49">
            <v>0</v>
          </cell>
          <cell r="W49">
            <v>0</v>
          </cell>
          <cell r="X49">
            <v>0</v>
          </cell>
          <cell r="Y49">
            <v>0</v>
          </cell>
          <cell r="Z49">
            <v>0</v>
          </cell>
          <cell r="AA49">
            <v>0</v>
          </cell>
          <cell r="AB49">
            <v>3500</v>
          </cell>
          <cell r="AC49">
            <v>1912.5</v>
          </cell>
          <cell r="AD49">
            <v>0</v>
          </cell>
          <cell r="AE49">
            <v>0</v>
          </cell>
          <cell r="AF49">
            <v>0</v>
          </cell>
          <cell r="AG49">
            <v>0</v>
          </cell>
          <cell r="AH49">
            <v>0</v>
          </cell>
          <cell r="AI49">
            <v>30208.07</v>
          </cell>
          <cell r="AJ49">
            <v>30558.54</v>
          </cell>
          <cell r="AK49">
            <v>0</v>
          </cell>
          <cell r="AL49">
            <v>0</v>
          </cell>
          <cell r="AM49">
            <v>9300</v>
          </cell>
          <cell r="AN49">
            <v>0</v>
          </cell>
          <cell r="AO49">
            <v>0</v>
          </cell>
          <cell r="AP49">
            <v>0</v>
          </cell>
          <cell r="AR49">
            <v>0</v>
          </cell>
          <cell r="AS49">
            <v>0</v>
          </cell>
          <cell r="AT49">
            <v>0</v>
          </cell>
        </row>
        <row r="50">
          <cell r="G50">
            <v>44590</v>
          </cell>
          <cell r="J50">
            <v>1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10</v>
          </cell>
          <cell r="R50">
            <v>9</v>
          </cell>
          <cell r="S50">
            <v>0</v>
          </cell>
          <cell r="T50">
            <v>0</v>
          </cell>
          <cell r="U50">
            <v>14</v>
          </cell>
          <cell r="V50">
            <v>0</v>
          </cell>
          <cell r="W50">
            <v>0</v>
          </cell>
          <cell r="X50">
            <v>0</v>
          </cell>
          <cell r="Y50">
            <v>0</v>
          </cell>
          <cell r="Z50">
            <v>0</v>
          </cell>
          <cell r="AA50">
            <v>0</v>
          </cell>
          <cell r="AB50">
            <v>3500</v>
          </cell>
          <cell r="AC50">
            <v>0</v>
          </cell>
          <cell r="AD50">
            <v>0</v>
          </cell>
          <cell r="AE50">
            <v>0</v>
          </cell>
          <cell r="AF50">
            <v>0</v>
          </cell>
          <cell r="AG50">
            <v>0</v>
          </cell>
          <cell r="AH50">
            <v>0</v>
          </cell>
          <cell r="AI50">
            <v>30208.07</v>
          </cell>
          <cell r="AJ50">
            <v>30558.54</v>
          </cell>
          <cell r="AK50">
            <v>0</v>
          </cell>
          <cell r="AL50">
            <v>0</v>
          </cell>
          <cell r="AM50">
            <v>40800</v>
          </cell>
          <cell r="AN50">
            <v>0</v>
          </cell>
          <cell r="AO50">
            <v>0</v>
          </cell>
          <cell r="AP50">
            <v>0</v>
          </cell>
          <cell r="AR50">
            <v>0</v>
          </cell>
          <cell r="AS50">
            <v>0</v>
          </cell>
          <cell r="AT50">
            <v>0</v>
          </cell>
        </row>
        <row r="51">
          <cell r="G51">
            <v>44591</v>
          </cell>
          <cell r="J51">
            <v>1</v>
          </cell>
          <cell r="K51">
            <v>2</v>
          </cell>
          <cell r="L51">
            <v>0</v>
          </cell>
          <cell r="M51">
            <v>0</v>
          </cell>
          <cell r="N51">
            <v>1</v>
          </cell>
          <cell r="O51">
            <v>0</v>
          </cell>
          <cell r="P51">
            <v>0</v>
          </cell>
          <cell r="Q51">
            <v>5</v>
          </cell>
          <cell r="R51">
            <v>9</v>
          </cell>
          <cell r="S51">
            <v>0</v>
          </cell>
          <cell r="T51">
            <v>0</v>
          </cell>
          <cell r="U51">
            <v>24</v>
          </cell>
          <cell r="V51">
            <v>0</v>
          </cell>
          <cell r="W51">
            <v>0</v>
          </cell>
          <cell r="X51">
            <v>0</v>
          </cell>
          <cell r="Y51">
            <v>0</v>
          </cell>
          <cell r="Z51">
            <v>0</v>
          </cell>
          <cell r="AA51">
            <v>0</v>
          </cell>
          <cell r="AB51">
            <v>3500</v>
          </cell>
          <cell r="AC51">
            <v>4860</v>
          </cell>
          <cell r="AD51">
            <v>0</v>
          </cell>
          <cell r="AE51">
            <v>0</v>
          </cell>
          <cell r="AF51">
            <v>2450</v>
          </cell>
          <cell r="AG51">
            <v>0</v>
          </cell>
          <cell r="AH51">
            <v>0</v>
          </cell>
          <cell r="AI51">
            <v>14374.72</v>
          </cell>
          <cell r="AJ51">
            <v>30558.54</v>
          </cell>
          <cell r="AK51">
            <v>0</v>
          </cell>
          <cell r="AL51">
            <v>0</v>
          </cell>
          <cell r="AM51">
            <v>67300</v>
          </cell>
          <cell r="AN51">
            <v>0</v>
          </cell>
          <cell r="AO51">
            <v>0</v>
          </cell>
          <cell r="AP51">
            <v>0</v>
          </cell>
          <cell r="AR51">
            <v>0</v>
          </cell>
          <cell r="AS51">
            <v>0</v>
          </cell>
          <cell r="AT51">
            <v>0</v>
          </cell>
        </row>
        <row r="52">
          <cell r="G52">
            <v>44592</v>
          </cell>
          <cell r="J52">
            <v>0</v>
          </cell>
          <cell r="K52">
            <v>5</v>
          </cell>
          <cell r="L52">
            <v>0</v>
          </cell>
          <cell r="M52">
            <v>0</v>
          </cell>
          <cell r="N52">
            <v>1</v>
          </cell>
          <cell r="O52">
            <v>0</v>
          </cell>
          <cell r="P52">
            <v>0</v>
          </cell>
          <cell r="Q52">
            <v>3</v>
          </cell>
          <cell r="R52">
            <v>8</v>
          </cell>
          <cell r="S52">
            <v>0</v>
          </cell>
          <cell r="T52">
            <v>0</v>
          </cell>
          <cell r="U52">
            <v>24</v>
          </cell>
          <cell r="V52">
            <v>0</v>
          </cell>
          <cell r="W52">
            <v>0</v>
          </cell>
          <cell r="X52">
            <v>0</v>
          </cell>
          <cell r="Y52">
            <v>0</v>
          </cell>
          <cell r="Z52">
            <v>0</v>
          </cell>
          <cell r="AA52">
            <v>0</v>
          </cell>
          <cell r="AB52">
            <v>0</v>
          </cell>
          <cell r="AC52">
            <v>15090</v>
          </cell>
          <cell r="AD52">
            <v>0</v>
          </cell>
          <cell r="AE52">
            <v>0</v>
          </cell>
          <cell r="AF52">
            <v>2450</v>
          </cell>
          <cell r="AG52">
            <v>0</v>
          </cell>
          <cell r="AH52">
            <v>0</v>
          </cell>
          <cell r="AI52">
            <v>9589</v>
          </cell>
          <cell r="AJ52">
            <v>27390.35</v>
          </cell>
          <cell r="AK52">
            <v>0</v>
          </cell>
          <cell r="AL52">
            <v>0</v>
          </cell>
          <cell r="AM52">
            <v>67300</v>
          </cell>
          <cell r="AN52">
            <v>0</v>
          </cell>
          <cell r="AO52">
            <v>0</v>
          </cell>
          <cell r="AP52">
            <v>0</v>
          </cell>
          <cell r="AR52">
            <v>0</v>
          </cell>
          <cell r="AS52">
            <v>0</v>
          </cell>
          <cell r="AT52">
            <v>0</v>
          </cell>
        </row>
        <row r="53">
          <cell r="G53">
            <v>44593</v>
          </cell>
          <cell r="J53">
            <v>0</v>
          </cell>
          <cell r="K53">
            <v>2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3</v>
          </cell>
          <cell r="R53">
            <v>8</v>
          </cell>
          <cell r="S53">
            <v>0</v>
          </cell>
          <cell r="T53">
            <v>0</v>
          </cell>
          <cell r="U53">
            <v>0</v>
          </cell>
          <cell r="V53">
            <v>0</v>
          </cell>
          <cell r="W53">
            <v>0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  <cell r="AB53">
            <v>0</v>
          </cell>
          <cell r="AC53">
            <v>5830</v>
          </cell>
          <cell r="AD53">
            <v>0</v>
          </cell>
          <cell r="AE53">
            <v>0</v>
          </cell>
          <cell r="AF53">
            <v>0</v>
          </cell>
          <cell r="AG53">
            <v>0</v>
          </cell>
          <cell r="AH53">
            <v>0</v>
          </cell>
          <cell r="AI53">
            <v>9589</v>
          </cell>
          <cell r="AJ53">
            <v>27390.35</v>
          </cell>
          <cell r="AK53">
            <v>0</v>
          </cell>
          <cell r="AL53">
            <v>0</v>
          </cell>
          <cell r="AM53">
            <v>0</v>
          </cell>
          <cell r="AN53">
            <v>0</v>
          </cell>
          <cell r="AO53">
            <v>0</v>
          </cell>
          <cell r="AP53">
            <v>0</v>
          </cell>
          <cell r="AR53">
            <v>0</v>
          </cell>
          <cell r="AS53">
            <v>0</v>
          </cell>
          <cell r="AT53">
            <v>0</v>
          </cell>
        </row>
        <row r="54">
          <cell r="G54">
            <v>44594</v>
          </cell>
          <cell r="J54">
            <v>0</v>
          </cell>
          <cell r="K54">
            <v>2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3</v>
          </cell>
          <cell r="R54">
            <v>8</v>
          </cell>
          <cell r="S54">
            <v>0</v>
          </cell>
          <cell r="T54">
            <v>0</v>
          </cell>
          <cell r="U54">
            <v>0</v>
          </cell>
          <cell r="V54">
            <v>0</v>
          </cell>
          <cell r="W54">
            <v>0</v>
          </cell>
          <cell r="X54">
            <v>0</v>
          </cell>
          <cell r="Y54">
            <v>0</v>
          </cell>
          <cell r="Z54">
            <v>0</v>
          </cell>
          <cell r="AA54">
            <v>0</v>
          </cell>
          <cell r="AB54">
            <v>0</v>
          </cell>
          <cell r="AC54">
            <v>6098.25</v>
          </cell>
          <cell r="AD54">
            <v>0</v>
          </cell>
          <cell r="AE54">
            <v>0</v>
          </cell>
          <cell r="AF54">
            <v>0</v>
          </cell>
          <cell r="AG54">
            <v>0</v>
          </cell>
          <cell r="AH54">
            <v>0</v>
          </cell>
          <cell r="AI54">
            <v>9589</v>
          </cell>
          <cell r="AJ54">
            <v>27390.35</v>
          </cell>
          <cell r="AK54">
            <v>0</v>
          </cell>
          <cell r="AL54">
            <v>0</v>
          </cell>
          <cell r="AM54">
            <v>0</v>
          </cell>
          <cell r="AN54">
            <v>0</v>
          </cell>
          <cell r="AO54">
            <v>0</v>
          </cell>
          <cell r="AP54">
            <v>0</v>
          </cell>
          <cell r="AR54">
            <v>0</v>
          </cell>
          <cell r="AS54">
            <v>0</v>
          </cell>
          <cell r="AT54">
            <v>0</v>
          </cell>
        </row>
        <row r="55">
          <cell r="G55">
            <v>44595</v>
          </cell>
          <cell r="J55">
            <v>0</v>
          </cell>
          <cell r="K55">
            <v>1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3</v>
          </cell>
          <cell r="R55">
            <v>8</v>
          </cell>
          <cell r="S55">
            <v>0</v>
          </cell>
          <cell r="T55">
            <v>0</v>
          </cell>
          <cell r="U55">
            <v>0</v>
          </cell>
          <cell r="V55">
            <v>0</v>
          </cell>
          <cell r="W55">
            <v>0</v>
          </cell>
          <cell r="X55">
            <v>0</v>
          </cell>
          <cell r="Y55">
            <v>0</v>
          </cell>
          <cell r="Z55">
            <v>0</v>
          </cell>
          <cell r="AA55">
            <v>0</v>
          </cell>
          <cell r="AB55">
            <v>0</v>
          </cell>
          <cell r="AC55">
            <v>3098.25</v>
          </cell>
          <cell r="AD55">
            <v>0</v>
          </cell>
          <cell r="AE55">
            <v>0</v>
          </cell>
          <cell r="AF55">
            <v>0</v>
          </cell>
          <cell r="AG55">
            <v>0</v>
          </cell>
          <cell r="AH55">
            <v>0</v>
          </cell>
          <cell r="AI55">
            <v>9589</v>
          </cell>
          <cell r="AJ55">
            <v>27390.35</v>
          </cell>
          <cell r="AK55">
            <v>0</v>
          </cell>
          <cell r="AL55">
            <v>0</v>
          </cell>
          <cell r="AM55">
            <v>0</v>
          </cell>
          <cell r="AN55">
            <v>0</v>
          </cell>
          <cell r="AO55">
            <v>0</v>
          </cell>
          <cell r="AP55">
            <v>0</v>
          </cell>
          <cell r="AR55">
            <v>0</v>
          </cell>
          <cell r="AS55">
            <v>0</v>
          </cell>
          <cell r="AT55">
            <v>0</v>
          </cell>
        </row>
        <row r="56">
          <cell r="G56">
            <v>44596</v>
          </cell>
          <cell r="J56">
            <v>0</v>
          </cell>
          <cell r="K56">
            <v>2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  <cell r="Q56">
            <v>3</v>
          </cell>
          <cell r="R56">
            <v>7</v>
          </cell>
          <cell r="S56">
            <v>0</v>
          </cell>
          <cell r="T56">
            <v>0</v>
          </cell>
          <cell r="U56">
            <v>0</v>
          </cell>
          <cell r="V56">
            <v>0</v>
          </cell>
          <cell r="W56">
            <v>0</v>
          </cell>
          <cell r="X56">
            <v>0</v>
          </cell>
          <cell r="Y56">
            <v>0</v>
          </cell>
          <cell r="Z56">
            <v>0</v>
          </cell>
          <cell r="AA56">
            <v>0</v>
          </cell>
          <cell r="AB56">
            <v>0</v>
          </cell>
          <cell r="AC56">
            <v>5798.25</v>
          </cell>
          <cell r="AD56">
            <v>0</v>
          </cell>
          <cell r="AE56">
            <v>0</v>
          </cell>
          <cell r="AF56">
            <v>0</v>
          </cell>
          <cell r="AG56">
            <v>0</v>
          </cell>
          <cell r="AH56">
            <v>0</v>
          </cell>
          <cell r="AI56">
            <v>9589</v>
          </cell>
          <cell r="AJ56">
            <v>21140.35</v>
          </cell>
          <cell r="AK56">
            <v>0</v>
          </cell>
          <cell r="AL56">
            <v>0</v>
          </cell>
          <cell r="AM56">
            <v>0</v>
          </cell>
          <cell r="AN56">
            <v>0</v>
          </cell>
          <cell r="AO56">
            <v>0</v>
          </cell>
          <cell r="AP56">
            <v>0</v>
          </cell>
          <cell r="AR56">
            <v>0</v>
          </cell>
          <cell r="AS56">
            <v>0</v>
          </cell>
          <cell r="AT56">
            <v>0</v>
          </cell>
        </row>
        <row r="57">
          <cell r="G57">
            <v>44597</v>
          </cell>
          <cell r="J57">
            <v>0</v>
          </cell>
          <cell r="K57">
            <v>1</v>
          </cell>
          <cell r="L57">
            <v>0</v>
          </cell>
          <cell r="M57">
            <v>0</v>
          </cell>
          <cell r="N57">
            <v>0</v>
          </cell>
          <cell r="O57">
            <v>0</v>
          </cell>
          <cell r="P57">
            <v>0</v>
          </cell>
          <cell r="Q57">
            <v>1</v>
          </cell>
          <cell r="R57">
            <v>7</v>
          </cell>
          <cell r="S57">
            <v>0</v>
          </cell>
          <cell r="T57">
            <v>0</v>
          </cell>
          <cell r="U57">
            <v>0</v>
          </cell>
          <cell r="V57">
            <v>0</v>
          </cell>
          <cell r="W57">
            <v>0</v>
          </cell>
          <cell r="X57">
            <v>0</v>
          </cell>
          <cell r="Y57">
            <v>0</v>
          </cell>
          <cell r="Z57">
            <v>0</v>
          </cell>
          <cell r="AA57">
            <v>0</v>
          </cell>
          <cell r="AB57">
            <v>0</v>
          </cell>
          <cell r="AC57">
            <v>2835</v>
          </cell>
          <cell r="AD57">
            <v>0</v>
          </cell>
          <cell r="AE57">
            <v>0</v>
          </cell>
          <cell r="AF57">
            <v>0</v>
          </cell>
          <cell r="AG57">
            <v>0</v>
          </cell>
          <cell r="AH57">
            <v>0</v>
          </cell>
          <cell r="AI57">
            <v>4000</v>
          </cell>
          <cell r="AJ57">
            <v>21140.35</v>
          </cell>
          <cell r="AK57">
            <v>0</v>
          </cell>
          <cell r="AL57">
            <v>0</v>
          </cell>
          <cell r="AM57">
            <v>0</v>
          </cell>
          <cell r="AN57">
            <v>0</v>
          </cell>
          <cell r="AO57">
            <v>0</v>
          </cell>
          <cell r="AP57">
            <v>0</v>
          </cell>
          <cell r="AR57">
            <v>0</v>
          </cell>
          <cell r="AS57">
            <v>0</v>
          </cell>
          <cell r="AT57">
            <v>0</v>
          </cell>
        </row>
        <row r="58">
          <cell r="G58">
            <v>44598</v>
          </cell>
          <cell r="J58">
            <v>0</v>
          </cell>
          <cell r="K58">
            <v>2</v>
          </cell>
          <cell r="L58">
            <v>0</v>
          </cell>
          <cell r="M58">
            <v>0</v>
          </cell>
          <cell r="N58">
            <v>0</v>
          </cell>
          <cell r="O58">
            <v>0</v>
          </cell>
          <cell r="P58">
            <v>0</v>
          </cell>
          <cell r="Q58">
            <v>1</v>
          </cell>
          <cell r="R58">
            <v>7</v>
          </cell>
          <cell r="S58">
            <v>0</v>
          </cell>
          <cell r="T58">
            <v>0</v>
          </cell>
          <cell r="U58">
            <v>0</v>
          </cell>
          <cell r="V58">
            <v>0</v>
          </cell>
          <cell r="W58">
            <v>0</v>
          </cell>
          <cell r="X58">
            <v>0</v>
          </cell>
          <cell r="Y58">
            <v>0</v>
          </cell>
          <cell r="Z58">
            <v>0</v>
          </cell>
          <cell r="AA58">
            <v>0</v>
          </cell>
          <cell r="AB58">
            <v>0</v>
          </cell>
          <cell r="AC58">
            <v>5283</v>
          </cell>
          <cell r="AD58">
            <v>0</v>
          </cell>
          <cell r="AE58">
            <v>0</v>
          </cell>
          <cell r="AF58">
            <v>0</v>
          </cell>
          <cell r="AG58">
            <v>0</v>
          </cell>
          <cell r="AH58">
            <v>0</v>
          </cell>
          <cell r="AI58">
            <v>4000</v>
          </cell>
          <cell r="AJ58">
            <v>21140.35</v>
          </cell>
          <cell r="AK58">
            <v>0</v>
          </cell>
          <cell r="AL58">
            <v>0</v>
          </cell>
          <cell r="AM58">
            <v>0</v>
          </cell>
          <cell r="AN58">
            <v>0</v>
          </cell>
          <cell r="AO58">
            <v>0</v>
          </cell>
          <cell r="AP58">
            <v>0</v>
          </cell>
          <cell r="AR58">
            <v>0</v>
          </cell>
          <cell r="AS58">
            <v>0</v>
          </cell>
          <cell r="AT58">
            <v>0</v>
          </cell>
        </row>
        <row r="59">
          <cell r="G59">
            <v>44599</v>
          </cell>
          <cell r="J59">
            <v>0</v>
          </cell>
          <cell r="K59">
            <v>1</v>
          </cell>
          <cell r="L59">
            <v>0</v>
          </cell>
          <cell r="M59">
            <v>0</v>
          </cell>
          <cell r="N59">
            <v>0</v>
          </cell>
          <cell r="O59">
            <v>0</v>
          </cell>
          <cell r="P59">
            <v>0</v>
          </cell>
          <cell r="Q59">
            <v>1</v>
          </cell>
          <cell r="R59">
            <v>7</v>
          </cell>
          <cell r="S59">
            <v>0</v>
          </cell>
          <cell r="T59">
            <v>0</v>
          </cell>
          <cell r="U59">
            <v>0</v>
          </cell>
          <cell r="V59">
            <v>0</v>
          </cell>
          <cell r="W59">
            <v>0</v>
          </cell>
          <cell r="X59">
            <v>0</v>
          </cell>
          <cell r="Y59">
            <v>0</v>
          </cell>
          <cell r="Z59">
            <v>0</v>
          </cell>
          <cell r="AA59">
            <v>0</v>
          </cell>
          <cell r="AB59">
            <v>0</v>
          </cell>
          <cell r="AC59">
            <v>2835</v>
          </cell>
          <cell r="AD59">
            <v>0</v>
          </cell>
          <cell r="AE59">
            <v>0</v>
          </cell>
          <cell r="AF59">
            <v>0</v>
          </cell>
          <cell r="AG59">
            <v>0</v>
          </cell>
          <cell r="AH59">
            <v>0</v>
          </cell>
          <cell r="AI59">
            <v>4000</v>
          </cell>
          <cell r="AJ59">
            <v>21140.35</v>
          </cell>
          <cell r="AK59">
            <v>0</v>
          </cell>
          <cell r="AL59">
            <v>0</v>
          </cell>
          <cell r="AM59">
            <v>0</v>
          </cell>
          <cell r="AN59">
            <v>0</v>
          </cell>
          <cell r="AO59">
            <v>0</v>
          </cell>
          <cell r="AP59">
            <v>0</v>
          </cell>
          <cell r="AR59">
            <v>0</v>
          </cell>
          <cell r="AS59">
            <v>0</v>
          </cell>
          <cell r="AT59">
            <v>0</v>
          </cell>
        </row>
        <row r="60">
          <cell r="G60">
            <v>44600</v>
          </cell>
          <cell r="J60">
            <v>0</v>
          </cell>
          <cell r="K60">
            <v>2</v>
          </cell>
          <cell r="L60">
            <v>0</v>
          </cell>
          <cell r="M60">
            <v>0</v>
          </cell>
          <cell r="N60">
            <v>0</v>
          </cell>
          <cell r="O60">
            <v>0</v>
          </cell>
          <cell r="P60">
            <v>0</v>
          </cell>
          <cell r="Q60">
            <v>1</v>
          </cell>
          <cell r="R60">
            <v>7</v>
          </cell>
          <cell r="S60">
            <v>0</v>
          </cell>
          <cell r="T60">
            <v>0</v>
          </cell>
          <cell r="U60">
            <v>0</v>
          </cell>
          <cell r="V60">
            <v>0</v>
          </cell>
          <cell r="W60">
            <v>0</v>
          </cell>
          <cell r="X60">
            <v>0</v>
          </cell>
          <cell r="Y60">
            <v>0</v>
          </cell>
          <cell r="Z60">
            <v>0</v>
          </cell>
          <cell r="AA60">
            <v>0</v>
          </cell>
          <cell r="AB60">
            <v>0</v>
          </cell>
          <cell r="AC60">
            <v>5400</v>
          </cell>
          <cell r="AD60">
            <v>0</v>
          </cell>
          <cell r="AE60">
            <v>0</v>
          </cell>
          <cell r="AF60">
            <v>0</v>
          </cell>
          <cell r="AG60">
            <v>0</v>
          </cell>
          <cell r="AH60">
            <v>0</v>
          </cell>
          <cell r="AI60">
            <v>4000</v>
          </cell>
          <cell r="AJ60">
            <v>21140.35</v>
          </cell>
          <cell r="AK60">
            <v>0</v>
          </cell>
          <cell r="AL60">
            <v>0</v>
          </cell>
          <cell r="AM60">
            <v>0</v>
          </cell>
          <cell r="AN60">
            <v>0</v>
          </cell>
          <cell r="AO60">
            <v>0</v>
          </cell>
          <cell r="AP60">
            <v>0</v>
          </cell>
          <cell r="AR60">
            <v>0</v>
          </cell>
          <cell r="AS60">
            <v>0</v>
          </cell>
          <cell r="AT60">
            <v>0</v>
          </cell>
        </row>
        <row r="61">
          <cell r="G61">
            <v>44601</v>
          </cell>
          <cell r="J61">
            <v>0</v>
          </cell>
          <cell r="K61">
            <v>1</v>
          </cell>
          <cell r="L61">
            <v>0</v>
          </cell>
          <cell r="M61">
            <v>0</v>
          </cell>
          <cell r="N61">
            <v>0</v>
          </cell>
          <cell r="O61">
            <v>0</v>
          </cell>
          <cell r="P61">
            <v>0</v>
          </cell>
          <cell r="Q61">
            <v>1</v>
          </cell>
          <cell r="R61">
            <v>7</v>
          </cell>
          <cell r="S61">
            <v>0</v>
          </cell>
          <cell r="T61">
            <v>0</v>
          </cell>
          <cell r="U61">
            <v>0</v>
          </cell>
          <cell r="V61">
            <v>0</v>
          </cell>
          <cell r="W61">
            <v>0</v>
          </cell>
          <cell r="X61">
            <v>0</v>
          </cell>
          <cell r="Y61">
            <v>0</v>
          </cell>
          <cell r="Z61">
            <v>0</v>
          </cell>
          <cell r="AA61">
            <v>0</v>
          </cell>
          <cell r="AB61">
            <v>0</v>
          </cell>
          <cell r="AC61">
            <v>2700</v>
          </cell>
          <cell r="AD61">
            <v>0</v>
          </cell>
          <cell r="AE61">
            <v>0</v>
          </cell>
          <cell r="AF61">
            <v>0</v>
          </cell>
          <cell r="AG61">
            <v>0</v>
          </cell>
          <cell r="AH61">
            <v>0</v>
          </cell>
          <cell r="AI61">
            <v>4000</v>
          </cell>
          <cell r="AJ61">
            <v>21140.35</v>
          </cell>
          <cell r="AK61">
            <v>0</v>
          </cell>
          <cell r="AL61">
            <v>0</v>
          </cell>
          <cell r="AM61">
            <v>0</v>
          </cell>
          <cell r="AN61">
            <v>0</v>
          </cell>
          <cell r="AO61">
            <v>0</v>
          </cell>
          <cell r="AP61">
            <v>0</v>
          </cell>
          <cell r="AR61">
            <v>0</v>
          </cell>
          <cell r="AS61">
            <v>0</v>
          </cell>
          <cell r="AT61">
            <v>0</v>
          </cell>
        </row>
        <row r="62">
          <cell r="G62">
            <v>44602</v>
          </cell>
          <cell r="J62">
            <v>0</v>
          </cell>
          <cell r="K62">
            <v>1</v>
          </cell>
          <cell r="L62">
            <v>0</v>
          </cell>
          <cell r="M62">
            <v>0</v>
          </cell>
          <cell r="N62">
            <v>0</v>
          </cell>
          <cell r="O62">
            <v>0</v>
          </cell>
          <cell r="P62">
            <v>0</v>
          </cell>
          <cell r="Q62">
            <v>0</v>
          </cell>
          <cell r="R62">
            <v>7</v>
          </cell>
          <cell r="S62">
            <v>0</v>
          </cell>
          <cell r="T62">
            <v>0</v>
          </cell>
          <cell r="U62">
            <v>0</v>
          </cell>
          <cell r="V62">
            <v>0</v>
          </cell>
          <cell r="W62">
            <v>0</v>
          </cell>
          <cell r="X62">
            <v>0</v>
          </cell>
          <cell r="Y62">
            <v>0</v>
          </cell>
          <cell r="Z62">
            <v>0</v>
          </cell>
          <cell r="AA62">
            <v>0</v>
          </cell>
          <cell r="AB62">
            <v>0</v>
          </cell>
          <cell r="AC62">
            <v>2700</v>
          </cell>
          <cell r="AD62">
            <v>0</v>
          </cell>
          <cell r="AE62">
            <v>0</v>
          </cell>
          <cell r="AF62">
            <v>0</v>
          </cell>
          <cell r="AG62">
            <v>0</v>
          </cell>
          <cell r="AH62">
            <v>0</v>
          </cell>
          <cell r="AI62">
            <v>0</v>
          </cell>
          <cell r="AJ62">
            <v>21140.35</v>
          </cell>
          <cell r="AK62">
            <v>0</v>
          </cell>
          <cell r="AL62">
            <v>0</v>
          </cell>
          <cell r="AM62">
            <v>0</v>
          </cell>
          <cell r="AN62">
            <v>0</v>
          </cell>
          <cell r="AO62">
            <v>0</v>
          </cell>
          <cell r="AP62">
            <v>0</v>
          </cell>
          <cell r="AR62">
            <v>0</v>
          </cell>
          <cell r="AS62">
            <v>0</v>
          </cell>
          <cell r="AT62">
            <v>0</v>
          </cell>
        </row>
        <row r="63">
          <cell r="G63">
            <v>44603</v>
          </cell>
          <cell r="J63">
            <v>0</v>
          </cell>
          <cell r="K63">
            <v>2</v>
          </cell>
          <cell r="L63">
            <v>0</v>
          </cell>
          <cell r="M63">
            <v>0</v>
          </cell>
          <cell r="N63">
            <v>0</v>
          </cell>
          <cell r="O63">
            <v>0</v>
          </cell>
          <cell r="P63">
            <v>0</v>
          </cell>
          <cell r="Q63">
            <v>0</v>
          </cell>
          <cell r="R63">
            <v>7</v>
          </cell>
          <cell r="S63">
            <v>0</v>
          </cell>
          <cell r="T63">
            <v>0</v>
          </cell>
          <cell r="U63">
            <v>0</v>
          </cell>
          <cell r="V63">
            <v>0</v>
          </cell>
          <cell r="W63">
            <v>0</v>
          </cell>
          <cell r="X63">
            <v>0</v>
          </cell>
          <cell r="Y63">
            <v>0</v>
          </cell>
          <cell r="Z63">
            <v>0</v>
          </cell>
          <cell r="AA63">
            <v>0</v>
          </cell>
          <cell r="AB63">
            <v>0</v>
          </cell>
          <cell r="AC63">
            <v>4800</v>
          </cell>
          <cell r="AD63">
            <v>0</v>
          </cell>
          <cell r="AE63">
            <v>0</v>
          </cell>
          <cell r="AF63">
            <v>0</v>
          </cell>
          <cell r="AG63">
            <v>0</v>
          </cell>
          <cell r="AH63">
            <v>0</v>
          </cell>
          <cell r="AI63">
            <v>0</v>
          </cell>
          <cell r="AJ63">
            <v>21140.35</v>
          </cell>
          <cell r="AK63">
            <v>0</v>
          </cell>
          <cell r="AL63">
            <v>0</v>
          </cell>
          <cell r="AM63">
            <v>0</v>
          </cell>
          <cell r="AN63">
            <v>0</v>
          </cell>
          <cell r="AO63">
            <v>0</v>
          </cell>
          <cell r="AP63">
            <v>0</v>
          </cell>
          <cell r="AR63">
            <v>0</v>
          </cell>
          <cell r="AS63">
            <v>0</v>
          </cell>
          <cell r="AT63">
            <v>0</v>
          </cell>
        </row>
        <row r="64">
          <cell r="G64">
            <v>44604</v>
          </cell>
          <cell r="J64">
            <v>0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  <cell r="R64">
            <v>7</v>
          </cell>
          <cell r="S64">
            <v>0</v>
          </cell>
          <cell r="T64">
            <v>0</v>
          </cell>
          <cell r="U64">
            <v>0</v>
          </cell>
          <cell r="V64">
            <v>0</v>
          </cell>
          <cell r="W64">
            <v>0</v>
          </cell>
          <cell r="X64">
            <v>0</v>
          </cell>
          <cell r="Y64">
            <v>0</v>
          </cell>
          <cell r="Z64">
            <v>0</v>
          </cell>
          <cell r="AA64">
            <v>0</v>
          </cell>
          <cell r="AB64">
            <v>0</v>
          </cell>
          <cell r="AC64">
            <v>0</v>
          </cell>
          <cell r="AD64">
            <v>0</v>
          </cell>
          <cell r="AE64">
            <v>0</v>
          </cell>
          <cell r="AF64">
            <v>0</v>
          </cell>
          <cell r="AG64">
            <v>0</v>
          </cell>
          <cell r="AH64">
            <v>0</v>
          </cell>
          <cell r="AI64">
            <v>0</v>
          </cell>
          <cell r="AJ64">
            <v>21140.35</v>
          </cell>
          <cell r="AK64">
            <v>0</v>
          </cell>
          <cell r="AL64">
            <v>0</v>
          </cell>
          <cell r="AM64">
            <v>0</v>
          </cell>
          <cell r="AN64">
            <v>0</v>
          </cell>
          <cell r="AO64">
            <v>0</v>
          </cell>
          <cell r="AP64">
            <v>0</v>
          </cell>
          <cell r="AR64">
            <v>0</v>
          </cell>
          <cell r="AS64">
            <v>0</v>
          </cell>
          <cell r="AT64">
            <v>0</v>
          </cell>
        </row>
        <row r="65">
          <cell r="G65">
            <v>44605</v>
          </cell>
          <cell r="J65">
            <v>0</v>
          </cell>
          <cell r="K65">
            <v>3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  <cell r="P65">
            <v>0</v>
          </cell>
          <cell r="Q65">
            <v>0</v>
          </cell>
          <cell r="R65">
            <v>6</v>
          </cell>
          <cell r="S65">
            <v>0</v>
          </cell>
          <cell r="T65">
            <v>0</v>
          </cell>
          <cell r="U65">
            <v>0</v>
          </cell>
          <cell r="V65">
            <v>0</v>
          </cell>
          <cell r="W65">
            <v>0</v>
          </cell>
          <cell r="X65">
            <v>0</v>
          </cell>
          <cell r="Y65">
            <v>0</v>
          </cell>
          <cell r="Z65">
            <v>0</v>
          </cell>
          <cell r="AA65">
            <v>0</v>
          </cell>
          <cell r="AB65">
            <v>0</v>
          </cell>
          <cell r="AC65">
            <v>9390</v>
          </cell>
          <cell r="AD65">
            <v>0</v>
          </cell>
          <cell r="AE65">
            <v>0</v>
          </cell>
          <cell r="AF65">
            <v>0</v>
          </cell>
          <cell r="AG65">
            <v>0</v>
          </cell>
          <cell r="AH65">
            <v>0</v>
          </cell>
          <cell r="AI65">
            <v>0</v>
          </cell>
          <cell r="AJ65">
            <v>17973.689999999999</v>
          </cell>
          <cell r="AK65">
            <v>0</v>
          </cell>
          <cell r="AL65">
            <v>0</v>
          </cell>
          <cell r="AM65">
            <v>0</v>
          </cell>
          <cell r="AN65">
            <v>0</v>
          </cell>
          <cell r="AO65">
            <v>0</v>
          </cell>
          <cell r="AP65">
            <v>0</v>
          </cell>
          <cell r="AR65">
            <v>0</v>
          </cell>
          <cell r="AS65">
            <v>0</v>
          </cell>
          <cell r="AT65">
            <v>0</v>
          </cell>
        </row>
        <row r="66">
          <cell r="G66">
            <v>44606</v>
          </cell>
          <cell r="J66">
            <v>0</v>
          </cell>
          <cell r="K66">
            <v>2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>
            <v>6</v>
          </cell>
          <cell r="S66">
            <v>0</v>
          </cell>
          <cell r="T66">
            <v>0</v>
          </cell>
          <cell r="U66">
            <v>0</v>
          </cell>
          <cell r="V66">
            <v>0</v>
          </cell>
          <cell r="W66">
            <v>0</v>
          </cell>
          <cell r="X66">
            <v>0</v>
          </cell>
          <cell r="Y66">
            <v>0</v>
          </cell>
          <cell r="Z66">
            <v>0</v>
          </cell>
          <cell r="AA66">
            <v>0</v>
          </cell>
          <cell r="AB66">
            <v>0</v>
          </cell>
          <cell r="AC66">
            <v>5310</v>
          </cell>
          <cell r="AD66">
            <v>0</v>
          </cell>
          <cell r="AE66">
            <v>0</v>
          </cell>
          <cell r="AF66">
            <v>0</v>
          </cell>
          <cell r="AG66">
            <v>0</v>
          </cell>
          <cell r="AH66">
            <v>0</v>
          </cell>
          <cell r="AI66">
            <v>0</v>
          </cell>
          <cell r="AJ66">
            <v>17973.689999999999</v>
          </cell>
          <cell r="AK66">
            <v>0</v>
          </cell>
          <cell r="AL66">
            <v>0</v>
          </cell>
          <cell r="AM66">
            <v>0</v>
          </cell>
          <cell r="AN66">
            <v>0</v>
          </cell>
          <cell r="AO66">
            <v>0</v>
          </cell>
          <cell r="AP66">
            <v>0</v>
          </cell>
          <cell r="AR66">
            <v>0</v>
          </cell>
          <cell r="AS66">
            <v>0</v>
          </cell>
          <cell r="AT66">
            <v>0</v>
          </cell>
        </row>
        <row r="67">
          <cell r="G67">
            <v>44607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>
            <v>6</v>
          </cell>
          <cell r="S67">
            <v>0</v>
          </cell>
          <cell r="T67">
            <v>0</v>
          </cell>
          <cell r="U67">
            <v>0</v>
          </cell>
          <cell r="V67">
            <v>0</v>
          </cell>
          <cell r="W67">
            <v>0</v>
          </cell>
          <cell r="X67">
            <v>0</v>
          </cell>
          <cell r="Y67">
            <v>0</v>
          </cell>
          <cell r="Z67">
            <v>0</v>
          </cell>
          <cell r="AA67">
            <v>0</v>
          </cell>
          <cell r="AB67">
            <v>0</v>
          </cell>
          <cell r="AC67">
            <v>0</v>
          </cell>
          <cell r="AD67">
            <v>0</v>
          </cell>
          <cell r="AE67">
            <v>0</v>
          </cell>
          <cell r="AF67">
            <v>0</v>
          </cell>
          <cell r="AG67">
            <v>0</v>
          </cell>
          <cell r="AH67">
            <v>0</v>
          </cell>
          <cell r="AI67">
            <v>0</v>
          </cell>
          <cell r="AJ67">
            <v>17973.689999999999</v>
          </cell>
          <cell r="AK67">
            <v>0</v>
          </cell>
          <cell r="AL67">
            <v>0</v>
          </cell>
          <cell r="AM67">
            <v>0</v>
          </cell>
          <cell r="AN67">
            <v>0</v>
          </cell>
          <cell r="AO67">
            <v>0</v>
          </cell>
          <cell r="AP67">
            <v>0</v>
          </cell>
          <cell r="AR67">
            <v>0</v>
          </cell>
          <cell r="AS67">
            <v>0</v>
          </cell>
          <cell r="AT67">
            <v>0</v>
          </cell>
        </row>
        <row r="68">
          <cell r="G68">
            <v>44608</v>
          </cell>
          <cell r="J68">
            <v>0</v>
          </cell>
          <cell r="K68">
            <v>1</v>
          </cell>
          <cell r="L68">
            <v>0</v>
          </cell>
          <cell r="M68">
            <v>0</v>
          </cell>
          <cell r="N68">
            <v>0</v>
          </cell>
          <cell r="O68">
            <v>0</v>
          </cell>
          <cell r="P68">
            <v>0</v>
          </cell>
          <cell r="Q68">
            <v>0</v>
          </cell>
          <cell r="R68">
            <v>6</v>
          </cell>
          <cell r="S68">
            <v>0</v>
          </cell>
          <cell r="T68">
            <v>0</v>
          </cell>
          <cell r="U68">
            <v>0</v>
          </cell>
          <cell r="V68">
            <v>0</v>
          </cell>
          <cell r="W68">
            <v>0</v>
          </cell>
          <cell r="X68">
            <v>0</v>
          </cell>
          <cell r="Y68">
            <v>0</v>
          </cell>
          <cell r="Z68">
            <v>0</v>
          </cell>
          <cell r="AA68">
            <v>0</v>
          </cell>
          <cell r="AB68">
            <v>0</v>
          </cell>
          <cell r="AC68">
            <v>3000</v>
          </cell>
          <cell r="AD68">
            <v>0</v>
          </cell>
          <cell r="AE68">
            <v>0</v>
          </cell>
          <cell r="AF68">
            <v>0</v>
          </cell>
          <cell r="AG68">
            <v>0</v>
          </cell>
          <cell r="AH68">
            <v>0</v>
          </cell>
          <cell r="AI68">
            <v>0</v>
          </cell>
          <cell r="AJ68">
            <v>17973.689999999999</v>
          </cell>
          <cell r="AK68">
            <v>0</v>
          </cell>
          <cell r="AL68">
            <v>0</v>
          </cell>
          <cell r="AM68">
            <v>0</v>
          </cell>
          <cell r="AN68">
            <v>0</v>
          </cell>
          <cell r="AO68">
            <v>0</v>
          </cell>
          <cell r="AP68">
            <v>0</v>
          </cell>
          <cell r="AR68">
            <v>0</v>
          </cell>
          <cell r="AS68">
            <v>0</v>
          </cell>
          <cell r="AT68">
            <v>0</v>
          </cell>
        </row>
        <row r="69">
          <cell r="G69">
            <v>44609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  <cell r="P69">
            <v>0</v>
          </cell>
          <cell r="Q69">
            <v>0</v>
          </cell>
          <cell r="R69">
            <v>6</v>
          </cell>
          <cell r="S69">
            <v>0</v>
          </cell>
          <cell r="T69">
            <v>0</v>
          </cell>
          <cell r="U69">
            <v>0</v>
          </cell>
          <cell r="V69">
            <v>0</v>
          </cell>
          <cell r="W69">
            <v>0</v>
          </cell>
          <cell r="X69">
            <v>0</v>
          </cell>
          <cell r="Y69">
            <v>0</v>
          </cell>
          <cell r="Z69">
            <v>0</v>
          </cell>
          <cell r="AA69">
            <v>0</v>
          </cell>
          <cell r="AB69">
            <v>0</v>
          </cell>
          <cell r="AC69">
            <v>0</v>
          </cell>
          <cell r="AD69">
            <v>0</v>
          </cell>
          <cell r="AE69">
            <v>0</v>
          </cell>
          <cell r="AF69">
            <v>0</v>
          </cell>
          <cell r="AG69">
            <v>0</v>
          </cell>
          <cell r="AH69">
            <v>0</v>
          </cell>
          <cell r="AI69">
            <v>0</v>
          </cell>
          <cell r="AJ69">
            <v>17973.689999999999</v>
          </cell>
          <cell r="AK69">
            <v>0</v>
          </cell>
          <cell r="AL69">
            <v>0</v>
          </cell>
          <cell r="AM69">
            <v>0</v>
          </cell>
          <cell r="AN69">
            <v>0</v>
          </cell>
          <cell r="AO69">
            <v>0</v>
          </cell>
          <cell r="AP69">
            <v>0</v>
          </cell>
          <cell r="AR69">
            <v>0</v>
          </cell>
          <cell r="AS69">
            <v>0</v>
          </cell>
          <cell r="AT69">
            <v>0</v>
          </cell>
        </row>
        <row r="70">
          <cell r="G70">
            <v>44610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>
            <v>6</v>
          </cell>
          <cell r="S70">
            <v>0</v>
          </cell>
          <cell r="T70">
            <v>0</v>
          </cell>
          <cell r="U70">
            <v>0</v>
          </cell>
          <cell r="V70">
            <v>0</v>
          </cell>
          <cell r="W70">
            <v>0</v>
          </cell>
          <cell r="X70">
            <v>0</v>
          </cell>
          <cell r="Y70">
            <v>0</v>
          </cell>
          <cell r="Z70">
            <v>0</v>
          </cell>
          <cell r="AA70">
            <v>0</v>
          </cell>
          <cell r="AB70">
            <v>0</v>
          </cell>
          <cell r="AC70">
            <v>0</v>
          </cell>
          <cell r="AD70">
            <v>0</v>
          </cell>
          <cell r="AE70">
            <v>0</v>
          </cell>
          <cell r="AF70">
            <v>0</v>
          </cell>
          <cell r="AG70">
            <v>0</v>
          </cell>
          <cell r="AH70">
            <v>0</v>
          </cell>
          <cell r="AI70">
            <v>0</v>
          </cell>
          <cell r="AJ70">
            <v>17973.689999999999</v>
          </cell>
          <cell r="AK70">
            <v>0</v>
          </cell>
          <cell r="AL70">
            <v>0</v>
          </cell>
          <cell r="AM70">
            <v>0</v>
          </cell>
          <cell r="AN70">
            <v>0</v>
          </cell>
          <cell r="AO70">
            <v>0</v>
          </cell>
          <cell r="AP70">
            <v>0</v>
          </cell>
          <cell r="AR70">
            <v>0</v>
          </cell>
          <cell r="AS70">
            <v>0</v>
          </cell>
          <cell r="AT70">
            <v>0</v>
          </cell>
        </row>
        <row r="71">
          <cell r="G71">
            <v>44611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  <cell r="R71">
            <v>6</v>
          </cell>
          <cell r="S71">
            <v>0</v>
          </cell>
          <cell r="T71">
            <v>0</v>
          </cell>
          <cell r="U71">
            <v>10</v>
          </cell>
          <cell r="V71">
            <v>0</v>
          </cell>
          <cell r="W71">
            <v>0</v>
          </cell>
          <cell r="X71">
            <v>0</v>
          </cell>
          <cell r="Y71">
            <v>0</v>
          </cell>
          <cell r="Z71">
            <v>0</v>
          </cell>
          <cell r="AA71">
            <v>0</v>
          </cell>
          <cell r="AB71">
            <v>0</v>
          </cell>
          <cell r="AC71">
            <v>0</v>
          </cell>
          <cell r="AD71">
            <v>0</v>
          </cell>
          <cell r="AE71">
            <v>0</v>
          </cell>
          <cell r="AF71">
            <v>0</v>
          </cell>
          <cell r="AG71">
            <v>0</v>
          </cell>
          <cell r="AH71">
            <v>0</v>
          </cell>
          <cell r="AI71">
            <v>0</v>
          </cell>
          <cell r="AJ71">
            <v>17973.689999999999</v>
          </cell>
          <cell r="AK71">
            <v>0</v>
          </cell>
          <cell r="AL71">
            <v>0</v>
          </cell>
          <cell r="AM71">
            <v>25000</v>
          </cell>
          <cell r="AN71">
            <v>0</v>
          </cell>
          <cell r="AO71">
            <v>0</v>
          </cell>
          <cell r="AP71">
            <v>0</v>
          </cell>
          <cell r="AR71">
            <v>0</v>
          </cell>
          <cell r="AS71">
            <v>0</v>
          </cell>
          <cell r="AT71">
            <v>0</v>
          </cell>
        </row>
        <row r="72">
          <cell r="G72">
            <v>44612</v>
          </cell>
          <cell r="J72">
            <v>0</v>
          </cell>
          <cell r="K72">
            <v>1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  <cell r="R72">
            <v>5</v>
          </cell>
          <cell r="S72">
            <v>0</v>
          </cell>
          <cell r="T72">
            <v>0</v>
          </cell>
          <cell r="U72">
            <v>0</v>
          </cell>
          <cell r="V72">
            <v>0</v>
          </cell>
          <cell r="W72">
            <v>0</v>
          </cell>
          <cell r="X72">
            <v>0</v>
          </cell>
          <cell r="Y72">
            <v>0</v>
          </cell>
          <cell r="Z72">
            <v>0</v>
          </cell>
          <cell r="AA72">
            <v>0</v>
          </cell>
          <cell r="AB72">
            <v>0</v>
          </cell>
          <cell r="AC72">
            <v>2200.5</v>
          </cell>
          <cell r="AD72">
            <v>0</v>
          </cell>
          <cell r="AE72">
            <v>0</v>
          </cell>
          <cell r="AF72">
            <v>0</v>
          </cell>
          <cell r="AG72">
            <v>0</v>
          </cell>
          <cell r="AH72">
            <v>0</v>
          </cell>
          <cell r="AI72">
            <v>0</v>
          </cell>
          <cell r="AJ72">
            <v>15669.54</v>
          </cell>
          <cell r="AK72">
            <v>0</v>
          </cell>
          <cell r="AL72">
            <v>0</v>
          </cell>
          <cell r="AM72">
            <v>0</v>
          </cell>
          <cell r="AN72">
            <v>0</v>
          </cell>
          <cell r="AO72">
            <v>0</v>
          </cell>
          <cell r="AP72">
            <v>0</v>
          </cell>
          <cell r="AR72">
            <v>0</v>
          </cell>
          <cell r="AS72">
            <v>0</v>
          </cell>
          <cell r="AT72">
            <v>0</v>
          </cell>
        </row>
        <row r="73">
          <cell r="G73">
            <v>44613</v>
          </cell>
          <cell r="J73">
            <v>0</v>
          </cell>
          <cell r="K73">
            <v>1</v>
          </cell>
          <cell r="L73">
            <v>0</v>
          </cell>
          <cell r="M73">
            <v>0</v>
          </cell>
          <cell r="N73">
            <v>0</v>
          </cell>
          <cell r="O73">
            <v>0</v>
          </cell>
          <cell r="P73">
            <v>0</v>
          </cell>
          <cell r="Q73">
            <v>0</v>
          </cell>
          <cell r="R73">
            <v>5</v>
          </cell>
          <cell r="S73">
            <v>0</v>
          </cell>
          <cell r="T73">
            <v>0</v>
          </cell>
          <cell r="U73">
            <v>0</v>
          </cell>
          <cell r="V73">
            <v>0</v>
          </cell>
          <cell r="W73">
            <v>0</v>
          </cell>
          <cell r="X73">
            <v>0</v>
          </cell>
          <cell r="Y73">
            <v>0</v>
          </cell>
          <cell r="Z73">
            <v>0</v>
          </cell>
          <cell r="AA73">
            <v>0</v>
          </cell>
          <cell r="AB73">
            <v>0</v>
          </cell>
          <cell r="AC73">
            <v>2200.5</v>
          </cell>
          <cell r="AD73">
            <v>0</v>
          </cell>
          <cell r="AE73">
            <v>0</v>
          </cell>
          <cell r="AF73">
            <v>0</v>
          </cell>
          <cell r="AG73">
            <v>0</v>
          </cell>
          <cell r="AH73">
            <v>0</v>
          </cell>
          <cell r="AI73">
            <v>0</v>
          </cell>
          <cell r="AJ73">
            <v>15669.54</v>
          </cell>
          <cell r="AK73">
            <v>0</v>
          </cell>
          <cell r="AL73">
            <v>0</v>
          </cell>
          <cell r="AM73">
            <v>0</v>
          </cell>
          <cell r="AN73">
            <v>0</v>
          </cell>
          <cell r="AO73">
            <v>0</v>
          </cell>
          <cell r="AP73">
            <v>0</v>
          </cell>
          <cell r="AR73">
            <v>0</v>
          </cell>
          <cell r="AS73">
            <v>0</v>
          </cell>
          <cell r="AT73">
            <v>0</v>
          </cell>
        </row>
        <row r="74">
          <cell r="G74">
            <v>44614</v>
          </cell>
          <cell r="J74">
            <v>0</v>
          </cell>
          <cell r="K74">
            <v>1</v>
          </cell>
          <cell r="L74">
            <v>0</v>
          </cell>
          <cell r="M74">
            <v>0</v>
          </cell>
          <cell r="N74">
            <v>0</v>
          </cell>
          <cell r="O74">
            <v>0</v>
          </cell>
          <cell r="P74">
            <v>0</v>
          </cell>
          <cell r="Q74">
            <v>0</v>
          </cell>
          <cell r="R74">
            <v>5</v>
          </cell>
          <cell r="S74">
            <v>0</v>
          </cell>
          <cell r="T74">
            <v>0</v>
          </cell>
          <cell r="U74">
            <v>0</v>
          </cell>
          <cell r="V74">
            <v>0</v>
          </cell>
          <cell r="W74">
            <v>0</v>
          </cell>
          <cell r="X74">
            <v>0</v>
          </cell>
          <cell r="Y74">
            <v>0</v>
          </cell>
          <cell r="Z74">
            <v>0</v>
          </cell>
          <cell r="AA74">
            <v>0</v>
          </cell>
          <cell r="AB74">
            <v>0</v>
          </cell>
          <cell r="AC74">
            <v>2200.5</v>
          </cell>
          <cell r="AD74">
            <v>0</v>
          </cell>
          <cell r="AE74">
            <v>0</v>
          </cell>
          <cell r="AF74">
            <v>0</v>
          </cell>
          <cell r="AG74">
            <v>0</v>
          </cell>
          <cell r="AH74">
            <v>0</v>
          </cell>
          <cell r="AI74">
            <v>0</v>
          </cell>
          <cell r="AJ74">
            <v>15669.54</v>
          </cell>
          <cell r="AK74">
            <v>0</v>
          </cell>
          <cell r="AL74">
            <v>0</v>
          </cell>
          <cell r="AM74">
            <v>0</v>
          </cell>
          <cell r="AN74">
            <v>0</v>
          </cell>
          <cell r="AO74">
            <v>0</v>
          </cell>
          <cell r="AP74">
            <v>0</v>
          </cell>
          <cell r="AR74">
            <v>0</v>
          </cell>
          <cell r="AS74">
            <v>0</v>
          </cell>
          <cell r="AT74">
            <v>0</v>
          </cell>
        </row>
        <row r="75">
          <cell r="G75">
            <v>44615</v>
          </cell>
          <cell r="J75">
            <v>0</v>
          </cell>
          <cell r="K75">
            <v>1</v>
          </cell>
          <cell r="L75">
            <v>0</v>
          </cell>
          <cell r="M75">
            <v>0</v>
          </cell>
          <cell r="N75">
            <v>0</v>
          </cell>
          <cell r="O75">
            <v>0</v>
          </cell>
          <cell r="P75">
            <v>0</v>
          </cell>
          <cell r="Q75">
            <v>0</v>
          </cell>
          <cell r="R75">
            <v>5</v>
          </cell>
          <cell r="S75">
            <v>0</v>
          </cell>
          <cell r="T75">
            <v>0</v>
          </cell>
          <cell r="U75">
            <v>0</v>
          </cell>
          <cell r="V75">
            <v>0</v>
          </cell>
          <cell r="W75">
            <v>0</v>
          </cell>
          <cell r="X75">
            <v>0</v>
          </cell>
          <cell r="Y75">
            <v>0</v>
          </cell>
          <cell r="Z75">
            <v>0</v>
          </cell>
          <cell r="AA75">
            <v>0</v>
          </cell>
          <cell r="AB75">
            <v>0</v>
          </cell>
          <cell r="AC75">
            <v>2200.5</v>
          </cell>
          <cell r="AD75">
            <v>0</v>
          </cell>
          <cell r="AE75">
            <v>0</v>
          </cell>
          <cell r="AF75">
            <v>0</v>
          </cell>
          <cell r="AG75">
            <v>0</v>
          </cell>
          <cell r="AH75">
            <v>0</v>
          </cell>
          <cell r="AI75">
            <v>0</v>
          </cell>
          <cell r="AJ75">
            <v>15669.54</v>
          </cell>
          <cell r="AK75">
            <v>0</v>
          </cell>
          <cell r="AL75">
            <v>0</v>
          </cell>
          <cell r="AM75">
            <v>0</v>
          </cell>
          <cell r="AN75">
            <v>0</v>
          </cell>
          <cell r="AO75">
            <v>0</v>
          </cell>
          <cell r="AP75">
            <v>0</v>
          </cell>
          <cell r="AR75">
            <v>0</v>
          </cell>
          <cell r="AS75">
            <v>0</v>
          </cell>
          <cell r="AT75">
            <v>0</v>
          </cell>
        </row>
        <row r="76">
          <cell r="G76">
            <v>44616</v>
          </cell>
          <cell r="J76">
            <v>0</v>
          </cell>
          <cell r="K76">
            <v>2</v>
          </cell>
          <cell r="L76">
            <v>0</v>
          </cell>
          <cell r="M76">
            <v>0</v>
          </cell>
          <cell r="N76">
            <v>0</v>
          </cell>
          <cell r="O76">
            <v>0</v>
          </cell>
          <cell r="P76">
            <v>0</v>
          </cell>
          <cell r="Q76">
            <v>0</v>
          </cell>
          <cell r="R76">
            <v>5</v>
          </cell>
          <cell r="S76">
            <v>0</v>
          </cell>
          <cell r="T76">
            <v>0</v>
          </cell>
          <cell r="U76">
            <v>0</v>
          </cell>
          <cell r="V76">
            <v>0</v>
          </cell>
          <cell r="W76">
            <v>0</v>
          </cell>
          <cell r="X76">
            <v>0</v>
          </cell>
          <cell r="Y76">
            <v>0</v>
          </cell>
          <cell r="Z76">
            <v>0</v>
          </cell>
          <cell r="AA76">
            <v>0</v>
          </cell>
          <cell r="AB76">
            <v>0</v>
          </cell>
          <cell r="AC76">
            <v>7975.5</v>
          </cell>
          <cell r="AD76">
            <v>0</v>
          </cell>
          <cell r="AE76">
            <v>0</v>
          </cell>
          <cell r="AF76">
            <v>0</v>
          </cell>
          <cell r="AG76">
            <v>0</v>
          </cell>
          <cell r="AH76">
            <v>0</v>
          </cell>
          <cell r="AI76">
            <v>0</v>
          </cell>
          <cell r="AJ76">
            <v>15669.54</v>
          </cell>
          <cell r="AK76">
            <v>0</v>
          </cell>
          <cell r="AL76">
            <v>0</v>
          </cell>
          <cell r="AM76">
            <v>0</v>
          </cell>
          <cell r="AN76">
            <v>0</v>
          </cell>
          <cell r="AO76">
            <v>0</v>
          </cell>
          <cell r="AP76">
            <v>0</v>
          </cell>
          <cell r="AR76">
            <v>0</v>
          </cell>
          <cell r="AS76">
            <v>0</v>
          </cell>
          <cell r="AT76">
            <v>0</v>
          </cell>
        </row>
        <row r="77">
          <cell r="G77">
            <v>44617</v>
          </cell>
          <cell r="J77">
            <v>0</v>
          </cell>
          <cell r="K77">
            <v>0</v>
          </cell>
          <cell r="L77">
            <v>0</v>
          </cell>
          <cell r="M77">
            <v>0</v>
          </cell>
          <cell r="N77">
            <v>0</v>
          </cell>
          <cell r="O77">
            <v>0</v>
          </cell>
          <cell r="P77">
            <v>0</v>
          </cell>
          <cell r="Q77">
            <v>0</v>
          </cell>
          <cell r="R77">
            <v>5</v>
          </cell>
          <cell r="S77">
            <v>0</v>
          </cell>
          <cell r="T77">
            <v>0</v>
          </cell>
          <cell r="U77">
            <v>0</v>
          </cell>
          <cell r="V77">
            <v>0</v>
          </cell>
          <cell r="W77">
            <v>0</v>
          </cell>
          <cell r="X77">
            <v>0</v>
          </cell>
          <cell r="Y77">
            <v>0</v>
          </cell>
          <cell r="Z77">
            <v>0</v>
          </cell>
          <cell r="AA77">
            <v>0</v>
          </cell>
          <cell r="AB77">
            <v>0</v>
          </cell>
          <cell r="AC77">
            <v>0</v>
          </cell>
          <cell r="AD77">
            <v>0</v>
          </cell>
          <cell r="AE77">
            <v>0</v>
          </cell>
          <cell r="AF77">
            <v>0</v>
          </cell>
          <cell r="AG77">
            <v>0</v>
          </cell>
          <cell r="AH77">
            <v>0</v>
          </cell>
          <cell r="AI77">
            <v>0</v>
          </cell>
          <cell r="AJ77">
            <v>15669.54</v>
          </cell>
          <cell r="AK77">
            <v>0</v>
          </cell>
          <cell r="AL77">
            <v>0</v>
          </cell>
          <cell r="AM77">
            <v>0</v>
          </cell>
          <cell r="AN77">
            <v>0</v>
          </cell>
          <cell r="AO77">
            <v>0</v>
          </cell>
          <cell r="AP77">
            <v>0</v>
          </cell>
          <cell r="AR77">
            <v>0</v>
          </cell>
          <cell r="AS77">
            <v>0</v>
          </cell>
          <cell r="AT77">
            <v>0</v>
          </cell>
        </row>
        <row r="78">
          <cell r="G78">
            <v>44618</v>
          </cell>
          <cell r="J78">
            <v>0</v>
          </cell>
          <cell r="K78">
            <v>0</v>
          </cell>
          <cell r="L78">
            <v>0</v>
          </cell>
          <cell r="M78">
            <v>0</v>
          </cell>
          <cell r="N78">
            <v>0</v>
          </cell>
          <cell r="O78">
            <v>0</v>
          </cell>
          <cell r="P78">
            <v>0</v>
          </cell>
          <cell r="Q78">
            <v>0</v>
          </cell>
          <cell r="R78">
            <v>5</v>
          </cell>
          <cell r="S78">
            <v>0</v>
          </cell>
          <cell r="T78">
            <v>0</v>
          </cell>
          <cell r="U78">
            <v>0</v>
          </cell>
          <cell r="V78">
            <v>0</v>
          </cell>
          <cell r="W78">
            <v>0</v>
          </cell>
          <cell r="X78">
            <v>0</v>
          </cell>
          <cell r="Y78">
            <v>0</v>
          </cell>
          <cell r="Z78">
            <v>0</v>
          </cell>
          <cell r="AA78">
            <v>0</v>
          </cell>
          <cell r="AB78">
            <v>0</v>
          </cell>
          <cell r="AC78">
            <v>0</v>
          </cell>
          <cell r="AD78">
            <v>0</v>
          </cell>
          <cell r="AE78">
            <v>0</v>
          </cell>
          <cell r="AF78">
            <v>0</v>
          </cell>
          <cell r="AG78">
            <v>0</v>
          </cell>
          <cell r="AH78">
            <v>0</v>
          </cell>
          <cell r="AI78">
            <v>0</v>
          </cell>
          <cell r="AJ78">
            <v>15669.54</v>
          </cell>
          <cell r="AK78">
            <v>0</v>
          </cell>
          <cell r="AL78">
            <v>0</v>
          </cell>
          <cell r="AM78">
            <v>0</v>
          </cell>
          <cell r="AN78">
            <v>0</v>
          </cell>
          <cell r="AO78">
            <v>0</v>
          </cell>
          <cell r="AP78">
            <v>0</v>
          </cell>
          <cell r="AR78">
            <v>0</v>
          </cell>
          <cell r="AS78">
            <v>0</v>
          </cell>
          <cell r="AT78">
            <v>0</v>
          </cell>
        </row>
        <row r="79">
          <cell r="G79">
            <v>44619</v>
          </cell>
          <cell r="J79">
            <v>0</v>
          </cell>
          <cell r="K79">
            <v>0</v>
          </cell>
          <cell r="L79">
            <v>0</v>
          </cell>
          <cell r="M79">
            <v>0</v>
          </cell>
          <cell r="N79">
            <v>0</v>
          </cell>
          <cell r="O79">
            <v>0</v>
          </cell>
          <cell r="P79">
            <v>0</v>
          </cell>
          <cell r="Q79">
            <v>0</v>
          </cell>
          <cell r="R79">
            <v>5</v>
          </cell>
          <cell r="S79">
            <v>0</v>
          </cell>
          <cell r="T79">
            <v>0</v>
          </cell>
          <cell r="U79">
            <v>0</v>
          </cell>
          <cell r="V79">
            <v>0</v>
          </cell>
          <cell r="W79">
            <v>0</v>
          </cell>
          <cell r="X79">
            <v>0</v>
          </cell>
          <cell r="Y79">
            <v>0</v>
          </cell>
          <cell r="Z79">
            <v>0</v>
          </cell>
          <cell r="AA79">
            <v>0</v>
          </cell>
          <cell r="AB79">
            <v>0</v>
          </cell>
          <cell r="AC79">
            <v>0</v>
          </cell>
          <cell r="AD79">
            <v>0</v>
          </cell>
          <cell r="AE79">
            <v>0</v>
          </cell>
          <cell r="AF79">
            <v>0</v>
          </cell>
          <cell r="AG79">
            <v>0</v>
          </cell>
          <cell r="AH79">
            <v>0</v>
          </cell>
          <cell r="AI79">
            <v>0</v>
          </cell>
          <cell r="AJ79">
            <v>15669.54</v>
          </cell>
          <cell r="AK79">
            <v>0</v>
          </cell>
          <cell r="AL79">
            <v>0</v>
          </cell>
          <cell r="AM79">
            <v>0</v>
          </cell>
          <cell r="AN79">
            <v>0</v>
          </cell>
          <cell r="AO79">
            <v>0</v>
          </cell>
          <cell r="AP79">
            <v>0</v>
          </cell>
          <cell r="AR79">
            <v>0</v>
          </cell>
          <cell r="AS79">
            <v>0</v>
          </cell>
          <cell r="AT79">
            <v>0</v>
          </cell>
        </row>
        <row r="80">
          <cell r="G80">
            <v>44620</v>
          </cell>
          <cell r="J80">
            <v>0</v>
          </cell>
          <cell r="K80">
            <v>0</v>
          </cell>
          <cell r="L80">
            <v>0</v>
          </cell>
          <cell r="M80">
            <v>0</v>
          </cell>
          <cell r="N80">
            <v>0</v>
          </cell>
          <cell r="O80">
            <v>0</v>
          </cell>
          <cell r="P80">
            <v>0</v>
          </cell>
          <cell r="Q80">
            <v>0</v>
          </cell>
          <cell r="R80">
            <v>4</v>
          </cell>
          <cell r="S80">
            <v>0</v>
          </cell>
          <cell r="T80">
            <v>0</v>
          </cell>
          <cell r="U80">
            <v>0</v>
          </cell>
          <cell r="V80">
            <v>0</v>
          </cell>
          <cell r="W80">
            <v>0</v>
          </cell>
          <cell r="X80">
            <v>0</v>
          </cell>
          <cell r="Y80">
            <v>0</v>
          </cell>
          <cell r="Z80">
            <v>0</v>
          </cell>
          <cell r="AA80">
            <v>0</v>
          </cell>
          <cell r="AB80">
            <v>0</v>
          </cell>
          <cell r="AC80">
            <v>0</v>
          </cell>
          <cell r="AD80">
            <v>0</v>
          </cell>
          <cell r="AE80">
            <v>0</v>
          </cell>
          <cell r="AF80">
            <v>0</v>
          </cell>
          <cell r="AG80">
            <v>0</v>
          </cell>
          <cell r="AH80">
            <v>0</v>
          </cell>
          <cell r="AI80">
            <v>0</v>
          </cell>
          <cell r="AJ80">
            <v>12169.54</v>
          </cell>
          <cell r="AK80">
            <v>0</v>
          </cell>
          <cell r="AL80">
            <v>0</v>
          </cell>
          <cell r="AM80">
            <v>0</v>
          </cell>
          <cell r="AN80">
            <v>0</v>
          </cell>
          <cell r="AO80">
            <v>0</v>
          </cell>
          <cell r="AP80">
            <v>0</v>
          </cell>
          <cell r="AR80">
            <v>0</v>
          </cell>
          <cell r="AS80">
            <v>0</v>
          </cell>
          <cell r="AT80">
            <v>0</v>
          </cell>
        </row>
        <row r="81">
          <cell r="G81">
            <v>44621</v>
          </cell>
          <cell r="J81">
            <v>0</v>
          </cell>
          <cell r="K81">
            <v>0</v>
          </cell>
          <cell r="L81">
            <v>0</v>
          </cell>
          <cell r="M81">
            <v>0</v>
          </cell>
          <cell r="N81">
            <v>0</v>
          </cell>
          <cell r="O81">
            <v>0</v>
          </cell>
          <cell r="P81">
            <v>0</v>
          </cell>
          <cell r="Q81">
            <v>0</v>
          </cell>
          <cell r="R81">
            <v>4</v>
          </cell>
          <cell r="S81">
            <v>0</v>
          </cell>
          <cell r="T81">
            <v>0</v>
          </cell>
          <cell r="U81">
            <v>0</v>
          </cell>
          <cell r="V81">
            <v>0</v>
          </cell>
          <cell r="W81">
            <v>0</v>
          </cell>
          <cell r="X81">
            <v>0</v>
          </cell>
          <cell r="Y81">
            <v>0</v>
          </cell>
          <cell r="Z81">
            <v>0</v>
          </cell>
          <cell r="AA81">
            <v>0</v>
          </cell>
          <cell r="AB81">
            <v>0</v>
          </cell>
          <cell r="AC81">
            <v>0</v>
          </cell>
          <cell r="AD81">
            <v>0</v>
          </cell>
          <cell r="AE81">
            <v>0</v>
          </cell>
          <cell r="AF81">
            <v>0</v>
          </cell>
          <cell r="AG81">
            <v>0</v>
          </cell>
          <cell r="AH81">
            <v>0</v>
          </cell>
          <cell r="AI81">
            <v>0</v>
          </cell>
          <cell r="AJ81">
            <v>12169.54</v>
          </cell>
          <cell r="AK81">
            <v>0</v>
          </cell>
          <cell r="AL81">
            <v>0</v>
          </cell>
          <cell r="AM81">
            <v>0</v>
          </cell>
          <cell r="AN81">
            <v>0</v>
          </cell>
          <cell r="AO81">
            <v>0</v>
          </cell>
          <cell r="AP81">
            <v>0</v>
          </cell>
          <cell r="AR81">
            <v>0</v>
          </cell>
          <cell r="AS81">
            <v>0</v>
          </cell>
          <cell r="AT81">
            <v>0</v>
          </cell>
        </row>
        <row r="82">
          <cell r="G82">
            <v>44622</v>
          </cell>
          <cell r="J82">
            <v>0</v>
          </cell>
          <cell r="K82">
            <v>0</v>
          </cell>
          <cell r="L82">
            <v>0</v>
          </cell>
          <cell r="M82">
            <v>0</v>
          </cell>
          <cell r="N82">
            <v>0</v>
          </cell>
          <cell r="O82">
            <v>0</v>
          </cell>
          <cell r="P82">
            <v>0</v>
          </cell>
          <cell r="Q82">
            <v>0</v>
          </cell>
          <cell r="R82">
            <v>4</v>
          </cell>
          <cell r="S82">
            <v>0</v>
          </cell>
          <cell r="T82">
            <v>0</v>
          </cell>
          <cell r="U82">
            <v>0</v>
          </cell>
          <cell r="V82">
            <v>0</v>
          </cell>
          <cell r="W82">
            <v>0</v>
          </cell>
          <cell r="X82">
            <v>0</v>
          </cell>
          <cell r="Y82">
            <v>0</v>
          </cell>
          <cell r="Z82">
            <v>0</v>
          </cell>
          <cell r="AA82">
            <v>0</v>
          </cell>
          <cell r="AB82">
            <v>0</v>
          </cell>
          <cell r="AC82">
            <v>0</v>
          </cell>
          <cell r="AD82">
            <v>0</v>
          </cell>
          <cell r="AE82">
            <v>0</v>
          </cell>
          <cell r="AF82">
            <v>0</v>
          </cell>
          <cell r="AG82">
            <v>0</v>
          </cell>
          <cell r="AH82">
            <v>0</v>
          </cell>
          <cell r="AI82">
            <v>0</v>
          </cell>
          <cell r="AJ82">
            <v>12169.54</v>
          </cell>
          <cell r="AK82">
            <v>0</v>
          </cell>
          <cell r="AL82">
            <v>0</v>
          </cell>
          <cell r="AM82">
            <v>0</v>
          </cell>
          <cell r="AN82">
            <v>0</v>
          </cell>
          <cell r="AO82">
            <v>0</v>
          </cell>
          <cell r="AP82">
            <v>0</v>
          </cell>
          <cell r="AR82">
            <v>0</v>
          </cell>
          <cell r="AS82">
            <v>0</v>
          </cell>
          <cell r="AT82">
            <v>0</v>
          </cell>
        </row>
        <row r="83">
          <cell r="G83">
            <v>44623</v>
          </cell>
          <cell r="J83">
            <v>0</v>
          </cell>
          <cell r="K83">
            <v>0</v>
          </cell>
          <cell r="L83">
            <v>0</v>
          </cell>
          <cell r="M83">
            <v>0</v>
          </cell>
          <cell r="N83">
            <v>0</v>
          </cell>
          <cell r="O83">
            <v>0</v>
          </cell>
          <cell r="P83">
            <v>0</v>
          </cell>
          <cell r="Q83">
            <v>0</v>
          </cell>
          <cell r="R83">
            <v>4</v>
          </cell>
          <cell r="S83">
            <v>0</v>
          </cell>
          <cell r="T83">
            <v>0</v>
          </cell>
          <cell r="U83">
            <v>0</v>
          </cell>
          <cell r="V83">
            <v>0</v>
          </cell>
          <cell r="W83">
            <v>0</v>
          </cell>
          <cell r="X83">
            <v>0</v>
          </cell>
          <cell r="Y83">
            <v>0</v>
          </cell>
          <cell r="Z83">
            <v>0</v>
          </cell>
          <cell r="AA83">
            <v>0</v>
          </cell>
          <cell r="AB83">
            <v>0</v>
          </cell>
          <cell r="AC83">
            <v>0</v>
          </cell>
          <cell r="AD83">
            <v>0</v>
          </cell>
          <cell r="AE83">
            <v>0</v>
          </cell>
          <cell r="AF83">
            <v>0</v>
          </cell>
          <cell r="AG83">
            <v>0</v>
          </cell>
          <cell r="AH83">
            <v>0</v>
          </cell>
          <cell r="AI83">
            <v>0</v>
          </cell>
          <cell r="AJ83">
            <v>12169.54</v>
          </cell>
          <cell r="AK83">
            <v>0</v>
          </cell>
          <cell r="AL83">
            <v>0</v>
          </cell>
          <cell r="AM83">
            <v>0</v>
          </cell>
          <cell r="AN83">
            <v>0</v>
          </cell>
          <cell r="AO83">
            <v>0</v>
          </cell>
          <cell r="AP83">
            <v>0</v>
          </cell>
          <cell r="AR83">
            <v>0</v>
          </cell>
          <cell r="AS83">
            <v>0</v>
          </cell>
          <cell r="AT83">
            <v>0</v>
          </cell>
        </row>
        <row r="84">
          <cell r="G84">
            <v>44624</v>
          </cell>
          <cell r="J84">
            <v>0</v>
          </cell>
          <cell r="K84">
            <v>0</v>
          </cell>
          <cell r="L84">
            <v>0</v>
          </cell>
          <cell r="M84">
            <v>0</v>
          </cell>
          <cell r="N84">
            <v>0</v>
          </cell>
          <cell r="O84">
            <v>0</v>
          </cell>
          <cell r="P84">
            <v>0</v>
          </cell>
          <cell r="Q84">
            <v>0</v>
          </cell>
          <cell r="R84">
            <v>4</v>
          </cell>
          <cell r="S84">
            <v>0</v>
          </cell>
          <cell r="T84">
            <v>0</v>
          </cell>
          <cell r="U84">
            <v>0</v>
          </cell>
          <cell r="V84">
            <v>0</v>
          </cell>
          <cell r="W84">
            <v>0</v>
          </cell>
          <cell r="X84">
            <v>0</v>
          </cell>
          <cell r="Y84">
            <v>0</v>
          </cell>
          <cell r="Z84">
            <v>0</v>
          </cell>
          <cell r="AA84">
            <v>0</v>
          </cell>
          <cell r="AB84">
            <v>0</v>
          </cell>
          <cell r="AC84">
            <v>0</v>
          </cell>
          <cell r="AD84">
            <v>0</v>
          </cell>
          <cell r="AE84">
            <v>0</v>
          </cell>
          <cell r="AF84">
            <v>0</v>
          </cell>
          <cell r="AG84">
            <v>0</v>
          </cell>
          <cell r="AH84">
            <v>0</v>
          </cell>
          <cell r="AI84">
            <v>0</v>
          </cell>
          <cell r="AJ84">
            <v>12169.54</v>
          </cell>
          <cell r="AK84">
            <v>0</v>
          </cell>
          <cell r="AL84">
            <v>0</v>
          </cell>
          <cell r="AM84">
            <v>0</v>
          </cell>
          <cell r="AN84">
            <v>0</v>
          </cell>
          <cell r="AO84">
            <v>0</v>
          </cell>
          <cell r="AP84">
            <v>0</v>
          </cell>
          <cell r="AR84">
            <v>0</v>
          </cell>
          <cell r="AS84">
            <v>0</v>
          </cell>
          <cell r="AT84">
            <v>0</v>
          </cell>
        </row>
        <row r="85">
          <cell r="G85">
            <v>44625</v>
          </cell>
          <cell r="J85">
            <v>0</v>
          </cell>
          <cell r="K85">
            <v>0</v>
          </cell>
          <cell r="L85">
            <v>0</v>
          </cell>
          <cell r="M85">
            <v>0</v>
          </cell>
          <cell r="N85">
            <v>0</v>
          </cell>
          <cell r="O85">
            <v>0</v>
          </cell>
          <cell r="P85">
            <v>0</v>
          </cell>
          <cell r="Q85">
            <v>0</v>
          </cell>
          <cell r="R85">
            <v>4</v>
          </cell>
          <cell r="S85">
            <v>0</v>
          </cell>
          <cell r="T85">
            <v>0</v>
          </cell>
          <cell r="U85">
            <v>0</v>
          </cell>
          <cell r="V85">
            <v>0</v>
          </cell>
          <cell r="W85">
            <v>0</v>
          </cell>
          <cell r="X85">
            <v>0</v>
          </cell>
          <cell r="Y85">
            <v>0</v>
          </cell>
          <cell r="Z85">
            <v>0</v>
          </cell>
          <cell r="AA85">
            <v>0</v>
          </cell>
          <cell r="AB85">
            <v>0</v>
          </cell>
          <cell r="AC85">
            <v>0</v>
          </cell>
          <cell r="AD85">
            <v>0</v>
          </cell>
          <cell r="AE85">
            <v>0</v>
          </cell>
          <cell r="AF85">
            <v>0</v>
          </cell>
          <cell r="AG85">
            <v>0</v>
          </cell>
          <cell r="AH85">
            <v>0</v>
          </cell>
          <cell r="AI85">
            <v>0</v>
          </cell>
          <cell r="AJ85">
            <v>12169.54</v>
          </cell>
          <cell r="AK85">
            <v>0</v>
          </cell>
          <cell r="AL85">
            <v>0</v>
          </cell>
          <cell r="AM85">
            <v>0</v>
          </cell>
          <cell r="AN85">
            <v>0</v>
          </cell>
          <cell r="AO85">
            <v>0</v>
          </cell>
          <cell r="AP85">
            <v>0</v>
          </cell>
          <cell r="AR85">
            <v>0</v>
          </cell>
          <cell r="AS85">
            <v>0</v>
          </cell>
          <cell r="AT85">
            <v>0</v>
          </cell>
        </row>
        <row r="86">
          <cell r="G86">
            <v>44626</v>
          </cell>
          <cell r="J86">
            <v>0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  <cell r="O86">
            <v>0</v>
          </cell>
          <cell r="P86">
            <v>0</v>
          </cell>
          <cell r="Q86">
            <v>0</v>
          </cell>
          <cell r="R86">
            <v>4</v>
          </cell>
          <cell r="S86">
            <v>0</v>
          </cell>
          <cell r="T86">
            <v>0</v>
          </cell>
          <cell r="U86">
            <v>0</v>
          </cell>
          <cell r="V86">
            <v>0</v>
          </cell>
          <cell r="W86">
            <v>0</v>
          </cell>
          <cell r="X86">
            <v>0</v>
          </cell>
          <cell r="Y86">
            <v>0</v>
          </cell>
          <cell r="Z86">
            <v>0</v>
          </cell>
          <cell r="AA86">
            <v>0</v>
          </cell>
          <cell r="AB86">
            <v>0</v>
          </cell>
          <cell r="AC86">
            <v>0</v>
          </cell>
          <cell r="AD86">
            <v>0</v>
          </cell>
          <cell r="AE86">
            <v>0</v>
          </cell>
          <cell r="AF86">
            <v>0</v>
          </cell>
          <cell r="AG86">
            <v>0</v>
          </cell>
          <cell r="AH86">
            <v>0</v>
          </cell>
          <cell r="AI86">
            <v>0</v>
          </cell>
          <cell r="AJ86">
            <v>12169.54</v>
          </cell>
          <cell r="AK86">
            <v>0</v>
          </cell>
          <cell r="AL86">
            <v>0</v>
          </cell>
          <cell r="AM86">
            <v>0</v>
          </cell>
          <cell r="AN86">
            <v>0</v>
          </cell>
          <cell r="AO86">
            <v>0</v>
          </cell>
          <cell r="AP86">
            <v>0</v>
          </cell>
          <cell r="AR86">
            <v>0</v>
          </cell>
          <cell r="AS86">
            <v>0</v>
          </cell>
          <cell r="AT86">
            <v>0</v>
          </cell>
        </row>
        <row r="87">
          <cell r="G87">
            <v>44627</v>
          </cell>
          <cell r="J87">
            <v>0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  <cell r="O87">
            <v>0</v>
          </cell>
          <cell r="P87">
            <v>0</v>
          </cell>
          <cell r="Q87">
            <v>0</v>
          </cell>
          <cell r="R87">
            <v>4</v>
          </cell>
          <cell r="S87">
            <v>0</v>
          </cell>
          <cell r="T87">
            <v>0</v>
          </cell>
          <cell r="U87">
            <v>0</v>
          </cell>
          <cell r="V87">
            <v>0</v>
          </cell>
          <cell r="W87">
            <v>0</v>
          </cell>
          <cell r="X87">
            <v>0</v>
          </cell>
          <cell r="Y87">
            <v>0</v>
          </cell>
          <cell r="Z87">
            <v>0</v>
          </cell>
          <cell r="AA87">
            <v>0</v>
          </cell>
          <cell r="AB87">
            <v>0</v>
          </cell>
          <cell r="AC87">
            <v>0</v>
          </cell>
          <cell r="AD87">
            <v>0</v>
          </cell>
          <cell r="AE87">
            <v>0</v>
          </cell>
          <cell r="AF87">
            <v>0</v>
          </cell>
          <cell r="AG87">
            <v>0</v>
          </cell>
          <cell r="AH87">
            <v>0</v>
          </cell>
          <cell r="AI87">
            <v>0</v>
          </cell>
          <cell r="AJ87">
            <v>12169.54</v>
          </cell>
          <cell r="AK87">
            <v>0</v>
          </cell>
          <cell r="AL87">
            <v>0</v>
          </cell>
          <cell r="AM87">
            <v>0</v>
          </cell>
          <cell r="AN87">
            <v>0</v>
          </cell>
          <cell r="AO87">
            <v>0</v>
          </cell>
          <cell r="AP87">
            <v>0</v>
          </cell>
          <cell r="AR87">
            <v>0</v>
          </cell>
          <cell r="AS87">
            <v>0</v>
          </cell>
          <cell r="AT87">
            <v>0</v>
          </cell>
        </row>
        <row r="88">
          <cell r="G88">
            <v>44628</v>
          </cell>
          <cell r="J88">
            <v>0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  <cell r="O88">
            <v>0</v>
          </cell>
          <cell r="P88">
            <v>0</v>
          </cell>
          <cell r="Q88">
            <v>0</v>
          </cell>
          <cell r="R88">
            <v>4</v>
          </cell>
          <cell r="S88">
            <v>0</v>
          </cell>
          <cell r="T88">
            <v>0</v>
          </cell>
          <cell r="U88">
            <v>0</v>
          </cell>
          <cell r="V88">
            <v>0</v>
          </cell>
          <cell r="W88">
            <v>0</v>
          </cell>
          <cell r="X88">
            <v>0</v>
          </cell>
          <cell r="Y88">
            <v>0</v>
          </cell>
          <cell r="Z88">
            <v>0</v>
          </cell>
          <cell r="AA88">
            <v>0</v>
          </cell>
          <cell r="AB88">
            <v>0</v>
          </cell>
          <cell r="AC88">
            <v>0</v>
          </cell>
          <cell r="AD88">
            <v>0</v>
          </cell>
          <cell r="AE88">
            <v>0</v>
          </cell>
          <cell r="AF88">
            <v>0</v>
          </cell>
          <cell r="AG88">
            <v>0</v>
          </cell>
          <cell r="AH88">
            <v>0</v>
          </cell>
          <cell r="AI88">
            <v>0</v>
          </cell>
          <cell r="AJ88">
            <v>12169.54</v>
          </cell>
          <cell r="AK88">
            <v>0</v>
          </cell>
          <cell r="AL88">
            <v>0</v>
          </cell>
          <cell r="AM88">
            <v>0</v>
          </cell>
          <cell r="AN88">
            <v>0</v>
          </cell>
          <cell r="AO88">
            <v>0</v>
          </cell>
          <cell r="AP88">
            <v>0</v>
          </cell>
          <cell r="AR88">
            <v>0</v>
          </cell>
          <cell r="AS88">
            <v>0</v>
          </cell>
          <cell r="AT88">
            <v>0</v>
          </cell>
        </row>
        <row r="89">
          <cell r="G89">
            <v>44629</v>
          </cell>
          <cell r="J89">
            <v>0</v>
          </cell>
          <cell r="K89">
            <v>0</v>
          </cell>
          <cell r="L89">
            <v>0</v>
          </cell>
          <cell r="M89">
            <v>0</v>
          </cell>
          <cell r="N89">
            <v>0</v>
          </cell>
          <cell r="O89">
            <v>0</v>
          </cell>
          <cell r="P89">
            <v>0</v>
          </cell>
          <cell r="Q89">
            <v>0</v>
          </cell>
          <cell r="R89">
            <v>4</v>
          </cell>
          <cell r="S89">
            <v>0</v>
          </cell>
          <cell r="T89">
            <v>0</v>
          </cell>
          <cell r="U89">
            <v>0</v>
          </cell>
          <cell r="V89">
            <v>0</v>
          </cell>
          <cell r="W89">
            <v>0</v>
          </cell>
          <cell r="X89">
            <v>0</v>
          </cell>
          <cell r="Y89">
            <v>0</v>
          </cell>
          <cell r="Z89">
            <v>0</v>
          </cell>
          <cell r="AA89">
            <v>0</v>
          </cell>
          <cell r="AB89">
            <v>0</v>
          </cell>
          <cell r="AC89">
            <v>0</v>
          </cell>
          <cell r="AD89">
            <v>0</v>
          </cell>
          <cell r="AE89">
            <v>0</v>
          </cell>
          <cell r="AF89">
            <v>0</v>
          </cell>
          <cell r="AG89">
            <v>0</v>
          </cell>
          <cell r="AH89">
            <v>0</v>
          </cell>
          <cell r="AI89">
            <v>0</v>
          </cell>
          <cell r="AJ89">
            <v>12169.54</v>
          </cell>
          <cell r="AK89">
            <v>0</v>
          </cell>
          <cell r="AL89">
            <v>0</v>
          </cell>
          <cell r="AM89">
            <v>0</v>
          </cell>
          <cell r="AN89">
            <v>0</v>
          </cell>
          <cell r="AO89">
            <v>0</v>
          </cell>
          <cell r="AP89">
            <v>0</v>
          </cell>
          <cell r="AR89">
            <v>0</v>
          </cell>
          <cell r="AS89">
            <v>0</v>
          </cell>
          <cell r="AT89">
            <v>0</v>
          </cell>
        </row>
        <row r="90">
          <cell r="G90">
            <v>44630</v>
          </cell>
          <cell r="J90">
            <v>0</v>
          </cell>
          <cell r="K90">
            <v>0</v>
          </cell>
          <cell r="L90">
            <v>0</v>
          </cell>
          <cell r="M90">
            <v>0</v>
          </cell>
          <cell r="N90">
            <v>0</v>
          </cell>
          <cell r="O90">
            <v>0</v>
          </cell>
          <cell r="P90">
            <v>0</v>
          </cell>
          <cell r="Q90">
            <v>0</v>
          </cell>
          <cell r="R90">
            <v>4</v>
          </cell>
          <cell r="S90">
            <v>0</v>
          </cell>
          <cell r="T90">
            <v>0</v>
          </cell>
          <cell r="U90">
            <v>0</v>
          </cell>
          <cell r="V90">
            <v>0</v>
          </cell>
          <cell r="W90">
            <v>0</v>
          </cell>
          <cell r="X90">
            <v>0</v>
          </cell>
          <cell r="Y90">
            <v>0</v>
          </cell>
          <cell r="Z90">
            <v>0</v>
          </cell>
          <cell r="AA90">
            <v>0</v>
          </cell>
          <cell r="AB90">
            <v>0</v>
          </cell>
          <cell r="AC90">
            <v>0</v>
          </cell>
          <cell r="AD90">
            <v>0</v>
          </cell>
          <cell r="AE90">
            <v>0</v>
          </cell>
          <cell r="AF90">
            <v>0</v>
          </cell>
          <cell r="AG90">
            <v>0</v>
          </cell>
          <cell r="AH90">
            <v>0</v>
          </cell>
          <cell r="AI90">
            <v>0</v>
          </cell>
          <cell r="AJ90">
            <v>12169.54</v>
          </cell>
          <cell r="AK90">
            <v>0</v>
          </cell>
          <cell r="AL90">
            <v>0</v>
          </cell>
          <cell r="AM90">
            <v>0</v>
          </cell>
          <cell r="AN90">
            <v>0</v>
          </cell>
          <cell r="AO90">
            <v>0</v>
          </cell>
          <cell r="AP90">
            <v>0</v>
          </cell>
          <cell r="AR90">
            <v>0</v>
          </cell>
          <cell r="AS90">
            <v>0</v>
          </cell>
          <cell r="AT90">
            <v>0</v>
          </cell>
        </row>
        <row r="91">
          <cell r="G91">
            <v>44631</v>
          </cell>
          <cell r="J91">
            <v>0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  <cell r="O91">
            <v>0</v>
          </cell>
          <cell r="P91">
            <v>0</v>
          </cell>
          <cell r="Q91">
            <v>0</v>
          </cell>
          <cell r="R91">
            <v>4</v>
          </cell>
          <cell r="S91">
            <v>0</v>
          </cell>
          <cell r="T91">
            <v>0</v>
          </cell>
          <cell r="U91">
            <v>0</v>
          </cell>
          <cell r="V91">
            <v>0</v>
          </cell>
          <cell r="W91">
            <v>0</v>
          </cell>
          <cell r="X91">
            <v>0</v>
          </cell>
          <cell r="Y91">
            <v>0</v>
          </cell>
          <cell r="Z91">
            <v>0</v>
          </cell>
          <cell r="AA91">
            <v>0</v>
          </cell>
          <cell r="AB91">
            <v>0</v>
          </cell>
          <cell r="AC91">
            <v>0</v>
          </cell>
          <cell r="AD91">
            <v>0</v>
          </cell>
          <cell r="AE91">
            <v>0</v>
          </cell>
          <cell r="AF91">
            <v>0</v>
          </cell>
          <cell r="AG91">
            <v>0</v>
          </cell>
          <cell r="AH91">
            <v>0</v>
          </cell>
          <cell r="AI91">
            <v>0</v>
          </cell>
          <cell r="AJ91">
            <v>12169.54</v>
          </cell>
          <cell r="AK91">
            <v>0</v>
          </cell>
          <cell r="AL91">
            <v>0</v>
          </cell>
          <cell r="AM91">
            <v>0</v>
          </cell>
          <cell r="AN91">
            <v>0</v>
          </cell>
          <cell r="AO91">
            <v>0</v>
          </cell>
          <cell r="AP91">
            <v>0</v>
          </cell>
          <cell r="AR91">
            <v>0</v>
          </cell>
          <cell r="AS91">
            <v>0</v>
          </cell>
          <cell r="AT91">
            <v>0</v>
          </cell>
        </row>
        <row r="92">
          <cell r="G92">
            <v>44632</v>
          </cell>
          <cell r="J92">
            <v>0</v>
          </cell>
          <cell r="K92">
            <v>0</v>
          </cell>
          <cell r="L92">
            <v>0</v>
          </cell>
          <cell r="M92">
            <v>0</v>
          </cell>
          <cell r="N92">
            <v>0</v>
          </cell>
          <cell r="O92">
            <v>0</v>
          </cell>
          <cell r="P92">
            <v>0</v>
          </cell>
          <cell r="Q92">
            <v>0</v>
          </cell>
          <cell r="R92">
            <v>4</v>
          </cell>
          <cell r="S92">
            <v>0</v>
          </cell>
          <cell r="T92">
            <v>0</v>
          </cell>
          <cell r="U92">
            <v>0</v>
          </cell>
          <cell r="V92">
            <v>0</v>
          </cell>
          <cell r="W92">
            <v>0</v>
          </cell>
          <cell r="X92">
            <v>0</v>
          </cell>
          <cell r="Y92">
            <v>0</v>
          </cell>
          <cell r="Z92">
            <v>0</v>
          </cell>
          <cell r="AA92">
            <v>0</v>
          </cell>
          <cell r="AB92">
            <v>0</v>
          </cell>
          <cell r="AC92">
            <v>0</v>
          </cell>
          <cell r="AD92">
            <v>0</v>
          </cell>
          <cell r="AE92">
            <v>0</v>
          </cell>
          <cell r="AF92">
            <v>0</v>
          </cell>
          <cell r="AG92">
            <v>0</v>
          </cell>
          <cell r="AH92">
            <v>0</v>
          </cell>
          <cell r="AI92">
            <v>0</v>
          </cell>
          <cell r="AJ92">
            <v>12169.54</v>
          </cell>
          <cell r="AK92">
            <v>0</v>
          </cell>
          <cell r="AL92">
            <v>0</v>
          </cell>
          <cell r="AM92">
            <v>0</v>
          </cell>
          <cell r="AN92">
            <v>0</v>
          </cell>
          <cell r="AO92">
            <v>0</v>
          </cell>
          <cell r="AP92">
            <v>0</v>
          </cell>
          <cell r="AR92">
            <v>0</v>
          </cell>
          <cell r="AS92">
            <v>0</v>
          </cell>
          <cell r="AT92">
            <v>0</v>
          </cell>
        </row>
        <row r="93">
          <cell r="G93">
            <v>44633</v>
          </cell>
          <cell r="J93">
            <v>0</v>
          </cell>
          <cell r="K93">
            <v>0</v>
          </cell>
          <cell r="L93">
            <v>0</v>
          </cell>
          <cell r="M93">
            <v>0</v>
          </cell>
          <cell r="N93">
            <v>0</v>
          </cell>
          <cell r="O93">
            <v>0</v>
          </cell>
          <cell r="P93">
            <v>0</v>
          </cell>
          <cell r="Q93">
            <v>0</v>
          </cell>
          <cell r="R93">
            <v>4</v>
          </cell>
          <cell r="S93">
            <v>0</v>
          </cell>
          <cell r="T93">
            <v>0</v>
          </cell>
          <cell r="U93">
            <v>0</v>
          </cell>
          <cell r="V93">
            <v>0</v>
          </cell>
          <cell r="W93">
            <v>0</v>
          </cell>
          <cell r="X93">
            <v>0</v>
          </cell>
          <cell r="Y93">
            <v>0</v>
          </cell>
          <cell r="Z93">
            <v>0</v>
          </cell>
          <cell r="AA93">
            <v>0</v>
          </cell>
          <cell r="AB93">
            <v>0</v>
          </cell>
          <cell r="AC93">
            <v>0</v>
          </cell>
          <cell r="AD93">
            <v>0</v>
          </cell>
          <cell r="AE93">
            <v>0</v>
          </cell>
          <cell r="AF93">
            <v>0</v>
          </cell>
          <cell r="AG93">
            <v>0</v>
          </cell>
          <cell r="AH93">
            <v>0</v>
          </cell>
          <cell r="AI93">
            <v>0</v>
          </cell>
          <cell r="AJ93">
            <v>12169.54</v>
          </cell>
          <cell r="AK93">
            <v>0</v>
          </cell>
          <cell r="AL93">
            <v>0</v>
          </cell>
          <cell r="AM93">
            <v>0</v>
          </cell>
          <cell r="AN93">
            <v>0</v>
          </cell>
          <cell r="AO93">
            <v>0</v>
          </cell>
          <cell r="AP93">
            <v>0</v>
          </cell>
          <cell r="AR93">
            <v>0</v>
          </cell>
          <cell r="AS93">
            <v>0</v>
          </cell>
          <cell r="AT93">
            <v>0</v>
          </cell>
        </row>
        <row r="94">
          <cell r="G94">
            <v>44634</v>
          </cell>
          <cell r="J94">
            <v>0</v>
          </cell>
          <cell r="K94">
            <v>0</v>
          </cell>
          <cell r="L94">
            <v>0</v>
          </cell>
          <cell r="M94">
            <v>0</v>
          </cell>
          <cell r="N94">
            <v>0</v>
          </cell>
          <cell r="O94">
            <v>0</v>
          </cell>
          <cell r="P94">
            <v>0</v>
          </cell>
          <cell r="Q94">
            <v>0</v>
          </cell>
          <cell r="R94">
            <v>4</v>
          </cell>
          <cell r="S94">
            <v>0</v>
          </cell>
          <cell r="T94">
            <v>0</v>
          </cell>
          <cell r="U94">
            <v>0</v>
          </cell>
          <cell r="V94">
            <v>0</v>
          </cell>
          <cell r="W94">
            <v>0</v>
          </cell>
          <cell r="X94">
            <v>0</v>
          </cell>
          <cell r="Y94">
            <v>0</v>
          </cell>
          <cell r="Z94">
            <v>0</v>
          </cell>
          <cell r="AA94">
            <v>0</v>
          </cell>
          <cell r="AB94">
            <v>0</v>
          </cell>
          <cell r="AC94">
            <v>0</v>
          </cell>
          <cell r="AD94">
            <v>0</v>
          </cell>
          <cell r="AE94">
            <v>0</v>
          </cell>
          <cell r="AF94">
            <v>0</v>
          </cell>
          <cell r="AG94">
            <v>0</v>
          </cell>
          <cell r="AH94">
            <v>0</v>
          </cell>
          <cell r="AI94">
            <v>0</v>
          </cell>
          <cell r="AJ94">
            <v>12169.54</v>
          </cell>
          <cell r="AK94">
            <v>0</v>
          </cell>
          <cell r="AL94">
            <v>0</v>
          </cell>
          <cell r="AM94">
            <v>0</v>
          </cell>
          <cell r="AN94">
            <v>0</v>
          </cell>
          <cell r="AO94">
            <v>0</v>
          </cell>
          <cell r="AP94">
            <v>0</v>
          </cell>
          <cell r="AR94">
            <v>0</v>
          </cell>
          <cell r="AS94">
            <v>0</v>
          </cell>
          <cell r="AT94">
            <v>0</v>
          </cell>
        </row>
        <row r="95">
          <cell r="G95">
            <v>44635</v>
          </cell>
          <cell r="J95">
            <v>0</v>
          </cell>
          <cell r="K95">
            <v>0</v>
          </cell>
          <cell r="L95">
            <v>0</v>
          </cell>
          <cell r="M95">
            <v>0</v>
          </cell>
          <cell r="N95">
            <v>0</v>
          </cell>
          <cell r="O95">
            <v>0</v>
          </cell>
          <cell r="P95">
            <v>0</v>
          </cell>
          <cell r="Q95">
            <v>0</v>
          </cell>
          <cell r="R95">
            <v>3</v>
          </cell>
          <cell r="S95">
            <v>0</v>
          </cell>
          <cell r="T95">
            <v>0</v>
          </cell>
          <cell r="U95">
            <v>0</v>
          </cell>
          <cell r="V95">
            <v>0</v>
          </cell>
          <cell r="W95">
            <v>0</v>
          </cell>
          <cell r="X95">
            <v>0</v>
          </cell>
          <cell r="Y95">
            <v>0</v>
          </cell>
          <cell r="Z95">
            <v>0</v>
          </cell>
          <cell r="AA95">
            <v>0</v>
          </cell>
          <cell r="AB95">
            <v>0</v>
          </cell>
          <cell r="AC95">
            <v>0</v>
          </cell>
          <cell r="AD95">
            <v>0</v>
          </cell>
          <cell r="AE95">
            <v>0</v>
          </cell>
          <cell r="AF95">
            <v>0</v>
          </cell>
          <cell r="AG95">
            <v>0</v>
          </cell>
          <cell r="AH95">
            <v>0</v>
          </cell>
          <cell r="AI95">
            <v>0</v>
          </cell>
          <cell r="AJ95">
            <v>9193.5400000000009</v>
          </cell>
          <cell r="AK95">
            <v>0</v>
          </cell>
          <cell r="AL95">
            <v>0</v>
          </cell>
          <cell r="AM95">
            <v>0</v>
          </cell>
          <cell r="AN95">
            <v>0</v>
          </cell>
          <cell r="AO95">
            <v>0</v>
          </cell>
          <cell r="AP95">
            <v>0</v>
          </cell>
          <cell r="AR95">
            <v>0</v>
          </cell>
          <cell r="AS95">
            <v>0</v>
          </cell>
          <cell r="AT95">
            <v>0</v>
          </cell>
        </row>
        <row r="96">
          <cell r="G96">
            <v>44636</v>
          </cell>
          <cell r="J96">
            <v>0</v>
          </cell>
          <cell r="K96">
            <v>0</v>
          </cell>
          <cell r="L96">
            <v>0</v>
          </cell>
          <cell r="M96">
            <v>0</v>
          </cell>
          <cell r="N96">
            <v>0</v>
          </cell>
          <cell r="O96">
            <v>0</v>
          </cell>
          <cell r="P96">
            <v>0</v>
          </cell>
          <cell r="Q96">
            <v>0</v>
          </cell>
          <cell r="R96">
            <v>3</v>
          </cell>
          <cell r="S96">
            <v>0</v>
          </cell>
          <cell r="T96">
            <v>0</v>
          </cell>
          <cell r="U96">
            <v>0</v>
          </cell>
          <cell r="V96">
            <v>0</v>
          </cell>
          <cell r="W96">
            <v>0</v>
          </cell>
          <cell r="X96">
            <v>0</v>
          </cell>
          <cell r="Y96">
            <v>0</v>
          </cell>
          <cell r="Z96">
            <v>0</v>
          </cell>
          <cell r="AA96">
            <v>0</v>
          </cell>
          <cell r="AB96">
            <v>0</v>
          </cell>
          <cell r="AC96">
            <v>0</v>
          </cell>
          <cell r="AD96">
            <v>0</v>
          </cell>
          <cell r="AE96">
            <v>0</v>
          </cell>
          <cell r="AF96">
            <v>0</v>
          </cell>
          <cell r="AG96">
            <v>0</v>
          </cell>
          <cell r="AH96">
            <v>0</v>
          </cell>
          <cell r="AI96">
            <v>0</v>
          </cell>
          <cell r="AJ96">
            <v>9193.5400000000009</v>
          </cell>
          <cell r="AK96">
            <v>0</v>
          </cell>
          <cell r="AL96">
            <v>0</v>
          </cell>
          <cell r="AM96">
            <v>0</v>
          </cell>
          <cell r="AN96">
            <v>0</v>
          </cell>
          <cell r="AO96">
            <v>0</v>
          </cell>
          <cell r="AP96">
            <v>0</v>
          </cell>
          <cell r="AR96">
            <v>0</v>
          </cell>
          <cell r="AS96">
            <v>0</v>
          </cell>
          <cell r="AT96">
            <v>0</v>
          </cell>
        </row>
        <row r="97">
          <cell r="G97">
            <v>44637</v>
          </cell>
          <cell r="J97">
            <v>0</v>
          </cell>
          <cell r="K97">
            <v>0</v>
          </cell>
          <cell r="L97">
            <v>0</v>
          </cell>
          <cell r="M97">
            <v>0</v>
          </cell>
          <cell r="N97">
            <v>0</v>
          </cell>
          <cell r="O97">
            <v>0</v>
          </cell>
          <cell r="P97">
            <v>0</v>
          </cell>
          <cell r="Q97">
            <v>0</v>
          </cell>
          <cell r="R97">
            <v>3</v>
          </cell>
          <cell r="S97">
            <v>0</v>
          </cell>
          <cell r="T97">
            <v>0</v>
          </cell>
          <cell r="U97">
            <v>0</v>
          </cell>
          <cell r="V97">
            <v>0</v>
          </cell>
          <cell r="W97">
            <v>0</v>
          </cell>
          <cell r="X97">
            <v>0</v>
          </cell>
          <cell r="Y97">
            <v>0</v>
          </cell>
          <cell r="Z97">
            <v>0</v>
          </cell>
          <cell r="AA97">
            <v>0</v>
          </cell>
          <cell r="AB97">
            <v>0</v>
          </cell>
          <cell r="AC97">
            <v>0</v>
          </cell>
          <cell r="AD97">
            <v>0</v>
          </cell>
          <cell r="AE97">
            <v>0</v>
          </cell>
          <cell r="AF97">
            <v>0</v>
          </cell>
          <cell r="AG97">
            <v>0</v>
          </cell>
          <cell r="AH97">
            <v>0</v>
          </cell>
          <cell r="AI97">
            <v>0</v>
          </cell>
          <cell r="AJ97">
            <v>9193.5400000000009</v>
          </cell>
          <cell r="AK97">
            <v>0</v>
          </cell>
          <cell r="AL97">
            <v>0</v>
          </cell>
          <cell r="AM97">
            <v>0</v>
          </cell>
          <cell r="AN97">
            <v>0</v>
          </cell>
          <cell r="AO97">
            <v>0</v>
          </cell>
          <cell r="AP97">
            <v>0</v>
          </cell>
          <cell r="AR97">
            <v>0</v>
          </cell>
          <cell r="AS97">
            <v>0</v>
          </cell>
          <cell r="AT97">
            <v>0</v>
          </cell>
        </row>
        <row r="98">
          <cell r="G98">
            <v>44638</v>
          </cell>
          <cell r="J98">
            <v>0</v>
          </cell>
          <cell r="K98">
            <v>0</v>
          </cell>
          <cell r="L98">
            <v>0</v>
          </cell>
          <cell r="M98">
            <v>0</v>
          </cell>
          <cell r="N98">
            <v>0</v>
          </cell>
          <cell r="O98">
            <v>0</v>
          </cell>
          <cell r="P98">
            <v>0</v>
          </cell>
          <cell r="Q98">
            <v>0</v>
          </cell>
          <cell r="R98">
            <v>3</v>
          </cell>
          <cell r="S98">
            <v>0</v>
          </cell>
          <cell r="T98">
            <v>0</v>
          </cell>
          <cell r="U98">
            <v>0</v>
          </cell>
          <cell r="V98">
            <v>0</v>
          </cell>
          <cell r="W98">
            <v>0</v>
          </cell>
          <cell r="X98">
            <v>0</v>
          </cell>
          <cell r="Y98">
            <v>0</v>
          </cell>
          <cell r="Z98">
            <v>0</v>
          </cell>
          <cell r="AA98">
            <v>0</v>
          </cell>
          <cell r="AB98">
            <v>0</v>
          </cell>
          <cell r="AC98">
            <v>0</v>
          </cell>
          <cell r="AD98">
            <v>0</v>
          </cell>
          <cell r="AE98">
            <v>0</v>
          </cell>
          <cell r="AF98">
            <v>0</v>
          </cell>
          <cell r="AG98">
            <v>0</v>
          </cell>
          <cell r="AH98">
            <v>0</v>
          </cell>
          <cell r="AI98">
            <v>0</v>
          </cell>
          <cell r="AJ98">
            <v>9193.5400000000009</v>
          </cell>
          <cell r="AK98">
            <v>0</v>
          </cell>
          <cell r="AL98">
            <v>0</v>
          </cell>
          <cell r="AM98">
            <v>0</v>
          </cell>
          <cell r="AN98">
            <v>0</v>
          </cell>
          <cell r="AO98">
            <v>0</v>
          </cell>
          <cell r="AP98">
            <v>0</v>
          </cell>
          <cell r="AR98">
            <v>0</v>
          </cell>
          <cell r="AS98">
            <v>0</v>
          </cell>
          <cell r="AT98">
            <v>0</v>
          </cell>
        </row>
        <row r="99">
          <cell r="G99">
            <v>44639</v>
          </cell>
          <cell r="J99">
            <v>0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  <cell r="O99">
            <v>0</v>
          </cell>
          <cell r="P99">
            <v>0</v>
          </cell>
          <cell r="Q99">
            <v>0</v>
          </cell>
          <cell r="R99">
            <v>3</v>
          </cell>
          <cell r="S99">
            <v>0</v>
          </cell>
          <cell r="T99">
            <v>0</v>
          </cell>
          <cell r="U99">
            <v>0</v>
          </cell>
          <cell r="V99">
            <v>0</v>
          </cell>
          <cell r="W99">
            <v>0</v>
          </cell>
          <cell r="X99">
            <v>0</v>
          </cell>
          <cell r="Y99">
            <v>0</v>
          </cell>
          <cell r="Z99">
            <v>0</v>
          </cell>
          <cell r="AA99">
            <v>0</v>
          </cell>
          <cell r="AB99">
            <v>0</v>
          </cell>
          <cell r="AC99">
            <v>0</v>
          </cell>
          <cell r="AD99">
            <v>0</v>
          </cell>
          <cell r="AE99">
            <v>0</v>
          </cell>
          <cell r="AF99">
            <v>0</v>
          </cell>
          <cell r="AG99">
            <v>0</v>
          </cell>
          <cell r="AH99">
            <v>0</v>
          </cell>
          <cell r="AI99">
            <v>0</v>
          </cell>
          <cell r="AJ99">
            <v>9193.5400000000009</v>
          </cell>
          <cell r="AK99">
            <v>0</v>
          </cell>
          <cell r="AL99">
            <v>0</v>
          </cell>
          <cell r="AM99">
            <v>0</v>
          </cell>
          <cell r="AN99">
            <v>0</v>
          </cell>
          <cell r="AO99">
            <v>0</v>
          </cell>
          <cell r="AP99">
            <v>0</v>
          </cell>
          <cell r="AR99">
            <v>0</v>
          </cell>
          <cell r="AS99">
            <v>0</v>
          </cell>
          <cell r="AT99">
            <v>0</v>
          </cell>
        </row>
        <row r="100">
          <cell r="G100">
            <v>44640</v>
          </cell>
          <cell r="J100">
            <v>0</v>
          </cell>
          <cell r="K100">
            <v>0</v>
          </cell>
          <cell r="L100">
            <v>0</v>
          </cell>
          <cell r="M100">
            <v>0</v>
          </cell>
          <cell r="N100">
            <v>0</v>
          </cell>
          <cell r="O100">
            <v>0</v>
          </cell>
          <cell r="P100">
            <v>0</v>
          </cell>
          <cell r="Q100">
            <v>0</v>
          </cell>
          <cell r="R100">
            <v>3</v>
          </cell>
          <cell r="S100">
            <v>0</v>
          </cell>
          <cell r="T100">
            <v>0</v>
          </cell>
          <cell r="U100">
            <v>0</v>
          </cell>
          <cell r="V100">
            <v>0</v>
          </cell>
          <cell r="W100">
            <v>0</v>
          </cell>
          <cell r="X100">
            <v>0</v>
          </cell>
          <cell r="Y100">
            <v>0</v>
          </cell>
          <cell r="Z100">
            <v>0</v>
          </cell>
          <cell r="AA100">
            <v>0</v>
          </cell>
          <cell r="AB100">
            <v>0</v>
          </cell>
          <cell r="AC100">
            <v>0</v>
          </cell>
          <cell r="AD100">
            <v>0</v>
          </cell>
          <cell r="AE100">
            <v>0</v>
          </cell>
          <cell r="AF100">
            <v>0</v>
          </cell>
          <cell r="AG100">
            <v>0</v>
          </cell>
          <cell r="AH100">
            <v>0</v>
          </cell>
          <cell r="AI100">
            <v>0</v>
          </cell>
          <cell r="AJ100">
            <v>9193.5400000000009</v>
          </cell>
          <cell r="AK100">
            <v>0</v>
          </cell>
          <cell r="AL100">
            <v>0</v>
          </cell>
          <cell r="AM100">
            <v>0</v>
          </cell>
          <cell r="AN100">
            <v>0</v>
          </cell>
          <cell r="AO100">
            <v>0</v>
          </cell>
          <cell r="AP100">
            <v>0</v>
          </cell>
          <cell r="AR100">
            <v>0</v>
          </cell>
          <cell r="AS100">
            <v>0</v>
          </cell>
          <cell r="AT100">
            <v>0</v>
          </cell>
        </row>
        <row r="101">
          <cell r="G101">
            <v>44641</v>
          </cell>
          <cell r="J101">
            <v>0</v>
          </cell>
          <cell r="K101">
            <v>0</v>
          </cell>
          <cell r="L101">
            <v>0</v>
          </cell>
          <cell r="M101">
            <v>0</v>
          </cell>
          <cell r="N101">
            <v>0</v>
          </cell>
          <cell r="O101">
            <v>0</v>
          </cell>
          <cell r="P101">
            <v>0</v>
          </cell>
          <cell r="Q101">
            <v>0</v>
          </cell>
          <cell r="R101">
            <v>3</v>
          </cell>
          <cell r="S101">
            <v>0</v>
          </cell>
          <cell r="T101">
            <v>0</v>
          </cell>
          <cell r="U101">
            <v>0</v>
          </cell>
          <cell r="V101">
            <v>0</v>
          </cell>
          <cell r="W101">
            <v>0</v>
          </cell>
          <cell r="X101">
            <v>0</v>
          </cell>
          <cell r="Y101">
            <v>0</v>
          </cell>
          <cell r="Z101">
            <v>0</v>
          </cell>
          <cell r="AA101">
            <v>0</v>
          </cell>
          <cell r="AB101">
            <v>0</v>
          </cell>
          <cell r="AC101">
            <v>0</v>
          </cell>
          <cell r="AD101">
            <v>0</v>
          </cell>
          <cell r="AE101">
            <v>0</v>
          </cell>
          <cell r="AF101">
            <v>0</v>
          </cell>
          <cell r="AG101">
            <v>0</v>
          </cell>
          <cell r="AH101">
            <v>0</v>
          </cell>
          <cell r="AI101">
            <v>0</v>
          </cell>
          <cell r="AJ101">
            <v>9193.5400000000009</v>
          </cell>
          <cell r="AK101">
            <v>0</v>
          </cell>
          <cell r="AL101">
            <v>0</v>
          </cell>
          <cell r="AM101">
            <v>0</v>
          </cell>
          <cell r="AN101">
            <v>0</v>
          </cell>
          <cell r="AO101">
            <v>0</v>
          </cell>
          <cell r="AP101">
            <v>0</v>
          </cell>
          <cell r="AR101">
            <v>0</v>
          </cell>
          <cell r="AS101">
            <v>0</v>
          </cell>
          <cell r="AT101">
            <v>0</v>
          </cell>
        </row>
        <row r="102">
          <cell r="G102">
            <v>44642</v>
          </cell>
          <cell r="J102">
            <v>0</v>
          </cell>
          <cell r="K102">
            <v>1</v>
          </cell>
          <cell r="L102">
            <v>0</v>
          </cell>
          <cell r="M102">
            <v>0</v>
          </cell>
          <cell r="N102">
            <v>0</v>
          </cell>
          <cell r="O102">
            <v>0</v>
          </cell>
          <cell r="P102">
            <v>0</v>
          </cell>
          <cell r="Q102">
            <v>0</v>
          </cell>
          <cell r="R102">
            <v>3</v>
          </cell>
          <cell r="S102">
            <v>0</v>
          </cell>
          <cell r="T102">
            <v>0</v>
          </cell>
          <cell r="U102">
            <v>0</v>
          </cell>
          <cell r="V102">
            <v>0</v>
          </cell>
          <cell r="W102">
            <v>0</v>
          </cell>
          <cell r="X102">
            <v>0</v>
          </cell>
          <cell r="Y102">
            <v>0</v>
          </cell>
          <cell r="Z102">
            <v>0</v>
          </cell>
          <cell r="AA102">
            <v>0</v>
          </cell>
          <cell r="AB102">
            <v>0</v>
          </cell>
          <cell r="AC102">
            <v>3450</v>
          </cell>
          <cell r="AD102">
            <v>0</v>
          </cell>
          <cell r="AE102">
            <v>0</v>
          </cell>
          <cell r="AF102">
            <v>0</v>
          </cell>
          <cell r="AG102">
            <v>0</v>
          </cell>
          <cell r="AH102">
            <v>0</v>
          </cell>
          <cell r="AI102">
            <v>0</v>
          </cell>
          <cell r="AJ102">
            <v>9193.5400000000009</v>
          </cell>
          <cell r="AK102">
            <v>0</v>
          </cell>
          <cell r="AL102">
            <v>0</v>
          </cell>
          <cell r="AM102">
            <v>0</v>
          </cell>
          <cell r="AN102">
            <v>0</v>
          </cell>
          <cell r="AO102">
            <v>0</v>
          </cell>
          <cell r="AP102">
            <v>0</v>
          </cell>
          <cell r="AR102">
            <v>0</v>
          </cell>
          <cell r="AS102">
            <v>0</v>
          </cell>
          <cell r="AT102">
            <v>0</v>
          </cell>
        </row>
        <row r="103">
          <cell r="G103">
            <v>44643</v>
          </cell>
          <cell r="J103">
            <v>0</v>
          </cell>
          <cell r="K103">
            <v>1</v>
          </cell>
          <cell r="L103">
            <v>0</v>
          </cell>
          <cell r="M103">
            <v>0</v>
          </cell>
          <cell r="N103">
            <v>0</v>
          </cell>
          <cell r="O103">
            <v>0</v>
          </cell>
          <cell r="P103">
            <v>0</v>
          </cell>
          <cell r="Q103">
            <v>0</v>
          </cell>
          <cell r="R103">
            <v>3</v>
          </cell>
          <cell r="S103">
            <v>0</v>
          </cell>
          <cell r="T103">
            <v>0</v>
          </cell>
          <cell r="U103">
            <v>0</v>
          </cell>
          <cell r="V103">
            <v>0</v>
          </cell>
          <cell r="W103">
            <v>0</v>
          </cell>
          <cell r="X103">
            <v>0</v>
          </cell>
          <cell r="Y103">
            <v>0</v>
          </cell>
          <cell r="Z103">
            <v>0</v>
          </cell>
          <cell r="AA103">
            <v>0</v>
          </cell>
          <cell r="AB103">
            <v>0</v>
          </cell>
          <cell r="AC103">
            <v>3450</v>
          </cell>
          <cell r="AD103">
            <v>0</v>
          </cell>
          <cell r="AE103">
            <v>0</v>
          </cell>
          <cell r="AF103">
            <v>0</v>
          </cell>
          <cell r="AG103">
            <v>0</v>
          </cell>
          <cell r="AH103">
            <v>0</v>
          </cell>
          <cell r="AI103">
            <v>0</v>
          </cell>
          <cell r="AJ103">
            <v>9193.5400000000009</v>
          </cell>
          <cell r="AK103">
            <v>0</v>
          </cell>
          <cell r="AL103">
            <v>0</v>
          </cell>
          <cell r="AM103">
            <v>0</v>
          </cell>
          <cell r="AN103">
            <v>0</v>
          </cell>
          <cell r="AO103">
            <v>0</v>
          </cell>
          <cell r="AP103">
            <v>0</v>
          </cell>
          <cell r="AR103">
            <v>0</v>
          </cell>
          <cell r="AS103">
            <v>0</v>
          </cell>
          <cell r="AT103">
            <v>0</v>
          </cell>
        </row>
        <row r="104">
          <cell r="G104">
            <v>44644</v>
          </cell>
          <cell r="J104">
            <v>0</v>
          </cell>
          <cell r="K104">
            <v>0</v>
          </cell>
          <cell r="L104">
            <v>0</v>
          </cell>
          <cell r="M104">
            <v>0</v>
          </cell>
          <cell r="N104">
            <v>0</v>
          </cell>
          <cell r="O104">
            <v>0</v>
          </cell>
          <cell r="P104">
            <v>0</v>
          </cell>
          <cell r="Q104">
            <v>0</v>
          </cell>
          <cell r="R104">
            <v>3</v>
          </cell>
          <cell r="S104">
            <v>0</v>
          </cell>
          <cell r="T104">
            <v>0</v>
          </cell>
          <cell r="U104">
            <v>0</v>
          </cell>
          <cell r="V104">
            <v>0</v>
          </cell>
          <cell r="W104">
            <v>0</v>
          </cell>
          <cell r="X104">
            <v>0</v>
          </cell>
          <cell r="Y104">
            <v>0</v>
          </cell>
          <cell r="Z104">
            <v>0</v>
          </cell>
          <cell r="AA104">
            <v>0</v>
          </cell>
          <cell r="AB104">
            <v>0</v>
          </cell>
          <cell r="AC104">
            <v>0</v>
          </cell>
          <cell r="AD104">
            <v>0</v>
          </cell>
          <cell r="AE104">
            <v>0</v>
          </cell>
          <cell r="AF104">
            <v>0</v>
          </cell>
          <cell r="AG104">
            <v>0</v>
          </cell>
          <cell r="AH104">
            <v>0</v>
          </cell>
          <cell r="AI104">
            <v>0</v>
          </cell>
          <cell r="AJ104">
            <v>9193.5400000000009</v>
          </cell>
          <cell r="AK104">
            <v>0</v>
          </cell>
          <cell r="AL104">
            <v>0</v>
          </cell>
          <cell r="AM104">
            <v>0</v>
          </cell>
          <cell r="AN104">
            <v>0</v>
          </cell>
          <cell r="AO104">
            <v>0</v>
          </cell>
          <cell r="AP104">
            <v>0</v>
          </cell>
          <cell r="AR104">
            <v>0</v>
          </cell>
          <cell r="AS104">
            <v>0</v>
          </cell>
          <cell r="AT104">
            <v>0</v>
          </cell>
        </row>
        <row r="105">
          <cell r="G105">
            <v>44645</v>
          </cell>
          <cell r="J105">
            <v>0</v>
          </cell>
          <cell r="K105">
            <v>0</v>
          </cell>
          <cell r="L105">
            <v>0</v>
          </cell>
          <cell r="M105">
            <v>0</v>
          </cell>
          <cell r="N105">
            <v>0</v>
          </cell>
          <cell r="O105">
            <v>0</v>
          </cell>
          <cell r="P105">
            <v>0</v>
          </cell>
          <cell r="Q105">
            <v>0</v>
          </cell>
          <cell r="R105">
            <v>3</v>
          </cell>
          <cell r="S105">
            <v>0</v>
          </cell>
          <cell r="T105">
            <v>0</v>
          </cell>
          <cell r="U105">
            <v>0</v>
          </cell>
          <cell r="V105">
            <v>0</v>
          </cell>
          <cell r="W105">
            <v>0</v>
          </cell>
          <cell r="X105">
            <v>0</v>
          </cell>
          <cell r="Y105">
            <v>0</v>
          </cell>
          <cell r="Z105">
            <v>0</v>
          </cell>
          <cell r="AA105">
            <v>0</v>
          </cell>
          <cell r="AB105">
            <v>0</v>
          </cell>
          <cell r="AC105">
            <v>0</v>
          </cell>
          <cell r="AD105">
            <v>0</v>
          </cell>
          <cell r="AE105">
            <v>0</v>
          </cell>
          <cell r="AF105">
            <v>0</v>
          </cell>
          <cell r="AG105">
            <v>0</v>
          </cell>
          <cell r="AH105">
            <v>0</v>
          </cell>
          <cell r="AI105">
            <v>0</v>
          </cell>
          <cell r="AJ105">
            <v>9193.5400000000009</v>
          </cell>
          <cell r="AK105">
            <v>0</v>
          </cell>
          <cell r="AL105">
            <v>0</v>
          </cell>
          <cell r="AM105">
            <v>0</v>
          </cell>
          <cell r="AN105">
            <v>0</v>
          </cell>
          <cell r="AO105">
            <v>0</v>
          </cell>
          <cell r="AP105">
            <v>0</v>
          </cell>
          <cell r="AR105">
            <v>0</v>
          </cell>
          <cell r="AS105">
            <v>0</v>
          </cell>
          <cell r="AT105">
            <v>0</v>
          </cell>
        </row>
        <row r="106">
          <cell r="G106">
            <v>44646</v>
          </cell>
          <cell r="J106">
            <v>0</v>
          </cell>
          <cell r="K106">
            <v>0</v>
          </cell>
          <cell r="L106">
            <v>0</v>
          </cell>
          <cell r="M106">
            <v>0</v>
          </cell>
          <cell r="N106">
            <v>0</v>
          </cell>
          <cell r="O106">
            <v>0</v>
          </cell>
          <cell r="P106">
            <v>0</v>
          </cell>
          <cell r="Q106">
            <v>0</v>
          </cell>
          <cell r="R106">
            <v>3</v>
          </cell>
          <cell r="S106">
            <v>0</v>
          </cell>
          <cell r="T106">
            <v>0</v>
          </cell>
          <cell r="U106">
            <v>0</v>
          </cell>
          <cell r="V106">
            <v>0</v>
          </cell>
          <cell r="W106">
            <v>0</v>
          </cell>
          <cell r="X106">
            <v>0</v>
          </cell>
          <cell r="Y106">
            <v>0</v>
          </cell>
          <cell r="Z106">
            <v>0</v>
          </cell>
          <cell r="AA106">
            <v>0</v>
          </cell>
          <cell r="AB106">
            <v>0</v>
          </cell>
          <cell r="AC106">
            <v>0</v>
          </cell>
          <cell r="AD106">
            <v>0</v>
          </cell>
          <cell r="AE106">
            <v>0</v>
          </cell>
          <cell r="AF106">
            <v>0</v>
          </cell>
          <cell r="AG106">
            <v>0</v>
          </cell>
          <cell r="AH106">
            <v>0</v>
          </cell>
          <cell r="AI106">
            <v>0</v>
          </cell>
          <cell r="AJ106">
            <v>9193.5400000000009</v>
          </cell>
          <cell r="AK106">
            <v>0</v>
          </cell>
          <cell r="AL106">
            <v>0</v>
          </cell>
          <cell r="AM106">
            <v>0</v>
          </cell>
          <cell r="AN106">
            <v>0</v>
          </cell>
          <cell r="AO106">
            <v>0</v>
          </cell>
          <cell r="AP106">
            <v>0</v>
          </cell>
          <cell r="AR106">
            <v>0</v>
          </cell>
          <cell r="AS106">
            <v>0</v>
          </cell>
          <cell r="AT106">
            <v>0</v>
          </cell>
        </row>
        <row r="107">
          <cell r="G107">
            <v>44647</v>
          </cell>
          <cell r="J107">
            <v>0</v>
          </cell>
          <cell r="K107">
            <v>0</v>
          </cell>
          <cell r="L107">
            <v>0</v>
          </cell>
          <cell r="M107">
            <v>0</v>
          </cell>
          <cell r="N107">
            <v>0</v>
          </cell>
          <cell r="O107">
            <v>0</v>
          </cell>
          <cell r="P107">
            <v>0</v>
          </cell>
          <cell r="Q107">
            <v>0</v>
          </cell>
          <cell r="R107">
            <v>3</v>
          </cell>
          <cell r="S107">
            <v>0</v>
          </cell>
          <cell r="T107">
            <v>0</v>
          </cell>
          <cell r="U107">
            <v>0</v>
          </cell>
          <cell r="V107">
            <v>0</v>
          </cell>
          <cell r="W107">
            <v>0</v>
          </cell>
          <cell r="X107">
            <v>0</v>
          </cell>
          <cell r="Y107">
            <v>0</v>
          </cell>
          <cell r="Z107">
            <v>0</v>
          </cell>
          <cell r="AA107">
            <v>0</v>
          </cell>
          <cell r="AB107">
            <v>0</v>
          </cell>
          <cell r="AC107">
            <v>0</v>
          </cell>
          <cell r="AD107">
            <v>0</v>
          </cell>
          <cell r="AE107">
            <v>0</v>
          </cell>
          <cell r="AF107">
            <v>0</v>
          </cell>
          <cell r="AG107">
            <v>0</v>
          </cell>
          <cell r="AH107">
            <v>0</v>
          </cell>
          <cell r="AI107">
            <v>0</v>
          </cell>
          <cell r="AJ107">
            <v>9193.5400000000009</v>
          </cell>
          <cell r="AK107">
            <v>0</v>
          </cell>
          <cell r="AL107">
            <v>0</v>
          </cell>
          <cell r="AM107">
            <v>0</v>
          </cell>
          <cell r="AN107">
            <v>0</v>
          </cell>
          <cell r="AO107">
            <v>0</v>
          </cell>
          <cell r="AP107">
            <v>0</v>
          </cell>
          <cell r="AR107">
            <v>0</v>
          </cell>
          <cell r="AS107">
            <v>0</v>
          </cell>
          <cell r="AT107">
            <v>0</v>
          </cell>
        </row>
        <row r="108">
          <cell r="G108">
            <v>44648</v>
          </cell>
          <cell r="J108">
            <v>0</v>
          </cell>
          <cell r="K108">
            <v>0</v>
          </cell>
          <cell r="L108">
            <v>0</v>
          </cell>
          <cell r="M108">
            <v>0</v>
          </cell>
          <cell r="N108">
            <v>0</v>
          </cell>
          <cell r="O108">
            <v>0</v>
          </cell>
          <cell r="P108">
            <v>0</v>
          </cell>
          <cell r="Q108">
            <v>0</v>
          </cell>
          <cell r="R108">
            <v>3</v>
          </cell>
          <cell r="S108">
            <v>0</v>
          </cell>
          <cell r="T108">
            <v>0</v>
          </cell>
          <cell r="U108">
            <v>0</v>
          </cell>
          <cell r="V108">
            <v>0</v>
          </cell>
          <cell r="W108">
            <v>0</v>
          </cell>
          <cell r="X108">
            <v>0</v>
          </cell>
          <cell r="Y108">
            <v>0</v>
          </cell>
          <cell r="Z108">
            <v>0</v>
          </cell>
          <cell r="AA108">
            <v>0</v>
          </cell>
          <cell r="AB108">
            <v>0</v>
          </cell>
          <cell r="AC108">
            <v>0</v>
          </cell>
          <cell r="AD108">
            <v>0</v>
          </cell>
          <cell r="AE108">
            <v>0</v>
          </cell>
          <cell r="AF108">
            <v>0</v>
          </cell>
          <cell r="AG108">
            <v>0</v>
          </cell>
          <cell r="AH108">
            <v>0</v>
          </cell>
          <cell r="AI108">
            <v>0</v>
          </cell>
          <cell r="AJ108">
            <v>9193.5400000000009</v>
          </cell>
          <cell r="AK108">
            <v>0</v>
          </cell>
          <cell r="AL108">
            <v>0</v>
          </cell>
          <cell r="AM108">
            <v>0</v>
          </cell>
          <cell r="AN108">
            <v>0</v>
          </cell>
          <cell r="AO108">
            <v>0</v>
          </cell>
          <cell r="AP108">
            <v>0</v>
          </cell>
          <cell r="AR108">
            <v>0</v>
          </cell>
          <cell r="AS108">
            <v>0</v>
          </cell>
          <cell r="AT108">
            <v>0</v>
          </cell>
        </row>
        <row r="109">
          <cell r="G109">
            <v>44649</v>
          </cell>
          <cell r="J109">
            <v>0</v>
          </cell>
          <cell r="K109">
            <v>0</v>
          </cell>
          <cell r="L109">
            <v>0</v>
          </cell>
          <cell r="M109">
            <v>0</v>
          </cell>
          <cell r="N109">
            <v>0</v>
          </cell>
          <cell r="O109">
            <v>0</v>
          </cell>
          <cell r="P109">
            <v>0</v>
          </cell>
          <cell r="Q109">
            <v>0</v>
          </cell>
          <cell r="R109">
            <v>3</v>
          </cell>
          <cell r="S109">
            <v>0</v>
          </cell>
          <cell r="T109">
            <v>0</v>
          </cell>
          <cell r="U109">
            <v>0</v>
          </cell>
          <cell r="V109">
            <v>0</v>
          </cell>
          <cell r="W109">
            <v>0</v>
          </cell>
          <cell r="X109">
            <v>0</v>
          </cell>
          <cell r="Y109">
            <v>0</v>
          </cell>
          <cell r="Z109">
            <v>0</v>
          </cell>
          <cell r="AA109">
            <v>0</v>
          </cell>
          <cell r="AB109">
            <v>0</v>
          </cell>
          <cell r="AC109">
            <v>0</v>
          </cell>
          <cell r="AD109">
            <v>0</v>
          </cell>
          <cell r="AE109">
            <v>0</v>
          </cell>
          <cell r="AF109">
            <v>0</v>
          </cell>
          <cell r="AG109">
            <v>0</v>
          </cell>
          <cell r="AH109">
            <v>0</v>
          </cell>
          <cell r="AI109">
            <v>0</v>
          </cell>
          <cell r="AJ109">
            <v>9193.5400000000009</v>
          </cell>
          <cell r="AK109">
            <v>0</v>
          </cell>
          <cell r="AL109">
            <v>0</v>
          </cell>
          <cell r="AM109">
            <v>0</v>
          </cell>
          <cell r="AN109">
            <v>0</v>
          </cell>
          <cell r="AO109">
            <v>0</v>
          </cell>
          <cell r="AP109">
            <v>0</v>
          </cell>
          <cell r="AR109">
            <v>0</v>
          </cell>
          <cell r="AS109">
            <v>0</v>
          </cell>
          <cell r="AT109">
            <v>0</v>
          </cell>
        </row>
        <row r="110">
          <cell r="G110">
            <v>44650</v>
          </cell>
          <cell r="J110">
            <v>0</v>
          </cell>
          <cell r="K110">
            <v>0</v>
          </cell>
          <cell r="L110">
            <v>0</v>
          </cell>
          <cell r="M110">
            <v>0</v>
          </cell>
          <cell r="N110">
            <v>0</v>
          </cell>
          <cell r="O110">
            <v>0</v>
          </cell>
          <cell r="P110">
            <v>0</v>
          </cell>
          <cell r="Q110">
            <v>0</v>
          </cell>
          <cell r="R110">
            <v>3</v>
          </cell>
          <cell r="S110">
            <v>0</v>
          </cell>
          <cell r="T110">
            <v>0</v>
          </cell>
          <cell r="U110">
            <v>0</v>
          </cell>
          <cell r="V110">
            <v>0</v>
          </cell>
          <cell r="W110">
            <v>0</v>
          </cell>
          <cell r="X110">
            <v>0</v>
          </cell>
          <cell r="Y110">
            <v>0</v>
          </cell>
          <cell r="Z110">
            <v>0</v>
          </cell>
          <cell r="AA110">
            <v>0</v>
          </cell>
          <cell r="AB110">
            <v>0</v>
          </cell>
          <cell r="AC110">
            <v>0</v>
          </cell>
          <cell r="AD110">
            <v>0</v>
          </cell>
          <cell r="AE110">
            <v>0</v>
          </cell>
          <cell r="AF110">
            <v>0</v>
          </cell>
          <cell r="AG110">
            <v>0</v>
          </cell>
          <cell r="AH110">
            <v>0</v>
          </cell>
          <cell r="AI110">
            <v>0</v>
          </cell>
          <cell r="AJ110">
            <v>9193.5400000000009</v>
          </cell>
          <cell r="AK110">
            <v>0</v>
          </cell>
          <cell r="AL110">
            <v>0</v>
          </cell>
          <cell r="AM110">
            <v>0</v>
          </cell>
          <cell r="AN110">
            <v>0</v>
          </cell>
          <cell r="AO110">
            <v>0</v>
          </cell>
          <cell r="AP110">
            <v>0</v>
          </cell>
          <cell r="AR110">
            <v>0</v>
          </cell>
          <cell r="AS110">
            <v>0</v>
          </cell>
          <cell r="AT110">
            <v>0</v>
          </cell>
        </row>
        <row r="111">
          <cell r="G111">
            <v>44651</v>
          </cell>
          <cell r="J111">
            <v>0</v>
          </cell>
          <cell r="K111">
            <v>0</v>
          </cell>
          <cell r="L111">
            <v>0</v>
          </cell>
          <cell r="M111">
            <v>0</v>
          </cell>
          <cell r="N111">
            <v>0</v>
          </cell>
          <cell r="O111">
            <v>0</v>
          </cell>
          <cell r="P111">
            <v>0</v>
          </cell>
          <cell r="Q111">
            <v>0</v>
          </cell>
          <cell r="R111">
            <v>1</v>
          </cell>
          <cell r="S111">
            <v>0</v>
          </cell>
          <cell r="T111">
            <v>0</v>
          </cell>
          <cell r="U111">
            <v>0</v>
          </cell>
          <cell r="V111">
            <v>0</v>
          </cell>
          <cell r="W111">
            <v>0</v>
          </cell>
          <cell r="X111">
            <v>0</v>
          </cell>
          <cell r="Y111">
            <v>0</v>
          </cell>
          <cell r="Z111">
            <v>0</v>
          </cell>
          <cell r="AA111">
            <v>0</v>
          </cell>
          <cell r="AB111">
            <v>0</v>
          </cell>
          <cell r="AC111">
            <v>0</v>
          </cell>
          <cell r="AD111">
            <v>0</v>
          </cell>
          <cell r="AE111">
            <v>0</v>
          </cell>
          <cell r="AF111">
            <v>0</v>
          </cell>
          <cell r="AG111">
            <v>0</v>
          </cell>
          <cell r="AH111">
            <v>0</v>
          </cell>
          <cell r="AI111">
            <v>0</v>
          </cell>
          <cell r="AJ111">
            <v>3000</v>
          </cell>
          <cell r="AK111">
            <v>0</v>
          </cell>
          <cell r="AL111">
            <v>0</v>
          </cell>
          <cell r="AM111">
            <v>0</v>
          </cell>
          <cell r="AN111">
            <v>0</v>
          </cell>
          <cell r="AO111">
            <v>0</v>
          </cell>
          <cell r="AP111">
            <v>0</v>
          </cell>
          <cell r="AR111">
            <v>0</v>
          </cell>
          <cell r="AS111">
            <v>0</v>
          </cell>
          <cell r="AT111">
            <v>0</v>
          </cell>
        </row>
        <row r="112">
          <cell r="G112">
            <v>44652</v>
          </cell>
          <cell r="J112">
            <v>0</v>
          </cell>
          <cell r="K112">
            <v>0</v>
          </cell>
          <cell r="L112">
            <v>0</v>
          </cell>
          <cell r="M112">
            <v>0</v>
          </cell>
          <cell r="N112">
            <v>0</v>
          </cell>
          <cell r="O112">
            <v>0</v>
          </cell>
          <cell r="P112">
            <v>0</v>
          </cell>
          <cell r="Q112">
            <v>0</v>
          </cell>
          <cell r="R112">
            <v>1</v>
          </cell>
          <cell r="S112">
            <v>0</v>
          </cell>
          <cell r="T112">
            <v>0</v>
          </cell>
          <cell r="U112">
            <v>0</v>
          </cell>
          <cell r="V112">
            <v>0</v>
          </cell>
          <cell r="W112">
            <v>0</v>
          </cell>
          <cell r="X112">
            <v>0</v>
          </cell>
          <cell r="Y112">
            <v>0</v>
          </cell>
          <cell r="Z112">
            <v>0</v>
          </cell>
          <cell r="AA112">
            <v>0</v>
          </cell>
          <cell r="AB112">
            <v>0</v>
          </cell>
          <cell r="AC112">
            <v>0</v>
          </cell>
          <cell r="AD112">
            <v>0</v>
          </cell>
          <cell r="AE112">
            <v>0</v>
          </cell>
          <cell r="AF112">
            <v>0</v>
          </cell>
          <cell r="AG112">
            <v>0</v>
          </cell>
          <cell r="AH112">
            <v>0</v>
          </cell>
          <cell r="AI112">
            <v>0</v>
          </cell>
          <cell r="AJ112">
            <v>3000</v>
          </cell>
          <cell r="AK112">
            <v>0</v>
          </cell>
          <cell r="AL112">
            <v>0</v>
          </cell>
          <cell r="AM112">
            <v>0</v>
          </cell>
          <cell r="AN112">
            <v>0</v>
          </cell>
          <cell r="AO112">
            <v>0</v>
          </cell>
          <cell r="AP112">
            <v>0</v>
          </cell>
          <cell r="AR112">
            <v>0</v>
          </cell>
          <cell r="AS112">
            <v>0</v>
          </cell>
          <cell r="AT112">
            <v>0</v>
          </cell>
        </row>
        <row r="113">
          <cell r="G113">
            <v>44653</v>
          </cell>
          <cell r="J113">
            <v>0</v>
          </cell>
          <cell r="K113">
            <v>0</v>
          </cell>
          <cell r="L113">
            <v>0</v>
          </cell>
          <cell r="M113">
            <v>0</v>
          </cell>
          <cell r="N113">
            <v>0</v>
          </cell>
          <cell r="O113">
            <v>0</v>
          </cell>
          <cell r="P113">
            <v>0</v>
          </cell>
          <cell r="Q113">
            <v>0</v>
          </cell>
          <cell r="R113">
            <v>1</v>
          </cell>
          <cell r="S113">
            <v>0</v>
          </cell>
          <cell r="T113">
            <v>0</v>
          </cell>
          <cell r="U113">
            <v>0</v>
          </cell>
          <cell r="V113">
            <v>0</v>
          </cell>
          <cell r="W113">
            <v>0</v>
          </cell>
          <cell r="X113">
            <v>0</v>
          </cell>
          <cell r="Y113">
            <v>0</v>
          </cell>
          <cell r="Z113">
            <v>0</v>
          </cell>
          <cell r="AA113">
            <v>0</v>
          </cell>
          <cell r="AB113">
            <v>0</v>
          </cell>
          <cell r="AC113">
            <v>0</v>
          </cell>
          <cell r="AD113">
            <v>0</v>
          </cell>
          <cell r="AE113">
            <v>0</v>
          </cell>
          <cell r="AF113">
            <v>0</v>
          </cell>
          <cell r="AG113">
            <v>0</v>
          </cell>
          <cell r="AH113">
            <v>0</v>
          </cell>
          <cell r="AI113">
            <v>0</v>
          </cell>
          <cell r="AJ113">
            <v>3000</v>
          </cell>
          <cell r="AK113">
            <v>0</v>
          </cell>
          <cell r="AL113">
            <v>0</v>
          </cell>
          <cell r="AM113">
            <v>0</v>
          </cell>
          <cell r="AN113">
            <v>0</v>
          </cell>
          <cell r="AO113">
            <v>0</v>
          </cell>
          <cell r="AP113">
            <v>0</v>
          </cell>
          <cell r="AR113">
            <v>0</v>
          </cell>
          <cell r="AS113">
            <v>0</v>
          </cell>
          <cell r="AT113">
            <v>0</v>
          </cell>
        </row>
        <row r="114">
          <cell r="G114">
            <v>44654</v>
          </cell>
          <cell r="J114">
            <v>0</v>
          </cell>
          <cell r="K114">
            <v>0</v>
          </cell>
          <cell r="L114">
            <v>0</v>
          </cell>
          <cell r="M114">
            <v>0</v>
          </cell>
          <cell r="N114">
            <v>0</v>
          </cell>
          <cell r="O114">
            <v>0</v>
          </cell>
          <cell r="P114">
            <v>0</v>
          </cell>
          <cell r="Q114">
            <v>0</v>
          </cell>
          <cell r="R114">
            <v>1</v>
          </cell>
          <cell r="S114">
            <v>0</v>
          </cell>
          <cell r="T114">
            <v>0</v>
          </cell>
          <cell r="U114">
            <v>0</v>
          </cell>
          <cell r="V114">
            <v>0</v>
          </cell>
          <cell r="W114">
            <v>0</v>
          </cell>
          <cell r="X114">
            <v>0</v>
          </cell>
          <cell r="Y114">
            <v>0</v>
          </cell>
          <cell r="Z114">
            <v>0</v>
          </cell>
          <cell r="AA114">
            <v>0</v>
          </cell>
          <cell r="AB114">
            <v>0</v>
          </cell>
          <cell r="AC114">
            <v>0</v>
          </cell>
          <cell r="AD114">
            <v>0</v>
          </cell>
          <cell r="AE114">
            <v>0</v>
          </cell>
          <cell r="AF114">
            <v>0</v>
          </cell>
          <cell r="AG114">
            <v>0</v>
          </cell>
          <cell r="AH114">
            <v>0</v>
          </cell>
          <cell r="AI114">
            <v>0</v>
          </cell>
          <cell r="AJ114">
            <v>3000</v>
          </cell>
          <cell r="AK114">
            <v>0</v>
          </cell>
          <cell r="AL114">
            <v>0</v>
          </cell>
          <cell r="AM114">
            <v>0</v>
          </cell>
          <cell r="AN114">
            <v>0</v>
          </cell>
          <cell r="AO114">
            <v>0</v>
          </cell>
          <cell r="AP114">
            <v>0</v>
          </cell>
          <cell r="AR114">
            <v>0</v>
          </cell>
          <cell r="AS114">
            <v>0</v>
          </cell>
          <cell r="AT114">
            <v>0</v>
          </cell>
        </row>
        <row r="115">
          <cell r="G115">
            <v>44655</v>
          </cell>
          <cell r="J115">
            <v>0</v>
          </cell>
          <cell r="K115">
            <v>0</v>
          </cell>
          <cell r="L115">
            <v>0</v>
          </cell>
          <cell r="M115">
            <v>0</v>
          </cell>
          <cell r="N115">
            <v>0</v>
          </cell>
          <cell r="O115">
            <v>0</v>
          </cell>
          <cell r="P115">
            <v>0</v>
          </cell>
          <cell r="Q115">
            <v>0</v>
          </cell>
          <cell r="R115">
            <v>1</v>
          </cell>
          <cell r="S115">
            <v>0</v>
          </cell>
          <cell r="T115">
            <v>0</v>
          </cell>
          <cell r="U115">
            <v>0</v>
          </cell>
          <cell r="V115">
            <v>0</v>
          </cell>
          <cell r="W115">
            <v>0</v>
          </cell>
          <cell r="X115">
            <v>0</v>
          </cell>
          <cell r="Y115">
            <v>0</v>
          </cell>
          <cell r="Z115">
            <v>0</v>
          </cell>
          <cell r="AA115">
            <v>0</v>
          </cell>
          <cell r="AB115">
            <v>0</v>
          </cell>
          <cell r="AC115">
            <v>0</v>
          </cell>
          <cell r="AD115">
            <v>0</v>
          </cell>
          <cell r="AE115">
            <v>0</v>
          </cell>
          <cell r="AF115">
            <v>0</v>
          </cell>
          <cell r="AG115">
            <v>0</v>
          </cell>
          <cell r="AH115">
            <v>0</v>
          </cell>
          <cell r="AI115">
            <v>0</v>
          </cell>
          <cell r="AJ115">
            <v>3000</v>
          </cell>
          <cell r="AK115">
            <v>0</v>
          </cell>
          <cell r="AL115">
            <v>0</v>
          </cell>
          <cell r="AM115">
            <v>0</v>
          </cell>
          <cell r="AN115">
            <v>0</v>
          </cell>
          <cell r="AO115">
            <v>0</v>
          </cell>
          <cell r="AP115">
            <v>0</v>
          </cell>
          <cell r="AR115">
            <v>0</v>
          </cell>
          <cell r="AS115">
            <v>0</v>
          </cell>
          <cell r="AT115">
            <v>0</v>
          </cell>
        </row>
        <row r="116">
          <cell r="G116">
            <v>44656</v>
          </cell>
          <cell r="J116">
            <v>0</v>
          </cell>
          <cell r="K116">
            <v>0</v>
          </cell>
          <cell r="L116">
            <v>0</v>
          </cell>
          <cell r="M116">
            <v>0</v>
          </cell>
          <cell r="N116">
            <v>0</v>
          </cell>
          <cell r="O116">
            <v>0</v>
          </cell>
          <cell r="P116">
            <v>0</v>
          </cell>
          <cell r="Q116">
            <v>0</v>
          </cell>
          <cell r="R116">
            <v>1</v>
          </cell>
          <cell r="S116">
            <v>0</v>
          </cell>
          <cell r="T116">
            <v>0</v>
          </cell>
          <cell r="U116">
            <v>0</v>
          </cell>
          <cell r="V116">
            <v>0</v>
          </cell>
          <cell r="W116">
            <v>0</v>
          </cell>
          <cell r="X116">
            <v>0</v>
          </cell>
          <cell r="Y116">
            <v>0</v>
          </cell>
          <cell r="Z116">
            <v>0</v>
          </cell>
          <cell r="AA116">
            <v>0</v>
          </cell>
          <cell r="AB116">
            <v>0</v>
          </cell>
          <cell r="AC116">
            <v>0</v>
          </cell>
          <cell r="AD116">
            <v>0</v>
          </cell>
          <cell r="AE116">
            <v>0</v>
          </cell>
          <cell r="AF116">
            <v>0</v>
          </cell>
          <cell r="AG116">
            <v>0</v>
          </cell>
          <cell r="AH116">
            <v>0</v>
          </cell>
          <cell r="AI116">
            <v>0</v>
          </cell>
          <cell r="AJ116">
            <v>3000</v>
          </cell>
          <cell r="AK116">
            <v>0</v>
          </cell>
          <cell r="AL116">
            <v>0</v>
          </cell>
          <cell r="AM116">
            <v>0</v>
          </cell>
          <cell r="AN116">
            <v>0</v>
          </cell>
          <cell r="AO116">
            <v>0</v>
          </cell>
          <cell r="AP116">
            <v>0</v>
          </cell>
          <cell r="AR116">
            <v>0</v>
          </cell>
          <cell r="AS116">
            <v>0</v>
          </cell>
          <cell r="AT116">
            <v>0</v>
          </cell>
        </row>
        <row r="117">
          <cell r="G117">
            <v>44657</v>
          </cell>
          <cell r="J117">
            <v>0</v>
          </cell>
          <cell r="K117">
            <v>0</v>
          </cell>
          <cell r="L117">
            <v>0</v>
          </cell>
          <cell r="M117">
            <v>0</v>
          </cell>
          <cell r="N117">
            <v>0</v>
          </cell>
          <cell r="O117">
            <v>0</v>
          </cell>
          <cell r="P117">
            <v>0</v>
          </cell>
          <cell r="Q117">
            <v>0</v>
          </cell>
          <cell r="R117">
            <v>1</v>
          </cell>
          <cell r="S117">
            <v>0</v>
          </cell>
          <cell r="T117">
            <v>0</v>
          </cell>
          <cell r="U117">
            <v>0</v>
          </cell>
          <cell r="V117">
            <v>0</v>
          </cell>
          <cell r="W117">
            <v>0</v>
          </cell>
          <cell r="X117">
            <v>0</v>
          </cell>
          <cell r="Y117">
            <v>0</v>
          </cell>
          <cell r="Z117">
            <v>0</v>
          </cell>
          <cell r="AA117">
            <v>0</v>
          </cell>
          <cell r="AB117">
            <v>0</v>
          </cell>
          <cell r="AC117">
            <v>0</v>
          </cell>
          <cell r="AD117">
            <v>0</v>
          </cell>
          <cell r="AE117">
            <v>0</v>
          </cell>
          <cell r="AF117">
            <v>0</v>
          </cell>
          <cell r="AG117">
            <v>0</v>
          </cell>
          <cell r="AH117">
            <v>0</v>
          </cell>
          <cell r="AI117">
            <v>0</v>
          </cell>
          <cell r="AJ117">
            <v>3000</v>
          </cell>
          <cell r="AK117">
            <v>0</v>
          </cell>
          <cell r="AL117">
            <v>0</v>
          </cell>
          <cell r="AM117">
            <v>0</v>
          </cell>
          <cell r="AN117">
            <v>0</v>
          </cell>
          <cell r="AO117">
            <v>0</v>
          </cell>
          <cell r="AP117">
            <v>0</v>
          </cell>
          <cell r="AR117">
            <v>0</v>
          </cell>
          <cell r="AS117">
            <v>0</v>
          </cell>
          <cell r="AT117">
            <v>0</v>
          </cell>
        </row>
        <row r="118">
          <cell r="G118">
            <v>44658</v>
          </cell>
          <cell r="J118">
            <v>0</v>
          </cell>
          <cell r="K118">
            <v>1</v>
          </cell>
          <cell r="L118">
            <v>0</v>
          </cell>
          <cell r="M118">
            <v>0</v>
          </cell>
          <cell r="N118">
            <v>0</v>
          </cell>
          <cell r="O118">
            <v>0</v>
          </cell>
          <cell r="P118">
            <v>0</v>
          </cell>
          <cell r="Q118">
            <v>0</v>
          </cell>
          <cell r="R118">
            <v>1</v>
          </cell>
          <cell r="S118">
            <v>0</v>
          </cell>
          <cell r="T118">
            <v>0</v>
          </cell>
          <cell r="U118">
            <v>0</v>
          </cell>
          <cell r="V118">
            <v>0</v>
          </cell>
          <cell r="W118">
            <v>0</v>
          </cell>
          <cell r="X118">
            <v>0</v>
          </cell>
          <cell r="Y118">
            <v>0</v>
          </cell>
          <cell r="Z118">
            <v>0</v>
          </cell>
          <cell r="AA118">
            <v>0</v>
          </cell>
          <cell r="AB118">
            <v>0</v>
          </cell>
          <cell r="AC118">
            <v>3600</v>
          </cell>
          <cell r="AD118">
            <v>0</v>
          </cell>
          <cell r="AE118">
            <v>0</v>
          </cell>
          <cell r="AF118">
            <v>0</v>
          </cell>
          <cell r="AG118">
            <v>0</v>
          </cell>
          <cell r="AH118">
            <v>0</v>
          </cell>
          <cell r="AI118">
            <v>0</v>
          </cell>
          <cell r="AJ118">
            <v>3000</v>
          </cell>
          <cell r="AK118">
            <v>0</v>
          </cell>
          <cell r="AL118">
            <v>0</v>
          </cell>
          <cell r="AM118">
            <v>0</v>
          </cell>
          <cell r="AN118">
            <v>0</v>
          </cell>
          <cell r="AO118">
            <v>0</v>
          </cell>
          <cell r="AP118">
            <v>0</v>
          </cell>
          <cell r="AR118">
            <v>0</v>
          </cell>
          <cell r="AS118">
            <v>0</v>
          </cell>
          <cell r="AT118">
            <v>0</v>
          </cell>
        </row>
        <row r="119">
          <cell r="G119">
            <v>44659</v>
          </cell>
          <cell r="J119">
            <v>0</v>
          </cell>
          <cell r="K119">
            <v>1</v>
          </cell>
          <cell r="L119">
            <v>0</v>
          </cell>
          <cell r="M119">
            <v>0</v>
          </cell>
          <cell r="N119">
            <v>0</v>
          </cell>
          <cell r="O119">
            <v>0</v>
          </cell>
          <cell r="P119">
            <v>0</v>
          </cell>
          <cell r="Q119">
            <v>0</v>
          </cell>
          <cell r="R119">
            <v>1</v>
          </cell>
          <cell r="S119">
            <v>0</v>
          </cell>
          <cell r="T119">
            <v>0</v>
          </cell>
          <cell r="U119">
            <v>0</v>
          </cell>
          <cell r="V119">
            <v>0</v>
          </cell>
          <cell r="W119">
            <v>0</v>
          </cell>
          <cell r="X119">
            <v>0</v>
          </cell>
          <cell r="Y119">
            <v>0</v>
          </cell>
          <cell r="Z119">
            <v>0</v>
          </cell>
          <cell r="AA119">
            <v>0</v>
          </cell>
          <cell r="AB119">
            <v>0</v>
          </cell>
          <cell r="AC119">
            <v>3600</v>
          </cell>
          <cell r="AD119">
            <v>0</v>
          </cell>
          <cell r="AE119">
            <v>0</v>
          </cell>
          <cell r="AF119">
            <v>0</v>
          </cell>
          <cell r="AG119">
            <v>0</v>
          </cell>
          <cell r="AH119">
            <v>0</v>
          </cell>
          <cell r="AI119">
            <v>0</v>
          </cell>
          <cell r="AJ119">
            <v>3000</v>
          </cell>
          <cell r="AK119">
            <v>0</v>
          </cell>
          <cell r="AL119">
            <v>0</v>
          </cell>
          <cell r="AM119">
            <v>0</v>
          </cell>
          <cell r="AN119">
            <v>0</v>
          </cell>
          <cell r="AO119">
            <v>0</v>
          </cell>
          <cell r="AP119">
            <v>0</v>
          </cell>
          <cell r="AR119">
            <v>0</v>
          </cell>
          <cell r="AS119">
            <v>0</v>
          </cell>
          <cell r="AT119">
            <v>0</v>
          </cell>
        </row>
        <row r="120">
          <cell r="G120">
            <v>44660</v>
          </cell>
          <cell r="J120">
            <v>0</v>
          </cell>
          <cell r="K120">
            <v>1</v>
          </cell>
          <cell r="L120">
            <v>0</v>
          </cell>
          <cell r="M120">
            <v>0</v>
          </cell>
          <cell r="N120">
            <v>0</v>
          </cell>
          <cell r="O120">
            <v>0</v>
          </cell>
          <cell r="P120">
            <v>0</v>
          </cell>
          <cell r="Q120">
            <v>0</v>
          </cell>
          <cell r="R120">
            <v>1</v>
          </cell>
          <cell r="S120">
            <v>0</v>
          </cell>
          <cell r="T120">
            <v>0</v>
          </cell>
          <cell r="U120">
            <v>0</v>
          </cell>
          <cell r="V120">
            <v>0</v>
          </cell>
          <cell r="W120">
            <v>0</v>
          </cell>
          <cell r="X120">
            <v>0</v>
          </cell>
          <cell r="Y120">
            <v>0</v>
          </cell>
          <cell r="Z120">
            <v>0</v>
          </cell>
          <cell r="AA120">
            <v>0</v>
          </cell>
          <cell r="AB120">
            <v>0</v>
          </cell>
          <cell r="AC120">
            <v>3600</v>
          </cell>
          <cell r="AD120">
            <v>0</v>
          </cell>
          <cell r="AE120">
            <v>0</v>
          </cell>
          <cell r="AF120">
            <v>0</v>
          </cell>
          <cell r="AG120">
            <v>0</v>
          </cell>
          <cell r="AH120">
            <v>0</v>
          </cell>
          <cell r="AI120">
            <v>0</v>
          </cell>
          <cell r="AJ120">
            <v>3000</v>
          </cell>
          <cell r="AK120">
            <v>0</v>
          </cell>
          <cell r="AL120">
            <v>0</v>
          </cell>
          <cell r="AM120">
            <v>0</v>
          </cell>
          <cell r="AN120">
            <v>0</v>
          </cell>
          <cell r="AO120">
            <v>0</v>
          </cell>
          <cell r="AP120">
            <v>0</v>
          </cell>
          <cell r="AR120">
            <v>0</v>
          </cell>
          <cell r="AS120">
            <v>0</v>
          </cell>
          <cell r="AT120">
            <v>0</v>
          </cell>
        </row>
        <row r="121">
          <cell r="G121">
            <v>44661</v>
          </cell>
          <cell r="J121">
            <v>0</v>
          </cell>
          <cell r="K121">
            <v>0</v>
          </cell>
          <cell r="L121">
            <v>0</v>
          </cell>
          <cell r="M121">
            <v>0</v>
          </cell>
          <cell r="N121">
            <v>0</v>
          </cell>
          <cell r="O121">
            <v>0</v>
          </cell>
          <cell r="P121">
            <v>0</v>
          </cell>
          <cell r="Q121">
            <v>0</v>
          </cell>
          <cell r="R121">
            <v>1</v>
          </cell>
          <cell r="S121">
            <v>0</v>
          </cell>
          <cell r="T121">
            <v>0</v>
          </cell>
          <cell r="U121">
            <v>0</v>
          </cell>
          <cell r="V121">
            <v>0</v>
          </cell>
          <cell r="W121">
            <v>0</v>
          </cell>
          <cell r="X121">
            <v>0</v>
          </cell>
          <cell r="Y121">
            <v>0</v>
          </cell>
          <cell r="Z121">
            <v>0</v>
          </cell>
          <cell r="AA121">
            <v>0</v>
          </cell>
          <cell r="AB121">
            <v>0</v>
          </cell>
          <cell r="AC121">
            <v>0</v>
          </cell>
          <cell r="AD121">
            <v>0</v>
          </cell>
          <cell r="AE121">
            <v>0</v>
          </cell>
          <cell r="AF121">
            <v>0</v>
          </cell>
          <cell r="AG121">
            <v>0</v>
          </cell>
          <cell r="AH121">
            <v>0</v>
          </cell>
          <cell r="AI121">
            <v>0</v>
          </cell>
          <cell r="AJ121">
            <v>3000</v>
          </cell>
          <cell r="AK121">
            <v>0</v>
          </cell>
          <cell r="AL121">
            <v>0</v>
          </cell>
          <cell r="AM121">
            <v>0</v>
          </cell>
          <cell r="AN121">
            <v>0</v>
          </cell>
          <cell r="AO121">
            <v>0</v>
          </cell>
          <cell r="AP121">
            <v>0</v>
          </cell>
          <cell r="AR121">
            <v>0</v>
          </cell>
          <cell r="AS121">
            <v>0</v>
          </cell>
          <cell r="AT121">
            <v>0</v>
          </cell>
        </row>
        <row r="122">
          <cell r="G122">
            <v>44662</v>
          </cell>
          <cell r="J122">
            <v>0</v>
          </cell>
          <cell r="K122">
            <v>0</v>
          </cell>
          <cell r="L122">
            <v>0</v>
          </cell>
          <cell r="M122">
            <v>0</v>
          </cell>
          <cell r="N122">
            <v>0</v>
          </cell>
          <cell r="O122">
            <v>0</v>
          </cell>
          <cell r="P122">
            <v>0</v>
          </cell>
          <cell r="Q122">
            <v>0</v>
          </cell>
          <cell r="R122">
            <v>1</v>
          </cell>
          <cell r="S122">
            <v>0</v>
          </cell>
          <cell r="T122">
            <v>0</v>
          </cell>
          <cell r="U122">
            <v>0</v>
          </cell>
          <cell r="V122">
            <v>0</v>
          </cell>
          <cell r="W122">
            <v>0</v>
          </cell>
          <cell r="X122">
            <v>0</v>
          </cell>
          <cell r="Y122">
            <v>0</v>
          </cell>
          <cell r="Z122">
            <v>0</v>
          </cell>
          <cell r="AA122">
            <v>0</v>
          </cell>
          <cell r="AB122">
            <v>0</v>
          </cell>
          <cell r="AC122">
            <v>0</v>
          </cell>
          <cell r="AD122">
            <v>0</v>
          </cell>
          <cell r="AE122">
            <v>0</v>
          </cell>
          <cell r="AF122">
            <v>0</v>
          </cell>
          <cell r="AG122">
            <v>0</v>
          </cell>
          <cell r="AH122">
            <v>0</v>
          </cell>
          <cell r="AI122">
            <v>0</v>
          </cell>
          <cell r="AJ122">
            <v>3000</v>
          </cell>
          <cell r="AK122">
            <v>0</v>
          </cell>
          <cell r="AL122">
            <v>0</v>
          </cell>
          <cell r="AM122">
            <v>0</v>
          </cell>
          <cell r="AN122">
            <v>0</v>
          </cell>
          <cell r="AO122">
            <v>0</v>
          </cell>
          <cell r="AP122">
            <v>0</v>
          </cell>
          <cell r="AR122">
            <v>0</v>
          </cell>
          <cell r="AS122">
            <v>0</v>
          </cell>
          <cell r="AT122">
            <v>0</v>
          </cell>
        </row>
        <row r="123">
          <cell r="G123">
            <v>44663</v>
          </cell>
          <cell r="J123">
            <v>0</v>
          </cell>
          <cell r="K123">
            <v>0</v>
          </cell>
          <cell r="L123">
            <v>0</v>
          </cell>
          <cell r="M123">
            <v>0</v>
          </cell>
          <cell r="N123">
            <v>0</v>
          </cell>
          <cell r="O123">
            <v>0</v>
          </cell>
          <cell r="P123">
            <v>0</v>
          </cell>
          <cell r="Q123">
            <v>0</v>
          </cell>
          <cell r="R123">
            <v>1</v>
          </cell>
          <cell r="S123">
            <v>0</v>
          </cell>
          <cell r="T123">
            <v>0</v>
          </cell>
          <cell r="U123">
            <v>0</v>
          </cell>
          <cell r="V123">
            <v>0</v>
          </cell>
          <cell r="W123">
            <v>0</v>
          </cell>
          <cell r="X123">
            <v>0</v>
          </cell>
          <cell r="Y123">
            <v>0</v>
          </cell>
          <cell r="Z123">
            <v>0</v>
          </cell>
          <cell r="AA123">
            <v>0</v>
          </cell>
          <cell r="AB123">
            <v>0</v>
          </cell>
          <cell r="AC123">
            <v>0</v>
          </cell>
          <cell r="AD123">
            <v>0</v>
          </cell>
          <cell r="AE123">
            <v>0</v>
          </cell>
          <cell r="AF123">
            <v>0</v>
          </cell>
          <cell r="AG123">
            <v>0</v>
          </cell>
          <cell r="AH123">
            <v>0</v>
          </cell>
          <cell r="AI123">
            <v>0</v>
          </cell>
          <cell r="AJ123">
            <v>3000</v>
          </cell>
          <cell r="AK123">
            <v>0</v>
          </cell>
          <cell r="AL123">
            <v>0</v>
          </cell>
          <cell r="AM123">
            <v>0</v>
          </cell>
          <cell r="AN123">
            <v>0</v>
          </cell>
          <cell r="AO123">
            <v>0</v>
          </cell>
          <cell r="AP123">
            <v>0</v>
          </cell>
          <cell r="AR123">
            <v>0</v>
          </cell>
          <cell r="AS123">
            <v>0</v>
          </cell>
          <cell r="AT123">
            <v>0</v>
          </cell>
        </row>
        <row r="124">
          <cell r="G124">
            <v>44664</v>
          </cell>
          <cell r="J124">
            <v>0</v>
          </cell>
          <cell r="K124">
            <v>0</v>
          </cell>
          <cell r="L124">
            <v>0</v>
          </cell>
          <cell r="M124">
            <v>0</v>
          </cell>
          <cell r="N124">
            <v>0</v>
          </cell>
          <cell r="O124">
            <v>0</v>
          </cell>
          <cell r="P124">
            <v>0</v>
          </cell>
          <cell r="Q124">
            <v>0</v>
          </cell>
          <cell r="R124">
            <v>1</v>
          </cell>
          <cell r="S124">
            <v>0</v>
          </cell>
          <cell r="T124">
            <v>0</v>
          </cell>
          <cell r="U124">
            <v>0</v>
          </cell>
          <cell r="V124">
            <v>0</v>
          </cell>
          <cell r="W124">
            <v>0</v>
          </cell>
          <cell r="X124">
            <v>0</v>
          </cell>
          <cell r="Y124">
            <v>0</v>
          </cell>
          <cell r="Z124">
            <v>0</v>
          </cell>
          <cell r="AA124">
            <v>0</v>
          </cell>
          <cell r="AB124">
            <v>0</v>
          </cell>
          <cell r="AC124">
            <v>0</v>
          </cell>
          <cell r="AD124">
            <v>0</v>
          </cell>
          <cell r="AE124">
            <v>0</v>
          </cell>
          <cell r="AF124">
            <v>0</v>
          </cell>
          <cell r="AG124">
            <v>0</v>
          </cell>
          <cell r="AH124">
            <v>0</v>
          </cell>
          <cell r="AI124">
            <v>0</v>
          </cell>
          <cell r="AJ124">
            <v>3000</v>
          </cell>
          <cell r="AK124">
            <v>0</v>
          </cell>
          <cell r="AL124">
            <v>0</v>
          </cell>
          <cell r="AM124">
            <v>0</v>
          </cell>
          <cell r="AN124">
            <v>0</v>
          </cell>
          <cell r="AO124">
            <v>0</v>
          </cell>
          <cell r="AP124">
            <v>0</v>
          </cell>
          <cell r="AR124">
            <v>0</v>
          </cell>
          <cell r="AS124">
            <v>0</v>
          </cell>
          <cell r="AT124">
            <v>0</v>
          </cell>
        </row>
        <row r="125">
          <cell r="G125">
            <v>44665</v>
          </cell>
          <cell r="J125">
            <v>0</v>
          </cell>
          <cell r="K125">
            <v>0</v>
          </cell>
          <cell r="L125">
            <v>0</v>
          </cell>
          <cell r="M125">
            <v>0</v>
          </cell>
          <cell r="N125">
            <v>0</v>
          </cell>
          <cell r="O125">
            <v>0</v>
          </cell>
          <cell r="P125">
            <v>0</v>
          </cell>
          <cell r="Q125">
            <v>0</v>
          </cell>
          <cell r="R125">
            <v>1</v>
          </cell>
          <cell r="S125">
            <v>0</v>
          </cell>
          <cell r="T125">
            <v>0</v>
          </cell>
          <cell r="U125">
            <v>0</v>
          </cell>
          <cell r="V125">
            <v>0</v>
          </cell>
          <cell r="W125">
            <v>0</v>
          </cell>
          <cell r="X125">
            <v>0</v>
          </cell>
          <cell r="Y125">
            <v>0</v>
          </cell>
          <cell r="Z125">
            <v>0</v>
          </cell>
          <cell r="AA125">
            <v>0</v>
          </cell>
          <cell r="AB125">
            <v>0</v>
          </cell>
          <cell r="AC125">
            <v>0</v>
          </cell>
          <cell r="AD125">
            <v>0</v>
          </cell>
          <cell r="AE125">
            <v>0</v>
          </cell>
          <cell r="AF125">
            <v>0</v>
          </cell>
          <cell r="AG125">
            <v>0</v>
          </cell>
          <cell r="AH125">
            <v>0</v>
          </cell>
          <cell r="AI125">
            <v>0</v>
          </cell>
          <cell r="AJ125">
            <v>3000</v>
          </cell>
          <cell r="AK125">
            <v>0</v>
          </cell>
          <cell r="AL125">
            <v>0</v>
          </cell>
          <cell r="AM125">
            <v>0</v>
          </cell>
          <cell r="AN125">
            <v>0</v>
          </cell>
          <cell r="AO125">
            <v>0</v>
          </cell>
          <cell r="AP125">
            <v>0</v>
          </cell>
          <cell r="AR125">
            <v>0</v>
          </cell>
          <cell r="AS125">
            <v>0</v>
          </cell>
          <cell r="AT125">
            <v>0</v>
          </cell>
        </row>
        <row r="126">
          <cell r="G126">
            <v>44666</v>
          </cell>
          <cell r="J126">
            <v>0</v>
          </cell>
          <cell r="K126">
            <v>0</v>
          </cell>
          <cell r="L126">
            <v>0</v>
          </cell>
          <cell r="M126">
            <v>0</v>
          </cell>
          <cell r="N126">
            <v>0</v>
          </cell>
          <cell r="O126">
            <v>0</v>
          </cell>
          <cell r="P126">
            <v>0</v>
          </cell>
          <cell r="Q126">
            <v>0</v>
          </cell>
          <cell r="R126">
            <v>1</v>
          </cell>
          <cell r="S126">
            <v>0</v>
          </cell>
          <cell r="T126">
            <v>0</v>
          </cell>
          <cell r="U126">
            <v>0</v>
          </cell>
          <cell r="V126">
            <v>0</v>
          </cell>
          <cell r="W126">
            <v>0</v>
          </cell>
          <cell r="X126">
            <v>0</v>
          </cell>
          <cell r="Y126">
            <v>0</v>
          </cell>
          <cell r="Z126">
            <v>0</v>
          </cell>
          <cell r="AA126">
            <v>0</v>
          </cell>
          <cell r="AB126">
            <v>0</v>
          </cell>
          <cell r="AC126">
            <v>0</v>
          </cell>
          <cell r="AD126">
            <v>0</v>
          </cell>
          <cell r="AE126">
            <v>0</v>
          </cell>
          <cell r="AF126">
            <v>0</v>
          </cell>
          <cell r="AG126">
            <v>0</v>
          </cell>
          <cell r="AH126">
            <v>0</v>
          </cell>
          <cell r="AI126">
            <v>0</v>
          </cell>
          <cell r="AJ126">
            <v>3000</v>
          </cell>
          <cell r="AK126">
            <v>0</v>
          </cell>
          <cell r="AL126">
            <v>0</v>
          </cell>
          <cell r="AM126">
            <v>0</v>
          </cell>
          <cell r="AN126">
            <v>0</v>
          </cell>
          <cell r="AO126">
            <v>0</v>
          </cell>
          <cell r="AP126">
            <v>0</v>
          </cell>
          <cell r="AR126">
            <v>0</v>
          </cell>
          <cell r="AS126">
            <v>0</v>
          </cell>
          <cell r="AT126">
            <v>0</v>
          </cell>
        </row>
        <row r="127">
          <cell r="G127">
            <v>44667</v>
          </cell>
          <cell r="J127">
            <v>0</v>
          </cell>
          <cell r="K127">
            <v>0</v>
          </cell>
          <cell r="L127">
            <v>0</v>
          </cell>
          <cell r="M127">
            <v>0</v>
          </cell>
          <cell r="N127">
            <v>0</v>
          </cell>
          <cell r="O127">
            <v>0</v>
          </cell>
          <cell r="P127">
            <v>0</v>
          </cell>
          <cell r="Q127">
            <v>0</v>
          </cell>
          <cell r="R127">
            <v>1</v>
          </cell>
          <cell r="S127">
            <v>0</v>
          </cell>
          <cell r="T127">
            <v>0</v>
          </cell>
          <cell r="U127">
            <v>0</v>
          </cell>
          <cell r="V127">
            <v>0</v>
          </cell>
          <cell r="W127">
            <v>0</v>
          </cell>
          <cell r="X127">
            <v>0</v>
          </cell>
          <cell r="Y127">
            <v>0</v>
          </cell>
          <cell r="Z127">
            <v>0</v>
          </cell>
          <cell r="AA127">
            <v>0</v>
          </cell>
          <cell r="AB127">
            <v>0</v>
          </cell>
          <cell r="AC127">
            <v>0</v>
          </cell>
          <cell r="AD127">
            <v>0</v>
          </cell>
          <cell r="AE127">
            <v>0</v>
          </cell>
          <cell r="AF127">
            <v>0</v>
          </cell>
          <cell r="AG127">
            <v>0</v>
          </cell>
          <cell r="AH127">
            <v>0</v>
          </cell>
          <cell r="AI127">
            <v>0</v>
          </cell>
          <cell r="AJ127">
            <v>3000</v>
          </cell>
          <cell r="AK127">
            <v>0</v>
          </cell>
          <cell r="AL127">
            <v>0</v>
          </cell>
          <cell r="AM127">
            <v>0</v>
          </cell>
          <cell r="AN127">
            <v>0</v>
          </cell>
          <cell r="AO127">
            <v>0</v>
          </cell>
          <cell r="AP127">
            <v>0</v>
          </cell>
          <cell r="AR127">
            <v>0</v>
          </cell>
          <cell r="AS127">
            <v>0</v>
          </cell>
          <cell r="AT127">
            <v>0</v>
          </cell>
        </row>
        <row r="128">
          <cell r="G128">
            <v>44668</v>
          </cell>
          <cell r="J128">
            <v>0</v>
          </cell>
          <cell r="K128">
            <v>0</v>
          </cell>
          <cell r="L128">
            <v>0</v>
          </cell>
          <cell r="M128">
            <v>0</v>
          </cell>
          <cell r="N128">
            <v>0</v>
          </cell>
          <cell r="O128">
            <v>0</v>
          </cell>
          <cell r="P128">
            <v>0</v>
          </cell>
          <cell r="Q128">
            <v>0</v>
          </cell>
          <cell r="R128">
            <v>1</v>
          </cell>
          <cell r="S128">
            <v>0</v>
          </cell>
          <cell r="T128">
            <v>0</v>
          </cell>
          <cell r="U128">
            <v>0</v>
          </cell>
          <cell r="V128">
            <v>0</v>
          </cell>
          <cell r="W128">
            <v>0</v>
          </cell>
          <cell r="X128">
            <v>0</v>
          </cell>
          <cell r="Y128">
            <v>0</v>
          </cell>
          <cell r="Z128">
            <v>0</v>
          </cell>
          <cell r="AA128">
            <v>0</v>
          </cell>
          <cell r="AB128">
            <v>0</v>
          </cell>
          <cell r="AC128">
            <v>0</v>
          </cell>
          <cell r="AD128">
            <v>0</v>
          </cell>
          <cell r="AE128">
            <v>0</v>
          </cell>
          <cell r="AF128">
            <v>0</v>
          </cell>
          <cell r="AG128">
            <v>0</v>
          </cell>
          <cell r="AH128">
            <v>0</v>
          </cell>
          <cell r="AI128">
            <v>0</v>
          </cell>
          <cell r="AJ128">
            <v>3000</v>
          </cell>
          <cell r="AK128">
            <v>0</v>
          </cell>
          <cell r="AL128">
            <v>0</v>
          </cell>
          <cell r="AM128">
            <v>0</v>
          </cell>
          <cell r="AN128">
            <v>0</v>
          </cell>
          <cell r="AO128">
            <v>0</v>
          </cell>
          <cell r="AP128">
            <v>0</v>
          </cell>
          <cell r="AR128">
            <v>0</v>
          </cell>
          <cell r="AS128">
            <v>0</v>
          </cell>
          <cell r="AT128">
            <v>0</v>
          </cell>
        </row>
        <row r="129">
          <cell r="G129">
            <v>44669</v>
          </cell>
          <cell r="J129">
            <v>0</v>
          </cell>
          <cell r="K129">
            <v>0</v>
          </cell>
          <cell r="L129">
            <v>0</v>
          </cell>
          <cell r="M129">
            <v>0</v>
          </cell>
          <cell r="N129">
            <v>0</v>
          </cell>
          <cell r="O129">
            <v>0</v>
          </cell>
          <cell r="P129">
            <v>0</v>
          </cell>
          <cell r="Q129">
            <v>0</v>
          </cell>
          <cell r="R129">
            <v>1</v>
          </cell>
          <cell r="S129">
            <v>0</v>
          </cell>
          <cell r="T129">
            <v>0</v>
          </cell>
          <cell r="U129">
            <v>0</v>
          </cell>
          <cell r="V129">
            <v>0</v>
          </cell>
          <cell r="W129">
            <v>0</v>
          </cell>
          <cell r="X129">
            <v>0</v>
          </cell>
          <cell r="Y129">
            <v>0</v>
          </cell>
          <cell r="Z129">
            <v>0</v>
          </cell>
          <cell r="AA129">
            <v>0</v>
          </cell>
          <cell r="AB129">
            <v>0</v>
          </cell>
          <cell r="AC129">
            <v>0</v>
          </cell>
          <cell r="AD129">
            <v>0</v>
          </cell>
          <cell r="AE129">
            <v>0</v>
          </cell>
          <cell r="AF129">
            <v>0</v>
          </cell>
          <cell r="AG129">
            <v>0</v>
          </cell>
          <cell r="AH129">
            <v>0</v>
          </cell>
          <cell r="AI129">
            <v>0</v>
          </cell>
          <cell r="AJ129">
            <v>3000</v>
          </cell>
          <cell r="AK129">
            <v>0</v>
          </cell>
          <cell r="AL129">
            <v>0</v>
          </cell>
          <cell r="AM129">
            <v>0</v>
          </cell>
          <cell r="AN129">
            <v>0</v>
          </cell>
          <cell r="AO129">
            <v>0</v>
          </cell>
          <cell r="AP129">
            <v>0</v>
          </cell>
          <cell r="AR129">
            <v>0</v>
          </cell>
          <cell r="AS129">
            <v>0</v>
          </cell>
          <cell r="AT129">
            <v>0</v>
          </cell>
        </row>
        <row r="130">
          <cell r="G130">
            <v>44670</v>
          </cell>
          <cell r="J130">
            <v>0</v>
          </cell>
          <cell r="K130">
            <v>0</v>
          </cell>
          <cell r="L130">
            <v>0</v>
          </cell>
          <cell r="M130">
            <v>0</v>
          </cell>
          <cell r="N130">
            <v>0</v>
          </cell>
          <cell r="O130">
            <v>0</v>
          </cell>
          <cell r="P130">
            <v>0</v>
          </cell>
          <cell r="Q130">
            <v>0</v>
          </cell>
          <cell r="R130">
            <v>1</v>
          </cell>
          <cell r="S130">
            <v>0</v>
          </cell>
          <cell r="T130">
            <v>0</v>
          </cell>
          <cell r="U130">
            <v>0</v>
          </cell>
          <cell r="V130">
            <v>0</v>
          </cell>
          <cell r="W130">
            <v>0</v>
          </cell>
          <cell r="X130">
            <v>0</v>
          </cell>
          <cell r="Y130">
            <v>0</v>
          </cell>
          <cell r="Z130">
            <v>0</v>
          </cell>
          <cell r="AA130">
            <v>0</v>
          </cell>
          <cell r="AB130">
            <v>0</v>
          </cell>
          <cell r="AC130">
            <v>0</v>
          </cell>
          <cell r="AD130">
            <v>0</v>
          </cell>
          <cell r="AE130">
            <v>0</v>
          </cell>
          <cell r="AF130">
            <v>0</v>
          </cell>
          <cell r="AG130">
            <v>0</v>
          </cell>
          <cell r="AH130">
            <v>0</v>
          </cell>
          <cell r="AI130">
            <v>0</v>
          </cell>
          <cell r="AJ130">
            <v>3000</v>
          </cell>
          <cell r="AK130">
            <v>0</v>
          </cell>
          <cell r="AL130">
            <v>0</v>
          </cell>
          <cell r="AM130">
            <v>0</v>
          </cell>
          <cell r="AN130">
            <v>0</v>
          </cell>
          <cell r="AO130">
            <v>0</v>
          </cell>
          <cell r="AP130">
            <v>0</v>
          </cell>
          <cell r="AR130">
            <v>0</v>
          </cell>
          <cell r="AS130">
            <v>0</v>
          </cell>
          <cell r="AT130">
            <v>0</v>
          </cell>
        </row>
        <row r="131">
          <cell r="G131">
            <v>44671</v>
          </cell>
          <cell r="J131">
            <v>0</v>
          </cell>
          <cell r="K131">
            <v>0</v>
          </cell>
          <cell r="L131">
            <v>0</v>
          </cell>
          <cell r="M131">
            <v>0</v>
          </cell>
          <cell r="N131">
            <v>0</v>
          </cell>
          <cell r="O131">
            <v>0</v>
          </cell>
          <cell r="P131">
            <v>0</v>
          </cell>
          <cell r="Q131">
            <v>0</v>
          </cell>
          <cell r="R131">
            <v>1</v>
          </cell>
          <cell r="S131">
            <v>0</v>
          </cell>
          <cell r="T131">
            <v>0</v>
          </cell>
          <cell r="U131">
            <v>0</v>
          </cell>
          <cell r="V131">
            <v>0</v>
          </cell>
          <cell r="W131">
            <v>0</v>
          </cell>
          <cell r="X131">
            <v>0</v>
          </cell>
          <cell r="Y131">
            <v>0</v>
          </cell>
          <cell r="Z131">
            <v>0</v>
          </cell>
          <cell r="AA131">
            <v>0</v>
          </cell>
          <cell r="AB131">
            <v>0</v>
          </cell>
          <cell r="AC131">
            <v>0</v>
          </cell>
          <cell r="AD131">
            <v>0</v>
          </cell>
          <cell r="AE131">
            <v>0</v>
          </cell>
          <cell r="AF131">
            <v>0</v>
          </cell>
          <cell r="AG131">
            <v>0</v>
          </cell>
          <cell r="AH131">
            <v>0</v>
          </cell>
          <cell r="AI131">
            <v>0</v>
          </cell>
          <cell r="AJ131">
            <v>3000</v>
          </cell>
          <cell r="AK131">
            <v>0</v>
          </cell>
          <cell r="AL131">
            <v>0</v>
          </cell>
          <cell r="AM131">
            <v>0</v>
          </cell>
          <cell r="AN131">
            <v>0</v>
          </cell>
          <cell r="AO131">
            <v>0</v>
          </cell>
          <cell r="AP131">
            <v>0</v>
          </cell>
          <cell r="AR131">
            <v>0</v>
          </cell>
          <cell r="AS131">
            <v>0</v>
          </cell>
          <cell r="AT131">
            <v>0</v>
          </cell>
        </row>
        <row r="132">
          <cell r="G132">
            <v>44672</v>
          </cell>
          <cell r="J132">
            <v>0</v>
          </cell>
          <cell r="K132">
            <v>0</v>
          </cell>
          <cell r="L132">
            <v>0</v>
          </cell>
          <cell r="M132">
            <v>0</v>
          </cell>
          <cell r="N132">
            <v>0</v>
          </cell>
          <cell r="O132">
            <v>0</v>
          </cell>
          <cell r="P132">
            <v>0</v>
          </cell>
          <cell r="Q132">
            <v>0</v>
          </cell>
          <cell r="R132">
            <v>1</v>
          </cell>
          <cell r="S132">
            <v>0</v>
          </cell>
          <cell r="T132">
            <v>0</v>
          </cell>
          <cell r="U132">
            <v>0</v>
          </cell>
          <cell r="V132">
            <v>0</v>
          </cell>
          <cell r="W132">
            <v>0</v>
          </cell>
          <cell r="X132">
            <v>0</v>
          </cell>
          <cell r="Y132">
            <v>0</v>
          </cell>
          <cell r="Z132">
            <v>0</v>
          </cell>
          <cell r="AA132">
            <v>0</v>
          </cell>
          <cell r="AB132">
            <v>0</v>
          </cell>
          <cell r="AC132">
            <v>0</v>
          </cell>
          <cell r="AD132">
            <v>0</v>
          </cell>
          <cell r="AE132">
            <v>0</v>
          </cell>
          <cell r="AF132">
            <v>0</v>
          </cell>
          <cell r="AG132">
            <v>0</v>
          </cell>
          <cell r="AH132">
            <v>0</v>
          </cell>
          <cell r="AI132">
            <v>0</v>
          </cell>
          <cell r="AJ132">
            <v>3000</v>
          </cell>
          <cell r="AK132">
            <v>0</v>
          </cell>
          <cell r="AL132">
            <v>0</v>
          </cell>
          <cell r="AM132">
            <v>0</v>
          </cell>
          <cell r="AN132">
            <v>0</v>
          </cell>
          <cell r="AO132">
            <v>0</v>
          </cell>
          <cell r="AP132">
            <v>0</v>
          </cell>
          <cell r="AR132">
            <v>0</v>
          </cell>
          <cell r="AS132">
            <v>0</v>
          </cell>
          <cell r="AT132">
            <v>0</v>
          </cell>
        </row>
        <row r="133">
          <cell r="G133">
            <v>44673</v>
          </cell>
          <cell r="J133">
            <v>0</v>
          </cell>
          <cell r="K133">
            <v>0</v>
          </cell>
          <cell r="L133">
            <v>0</v>
          </cell>
          <cell r="M133">
            <v>0</v>
          </cell>
          <cell r="N133">
            <v>0</v>
          </cell>
          <cell r="O133">
            <v>0</v>
          </cell>
          <cell r="P133">
            <v>0</v>
          </cell>
          <cell r="Q133">
            <v>0</v>
          </cell>
          <cell r="R133">
            <v>1</v>
          </cell>
          <cell r="S133">
            <v>0</v>
          </cell>
          <cell r="T133">
            <v>0</v>
          </cell>
          <cell r="U133">
            <v>0</v>
          </cell>
          <cell r="V133">
            <v>0</v>
          </cell>
          <cell r="W133">
            <v>0</v>
          </cell>
          <cell r="X133">
            <v>0</v>
          </cell>
          <cell r="Y133">
            <v>0</v>
          </cell>
          <cell r="Z133">
            <v>0</v>
          </cell>
          <cell r="AA133">
            <v>0</v>
          </cell>
          <cell r="AB133">
            <v>0</v>
          </cell>
          <cell r="AC133">
            <v>0</v>
          </cell>
          <cell r="AD133">
            <v>0</v>
          </cell>
          <cell r="AE133">
            <v>0</v>
          </cell>
          <cell r="AF133">
            <v>0</v>
          </cell>
          <cell r="AG133">
            <v>0</v>
          </cell>
          <cell r="AH133">
            <v>0</v>
          </cell>
          <cell r="AI133">
            <v>0</v>
          </cell>
          <cell r="AJ133">
            <v>3000</v>
          </cell>
          <cell r="AK133">
            <v>0</v>
          </cell>
          <cell r="AL133">
            <v>0</v>
          </cell>
          <cell r="AM133">
            <v>0</v>
          </cell>
          <cell r="AN133">
            <v>0</v>
          </cell>
          <cell r="AO133">
            <v>0</v>
          </cell>
          <cell r="AP133">
            <v>0</v>
          </cell>
          <cell r="AR133">
            <v>0</v>
          </cell>
          <cell r="AS133">
            <v>0</v>
          </cell>
          <cell r="AT133">
            <v>0</v>
          </cell>
        </row>
        <row r="134">
          <cell r="G134">
            <v>44674</v>
          </cell>
          <cell r="J134">
            <v>0</v>
          </cell>
          <cell r="K134">
            <v>0</v>
          </cell>
          <cell r="L134">
            <v>0</v>
          </cell>
          <cell r="M134">
            <v>0</v>
          </cell>
          <cell r="N134">
            <v>0</v>
          </cell>
          <cell r="O134">
            <v>0</v>
          </cell>
          <cell r="P134">
            <v>0</v>
          </cell>
          <cell r="Q134">
            <v>0</v>
          </cell>
          <cell r="R134">
            <v>1</v>
          </cell>
          <cell r="S134">
            <v>0</v>
          </cell>
          <cell r="T134">
            <v>0</v>
          </cell>
          <cell r="U134">
            <v>0</v>
          </cell>
          <cell r="V134">
            <v>0</v>
          </cell>
          <cell r="W134">
            <v>0</v>
          </cell>
          <cell r="X134">
            <v>0</v>
          </cell>
          <cell r="Y134">
            <v>0</v>
          </cell>
          <cell r="Z134">
            <v>0</v>
          </cell>
          <cell r="AA134">
            <v>0</v>
          </cell>
          <cell r="AB134">
            <v>0</v>
          </cell>
          <cell r="AC134">
            <v>0</v>
          </cell>
          <cell r="AD134">
            <v>0</v>
          </cell>
          <cell r="AE134">
            <v>0</v>
          </cell>
          <cell r="AF134">
            <v>0</v>
          </cell>
          <cell r="AG134">
            <v>0</v>
          </cell>
          <cell r="AH134">
            <v>0</v>
          </cell>
          <cell r="AI134">
            <v>0</v>
          </cell>
          <cell r="AJ134">
            <v>3000</v>
          </cell>
          <cell r="AK134">
            <v>0</v>
          </cell>
          <cell r="AL134">
            <v>0</v>
          </cell>
          <cell r="AM134">
            <v>0</v>
          </cell>
          <cell r="AN134">
            <v>0</v>
          </cell>
          <cell r="AO134">
            <v>0</v>
          </cell>
          <cell r="AP134">
            <v>0</v>
          </cell>
          <cell r="AR134">
            <v>0</v>
          </cell>
          <cell r="AS134">
            <v>0</v>
          </cell>
          <cell r="AT134">
            <v>0</v>
          </cell>
        </row>
        <row r="135">
          <cell r="G135">
            <v>44675</v>
          </cell>
          <cell r="J135">
            <v>0</v>
          </cell>
          <cell r="K135">
            <v>0</v>
          </cell>
          <cell r="L135">
            <v>0</v>
          </cell>
          <cell r="M135">
            <v>0</v>
          </cell>
          <cell r="N135">
            <v>0</v>
          </cell>
          <cell r="O135">
            <v>0</v>
          </cell>
          <cell r="P135">
            <v>0</v>
          </cell>
          <cell r="Q135">
            <v>0</v>
          </cell>
          <cell r="R135">
            <v>1</v>
          </cell>
          <cell r="S135">
            <v>0</v>
          </cell>
          <cell r="T135">
            <v>0</v>
          </cell>
          <cell r="U135">
            <v>0</v>
          </cell>
          <cell r="V135">
            <v>0</v>
          </cell>
          <cell r="W135">
            <v>0</v>
          </cell>
          <cell r="X135">
            <v>0</v>
          </cell>
          <cell r="Y135">
            <v>0</v>
          </cell>
          <cell r="Z135">
            <v>0</v>
          </cell>
          <cell r="AA135">
            <v>0</v>
          </cell>
          <cell r="AB135">
            <v>0</v>
          </cell>
          <cell r="AC135">
            <v>0</v>
          </cell>
          <cell r="AD135">
            <v>0</v>
          </cell>
          <cell r="AE135">
            <v>0</v>
          </cell>
          <cell r="AF135">
            <v>0</v>
          </cell>
          <cell r="AG135">
            <v>0</v>
          </cell>
          <cell r="AH135">
            <v>0</v>
          </cell>
          <cell r="AI135">
            <v>0</v>
          </cell>
          <cell r="AJ135">
            <v>3000</v>
          </cell>
          <cell r="AK135">
            <v>0</v>
          </cell>
          <cell r="AL135">
            <v>0</v>
          </cell>
          <cell r="AM135">
            <v>0</v>
          </cell>
          <cell r="AN135">
            <v>0</v>
          </cell>
          <cell r="AO135">
            <v>0</v>
          </cell>
          <cell r="AP135">
            <v>0</v>
          </cell>
          <cell r="AR135">
            <v>0</v>
          </cell>
          <cell r="AS135">
            <v>0</v>
          </cell>
          <cell r="AT135">
            <v>0</v>
          </cell>
        </row>
        <row r="136">
          <cell r="G136">
            <v>44676</v>
          </cell>
          <cell r="J136">
            <v>0</v>
          </cell>
          <cell r="K136">
            <v>0</v>
          </cell>
          <cell r="L136">
            <v>0</v>
          </cell>
          <cell r="M136">
            <v>0</v>
          </cell>
          <cell r="N136">
            <v>0</v>
          </cell>
          <cell r="O136">
            <v>0</v>
          </cell>
          <cell r="P136">
            <v>0</v>
          </cell>
          <cell r="Q136">
            <v>0</v>
          </cell>
          <cell r="R136">
            <v>1</v>
          </cell>
          <cell r="S136">
            <v>0</v>
          </cell>
          <cell r="T136">
            <v>0</v>
          </cell>
          <cell r="U136">
            <v>0</v>
          </cell>
          <cell r="V136">
            <v>0</v>
          </cell>
          <cell r="W136">
            <v>0</v>
          </cell>
          <cell r="X136">
            <v>0</v>
          </cell>
          <cell r="Y136">
            <v>0</v>
          </cell>
          <cell r="Z136">
            <v>0</v>
          </cell>
          <cell r="AA136">
            <v>0</v>
          </cell>
          <cell r="AB136">
            <v>0</v>
          </cell>
          <cell r="AC136">
            <v>0</v>
          </cell>
          <cell r="AD136">
            <v>0</v>
          </cell>
          <cell r="AE136">
            <v>0</v>
          </cell>
          <cell r="AF136">
            <v>0</v>
          </cell>
          <cell r="AG136">
            <v>0</v>
          </cell>
          <cell r="AH136">
            <v>0</v>
          </cell>
          <cell r="AI136">
            <v>0</v>
          </cell>
          <cell r="AJ136">
            <v>3000</v>
          </cell>
          <cell r="AK136">
            <v>0</v>
          </cell>
          <cell r="AL136">
            <v>0</v>
          </cell>
          <cell r="AM136">
            <v>0</v>
          </cell>
          <cell r="AN136">
            <v>0</v>
          </cell>
          <cell r="AO136">
            <v>0</v>
          </cell>
          <cell r="AP136">
            <v>0</v>
          </cell>
          <cell r="AR136">
            <v>0</v>
          </cell>
          <cell r="AS136">
            <v>0</v>
          </cell>
          <cell r="AT136">
            <v>0</v>
          </cell>
        </row>
        <row r="137">
          <cell r="G137">
            <v>44677</v>
          </cell>
          <cell r="J137">
            <v>0</v>
          </cell>
          <cell r="K137">
            <v>0</v>
          </cell>
          <cell r="L137">
            <v>0</v>
          </cell>
          <cell r="M137">
            <v>0</v>
          </cell>
          <cell r="N137">
            <v>0</v>
          </cell>
          <cell r="O137">
            <v>0</v>
          </cell>
          <cell r="P137">
            <v>0</v>
          </cell>
          <cell r="Q137">
            <v>0</v>
          </cell>
          <cell r="R137">
            <v>1</v>
          </cell>
          <cell r="S137">
            <v>0</v>
          </cell>
          <cell r="T137">
            <v>0</v>
          </cell>
          <cell r="U137">
            <v>0</v>
          </cell>
          <cell r="V137">
            <v>0</v>
          </cell>
          <cell r="W137">
            <v>0</v>
          </cell>
          <cell r="X137">
            <v>0</v>
          </cell>
          <cell r="Y137">
            <v>0</v>
          </cell>
          <cell r="Z137">
            <v>0</v>
          </cell>
          <cell r="AA137">
            <v>0</v>
          </cell>
          <cell r="AB137">
            <v>0</v>
          </cell>
          <cell r="AC137">
            <v>0</v>
          </cell>
          <cell r="AD137">
            <v>0</v>
          </cell>
          <cell r="AE137">
            <v>0</v>
          </cell>
          <cell r="AF137">
            <v>0</v>
          </cell>
          <cell r="AG137">
            <v>0</v>
          </cell>
          <cell r="AH137">
            <v>0</v>
          </cell>
          <cell r="AI137">
            <v>0</v>
          </cell>
          <cell r="AJ137">
            <v>3000</v>
          </cell>
          <cell r="AK137">
            <v>0</v>
          </cell>
          <cell r="AL137">
            <v>0</v>
          </cell>
          <cell r="AM137">
            <v>0</v>
          </cell>
          <cell r="AN137">
            <v>0</v>
          </cell>
          <cell r="AO137">
            <v>0</v>
          </cell>
          <cell r="AP137">
            <v>0</v>
          </cell>
          <cell r="AR137">
            <v>0</v>
          </cell>
          <cell r="AS137">
            <v>0</v>
          </cell>
          <cell r="AT137">
            <v>0</v>
          </cell>
        </row>
        <row r="138">
          <cell r="G138">
            <v>44678</v>
          </cell>
          <cell r="J138">
            <v>0</v>
          </cell>
          <cell r="K138">
            <v>0</v>
          </cell>
          <cell r="L138">
            <v>0</v>
          </cell>
          <cell r="M138">
            <v>0</v>
          </cell>
          <cell r="N138">
            <v>0</v>
          </cell>
          <cell r="O138">
            <v>0</v>
          </cell>
          <cell r="P138">
            <v>0</v>
          </cell>
          <cell r="Q138">
            <v>0</v>
          </cell>
          <cell r="R138">
            <v>1</v>
          </cell>
          <cell r="S138">
            <v>0</v>
          </cell>
          <cell r="T138">
            <v>0</v>
          </cell>
          <cell r="U138">
            <v>0</v>
          </cell>
          <cell r="V138">
            <v>0</v>
          </cell>
          <cell r="W138">
            <v>0</v>
          </cell>
          <cell r="X138">
            <v>0</v>
          </cell>
          <cell r="Y138">
            <v>0</v>
          </cell>
          <cell r="Z138">
            <v>0</v>
          </cell>
          <cell r="AA138">
            <v>0</v>
          </cell>
          <cell r="AB138">
            <v>0</v>
          </cell>
          <cell r="AC138">
            <v>0</v>
          </cell>
          <cell r="AD138">
            <v>0</v>
          </cell>
          <cell r="AE138">
            <v>0</v>
          </cell>
          <cell r="AF138">
            <v>0</v>
          </cell>
          <cell r="AG138">
            <v>0</v>
          </cell>
          <cell r="AH138">
            <v>0</v>
          </cell>
          <cell r="AI138">
            <v>0</v>
          </cell>
          <cell r="AJ138">
            <v>3000</v>
          </cell>
          <cell r="AK138">
            <v>0</v>
          </cell>
          <cell r="AL138">
            <v>0</v>
          </cell>
          <cell r="AM138">
            <v>0</v>
          </cell>
          <cell r="AN138">
            <v>0</v>
          </cell>
          <cell r="AO138">
            <v>0</v>
          </cell>
          <cell r="AP138">
            <v>0</v>
          </cell>
          <cell r="AR138">
            <v>0</v>
          </cell>
          <cell r="AS138">
            <v>0</v>
          </cell>
          <cell r="AT138">
            <v>0</v>
          </cell>
        </row>
        <row r="139">
          <cell r="G139">
            <v>44679</v>
          </cell>
          <cell r="J139">
            <v>0</v>
          </cell>
          <cell r="K139">
            <v>0</v>
          </cell>
          <cell r="L139">
            <v>0</v>
          </cell>
          <cell r="M139">
            <v>0</v>
          </cell>
          <cell r="N139">
            <v>0</v>
          </cell>
          <cell r="O139">
            <v>0</v>
          </cell>
          <cell r="P139">
            <v>0</v>
          </cell>
          <cell r="Q139">
            <v>0</v>
          </cell>
          <cell r="R139">
            <v>1</v>
          </cell>
          <cell r="S139">
            <v>0</v>
          </cell>
          <cell r="T139">
            <v>0</v>
          </cell>
          <cell r="U139">
            <v>0</v>
          </cell>
          <cell r="V139">
            <v>0</v>
          </cell>
          <cell r="W139">
            <v>0</v>
          </cell>
          <cell r="X139">
            <v>0</v>
          </cell>
          <cell r="Y139">
            <v>0</v>
          </cell>
          <cell r="Z139">
            <v>0</v>
          </cell>
          <cell r="AA139">
            <v>0</v>
          </cell>
          <cell r="AB139">
            <v>0</v>
          </cell>
          <cell r="AC139">
            <v>0</v>
          </cell>
          <cell r="AD139">
            <v>0</v>
          </cell>
          <cell r="AE139">
            <v>0</v>
          </cell>
          <cell r="AF139">
            <v>0</v>
          </cell>
          <cell r="AG139">
            <v>0</v>
          </cell>
          <cell r="AH139">
            <v>0</v>
          </cell>
          <cell r="AI139">
            <v>0</v>
          </cell>
          <cell r="AJ139">
            <v>3000</v>
          </cell>
          <cell r="AK139">
            <v>0</v>
          </cell>
          <cell r="AL139">
            <v>0</v>
          </cell>
          <cell r="AM139">
            <v>0</v>
          </cell>
          <cell r="AN139">
            <v>0</v>
          </cell>
          <cell r="AO139">
            <v>0</v>
          </cell>
          <cell r="AP139">
            <v>0</v>
          </cell>
          <cell r="AR139">
            <v>0</v>
          </cell>
          <cell r="AS139">
            <v>0</v>
          </cell>
          <cell r="AT139">
            <v>0</v>
          </cell>
        </row>
        <row r="140">
          <cell r="G140">
            <v>44680</v>
          </cell>
          <cell r="J140">
            <v>0</v>
          </cell>
          <cell r="K140">
            <v>0</v>
          </cell>
          <cell r="L140">
            <v>0</v>
          </cell>
          <cell r="M140">
            <v>0</v>
          </cell>
          <cell r="N140">
            <v>0</v>
          </cell>
          <cell r="O140">
            <v>0</v>
          </cell>
          <cell r="P140">
            <v>0</v>
          </cell>
          <cell r="Q140">
            <v>0</v>
          </cell>
          <cell r="R140">
            <v>1</v>
          </cell>
          <cell r="S140">
            <v>0</v>
          </cell>
          <cell r="T140">
            <v>0</v>
          </cell>
          <cell r="U140">
            <v>0</v>
          </cell>
          <cell r="V140">
            <v>0</v>
          </cell>
          <cell r="W140">
            <v>0</v>
          </cell>
          <cell r="X140">
            <v>0</v>
          </cell>
          <cell r="Y140">
            <v>0</v>
          </cell>
          <cell r="Z140">
            <v>0</v>
          </cell>
          <cell r="AA140">
            <v>0</v>
          </cell>
          <cell r="AB140">
            <v>0</v>
          </cell>
          <cell r="AC140">
            <v>0</v>
          </cell>
          <cell r="AD140">
            <v>0</v>
          </cell>
          <cell r="AE140">
            <v>0</v>
          </cell>
          <cell r="AF140">
            <v>0</v>
          </cell>
          <cell r="AG140">
            <v>0</v>
          </cell>
          <cell r="AH140">
            <v>0</v>
          </cell>
          <cell r="AI140">
            <v>0</v>
          </cell>
          <cell r="AJ140">
            <v>3000</v>
          </cell>
          <cell r="AK140">
            <v>0</v>
          </cell>
          <cell r="AL140">
            <v>0</v>
          </cell>
          <cell r="AM140">
            <v>0</v>
          </cell>
          <cell r="AN140">
            <v>0</v>
          </cell>
          <cell r="AO140">
            <v>0</v>
          </cell>
          <cell r="AP140">
            <v>0</v>
          </cell>
          <cell r="AR140">
            <v>0</v>
          </cell>
          <cell r="AS140">
            <v>0</v>
          </cell>
          <cell r="AT140">
            <v>0</v>
          </cell>
        </row>
        <row r="141">
          <cell r="G141">
            <v>44681</v>
          </cell>
          <cell r="J141">
            <v>0</v>
          </cell>
          <cell r="K141">
            <v>0</v>
          </cell>
          <cell r="L141">
            <v>0</v>
          </cell>
          <cell r="M141">
            <v>0</v>
          </cell>
          <cell r="N141">
            <v>0</v>
          </cell>
          <cell r="O141">
            <v>0</v>
          </cell>
          <cell r="P141">
            <v>0</v>
          </cell>
          <cell r="Q141">
            <v>0</v>
          </cell>
          <cell r="R141">
            <v>1</v>
          </cell>
          <cell r="S141">
            <v>0</v>
          </cell>
          <cell r="T141">
            <v>0</v>
          </cell>
          <cell r="U141">
            <v>0</v>
          </cell>
          <cell r="V141">
            <v>0</v>
          </cell>
          <cell r="W141">
            <v>0</v>
          </cell>
          <cell r="X141">
            <v>0</v>
          </cell>
          <cell r="Y141">
            <v>0</v>
          </cell>
          <cell r="Z141">
            <v>0</v>
          </cell>
          <cell r="AA141">
            <v>0</v>
          </cell>
          <cell r="AB141">
            <v>0</v>
          </cell>
          <cell r="AC141">
            <v>0</v>
          </cell>
          <cell r="AD141">
            <v>0</v>
          </cell>
          <cell r="AE141">
            <v>0</v>
          </cell>
          <cell r="AF141">
            <v>0</v>
          </cell>
          <cell r="AG141">
            <v>0</v>
          </cell>
          <cell r="AH141">
            <v>0</v>
          </cell>
          <cell r="AI141">
            <v>0</v>
          </cell>
          <cell r="AJ141">
            <v>3000</v>
          </cell>
          <cell r="AK141">
            <v>0</v>
          </cell>
          <cell r="AL141">
            <v>0</v>
          </cell>
          <cell r="AM141">
            <v>0</v>
          </cell>
          <cell r="AN141">
            <v>0</v>
          </cell>
          <cell r="AO141">
            <v>0</v>
          </cell>
          <cell r="AP141">
            <v>0</v>
          </cell>
          <cell r="AR141">
            <v>0</v>
          </cell>
          <cell r="AS141">
            <v>0</v>
          </cell>
          <cell r="AT141">
            <v>0</v>
          </cell>
        </row>
        <row r="142">
          <cell r="G142">
            <v>44682</v>
          </cell>
          <cell r="J142">
            <v>0</v>
          </cell>
          <cell r="K142">
            <v>0</v>
          </cell>
          <cell r="L142">
            <v>0</v>
          </cell>
          <cell r="M142">
            <v>0</v>
          </cell>
          <cell r="N142">
            <v>0</v>
          </cell>
          <cell r="O142">
            <v>0</v>
          </cell>
          <cell r="P142">
            <v>0</v>
          </cell>
          <cell r="Q142">
            <v>0</v>
          </cell>
          <cell r="R142">
            <v>1</v>
          </cell>
          <cell r="S142">
            <v>0</v>
          </cell>
          <cell r="T142">
            <v>0</v>
          </cell>
          <cell r="U142">
            <v>0</v>
          </cell>
          <cell r="V142">
            <v>0</v>
          </cell>
          <cell r="W142">
            <v>0</v>
          </cell>
          <cell r="X142">
            <v>0</v>
          </cell>
          <cell r="Y142">
            <v>0</v>
          </cell>
          <cell r="Z142">
            <v>0</v>
          </cell>
          <cell r="AA142">
            <v>0</v>
          </cell>
          <cell r="AB142">
            <v>0</v>
          </cell>
          <cell r="AC142">
            <v>0</v>
          </cell>
          <cell r="AD142">
            <v>0</v>
          </cell>
          <cell r="AE142">
            <v>0</v>
          </cell>
          <cell r="AF142">
            <v>0</v>
          </cell>
          <cell r="AG142">
            <v>0</v>
          </cell>
          <cell r="AH142">
            <v>0</v>
          </cell>
          <cell r="AI142">
            <v>0</v>
          </cell>
          <cell r="AJ142">
            <v>3000</v>
          </cell>
          <cell r="AK142">
            <v>0</v>
          </cell>
          <cell r="AL142">
            <v>0</v>
          </cell>
          <cell r="AM142">
            <v>0</v>
          </cell>
          <cell r="AN142">
            <v>0</v>
          </cell>
          <cell r="AO142">
            <v>0</v>
          </cell>
          <cell r="AP142">
            <v>0</v>
          </cell>
          <cell r="AR142">
            <v>0</v>
          </cell>
          <cell r="AS142">
            <v>0</v>
          </cell>
          <cell r="AT142">
            <v>0</v>
          </cell>
        </row>
        <row r="143">
          <cell r="G143">
            <v>44683</v>
          </cell>
          <cell r="J143">
            <v>0</v>
          </cell>
          <cell r="K143">
            <v>0</v>
          </cell>
          <cell r="L143">
            <v>0</v>
          </cell>
          <cell r="M143">
            <v>0</v>
          </cell>
          <cell r="N143">
            <v>0</v>
          </cell>
          <cell r="O143">
            <v>0</v>
          </cell>
          <cell r="P143">
            <v>0</v>
          </cell>
          <cell r="Q143">
            <v>0</v>
          </cell>
          <cell r="R143">
            <v>1</v>
          </cell>
          <cell r="S143">
            <v>0</v>
          </cell>
          <cell r="T143">
            <v>0</v>
          </cell>
          <cell r="U143">
            <v>0</v>
          </cell>
          <cell r="V143">
            <v>0</v>
          </cell>
          <cell r="W143">
            <v>0</v>
          </cell>
          <cell r="X143">
            <v>0</v>
          </cell>
          <cell r="Y143">
            <v>0</v>
          </cell>
          <cell r="Z143">
            <v>0</v>
          </cell>
          <cell r="AA143">
            <v>0</v>
          </cell>
          <cell r="AB143">
            <v>0</v>
          </cell>
          <cell r="AC143">
            <v>0</v>
          </cell>
          <cell r="AD143">
            <v>0</v>
          </cell>
          <cell r="AE143">
            <v>0</v>
          </cell>
          <cell r="AF143">
            <v>0</v>
          </cell>
          <cell r="AG143">
            <v>0</v>
          </cell>
          <cell r="AH143">
            <v>0</v>
          </cell>
          <cell r="AI143">
            <v>0</v>
          </cell>
          <cell r="AJ143">
            <v>3000</v>
          </cell>
          <cell r="AK143">
            <v>0</v>
          </cell>
          <cell r="AL143">
            <v>0</v>
          </cell>
          <cell r="AM143">
            <v>0</v>
          </cell>
          <cell r="AN143">
            <v>0</v>
          </cell>
          <cell r="AO143">
            <v>0</v>
          </cell>
          <cell r="AP143">
            <v>0</v>
          </cell>
          <cell r="AR143">
            <v>0</v>
          </cell>
          <cell r="AS143">
            <v>0</v>
          </cell>
          <cell r="AT143">
            <v>0</v>
          </cell>
        </row>
        <row r="144">
          <cell r="G144">
            <v>44684</v>
          </cell>
          <cell r="J144">
            <v>0</v>
          </cell>
          <cell r="K144">
            <v>0</v>
          </cell>
          <cell r="L144">
            <v>0</v>
          </cell>
          <cell r="M144">
            <v>0</v>
          </cell>
          <cell r="N144">
            <v>0</v>
          </cell>
          <cell r="O144">
            <v>0</v>
          </cell>
          <cell r="P144">
            <v>0</v>
          </cell>
          <cell r="Q144">
            <v>0</v>
          </cell>
          <cell r="R144">
            <v>1</v>
          </cell>
          <cell r="S144">
            <v>0</v>
          </cell>
          <cell r="T144">
            <v>0</v>
          </cell>
          <cell r="U144">
            <v>0</v>
          </cell>
          <cell r="V144">
            <v>0</v>
          </cell>
          <cell r="W144">
            <v>0</v>
          </cell>
          <cell r="X144">
            <v>0</v>
          </cell>
          <cell r="Y144">
            <v>0</v>
          </cell>
          <cell r="Z144">
            <v>0</v>
          </cell>
          <cell r="AA144">
            <v>0</v>
          </cell>
          <cell r="AB144">
            <v>0</v>
          </cell>
          <cell r="AC144">
            <v>0</v>
          </cell>
          <cell r="AD144">
            <v>0</v>
          </cell>
          <cell r="AE144">
            <v>0</v>
          </cell>
          <cell r="AF144">
            <v>0</v>
          </cell>
          <cell r="AG144">
            <v>0</v>
          </cell>
          <cell r="AH144">
            <v>0</v>
          </cell>
          <cell r="AI144">
            <v>0</v>
          </cell>
          <cell r="AJ144">
            <v>3000</v>
          </cell>
          <cell r="AK144">
            <v>0</v>
          </cell>
          <cell r="AL144">
            <v>0</v>
          </cell>
          <cell r="AM144">
            <v>0</v>
          </cell>
          <cell r="AN144">
            <v>0</v>
          </cell>
          <cell r="AO144">
            <v>0</v>
          </cell>
          <cell r="AP144">
            <v>0</v>
          </cell>
          <cell r="AR144">
            <v>0</v>
          </cell>
          <cell r="AS144">
            <v>0</v>
          </cell>
          <cell r="AT144">
            <v>0</v>
          </cell>
        </row>
        <row r="145">
          <cell r="G145">
            <v>44685</v>
          </cell>
          <cell r="J145">
            <v>0</v>
          </cell>
          <cell r="K145">
            <v>0</v>
          </cell>
          <cell r="L145">
            <v>0</v>
          </cell>
          <cell r="M145">
            <v>0</v>
          </cell>
          <cell r="N145">
            <v>0</v>
          </cell>
          <cell r="O145">
            <v>0</v>
          </cell>
          <cell r="P145">
            <v>0</v>
          </cell>
          <cell r="Q145">
            <v>0</v>
          </cell>
          <cell r="R145">
            <v>1</v>
          </cell>
          <cell r="S145">
            <v>0</v>
          </cell>
          <cell r="T145">
            <v>0</v>
          </cell>
          <cell r="U145">
            <v>0</v>
          </cell>
          <cell r="V145">
            <v>0</v>
          </cell>
          <cell r="W145">
            <v>0</v>
          </cell>
          <cell r="X145">
            <v>0</v>
          </cell>
          <cell r="Y145">
            <v>0</v>
          </cell>
          <cell r="Z145">
            <v>0</v>
          </cell>
          <cell r="AA145">
            <v>0</v>
          </cell>
          <cell r="AB145">
            <v>0</v>
          </cell>
          <cell r="AC145">
            <v>0</v>
          </cell>
          <cell r="AD145">
            <v>0</v>
          </cell>
          <cell r="AE145">
            <v>0</v>
          </cell>
          <cell r="AF145">
            <v>0</v>
          </cell>
          <cell r="AG145">
            <v>0</v>
          </cell>
          <cell r="AH145">
            <v>0</v>
          </cell>
          <cell r="AI145">
            <v>0</v>
          </cell>
          <cell r="AJ145">
            <v>3000</v>
          </cell>
          <cell r="AK145">
            <v>0</v>
          </cell>
          <cell r="AL145">
            <v>0</v>
          </cell>
          <cell r="AM145">
            <v>0</v>
          </cell>
          <cell r="AN145">
            <v>0</v>
          </cell>
          <cell r="AO145">
            <v>0</v>
          </cell>
          <cell r="AP145">
            <v>0</v>
          </cell>
          <cell r="AR145">
            <v>0</v>
          </cell>
          <cell r="AS145">
            <v>0</v>
          </cell>
          <cell r="AT145">
            <v>0</v>
          </cell>
        </row>
        <row r="146">
          <cell r="G146">
            <v>44686</v>
          </cell>
          <cell r="J146">
            <v>0</v>
          </cell>
          <cell r="K146">
            <v>0</v>
          </cell>
          <cell r="L146">
            <v>0</v>
          </cell>
          <cell r="M146">
            <v>0</v>
          </cell>
          <cell r="N146">
            <v>0</v>
          </cell>
          <cell r="O146">
            <v>0</v>
          </cell>
          <cell r="P146">
            <v>0</v>
          </cell>
          <cell r="Q146">
            <v>0</v>
          </cell>
          <cell r="R146">
            <v>1</v>
          </cell>
          <cell r="S146">
            <v>0</v>
          </cell>
          <cell r="T146">
            <v>0</v>
          </cell>
          <cell r="U146">
            <v>0</v>
          </cell>
          <cell r="V146">
            <v>0</v>
          </cell>
          <cell r="W146">
            <v>0</v>
          </cell>
          <cell r="X146">
            <v>0</v>
          </cell>
          <cell r="Y146">
            <v>0</v>
          </cell>
          <cell r="Z146">
            <v>0</v>
          </cell>
          <cell r="AA146">
            <v>0</v>
          </cell>
          <cell r="AB146">
            <v>0</v>
          </cell>
          <cell r="AC146">
            <v>0</v>
          </cell>
          <cell r="AD146">
            <v>0</v>
          </cell>
          <cell r="AE146">
            <v>0</v>
          </cell>
          <cell r="AF146">
            <v>0</v>
          </cell>
          <cell r="AG146">
            <v>0</v>
          </cell>
          <cell r="AH146">
            <v>0</v>
          </cell>
          <cell r="AI146">
            <v>0</v>
          </cell>
          <cell r="AJ146">
            <v>3000</v>
          </cell>
          <cell r="AK146">
            <v>0</v>
          </cell>
          <cell r="AL146">
            <v>0</v>
          </cell>
          <cell r="AM146">
            <v>0</v>
          </cell>
          <cell r="AN146">
            <v>0</v>
          </cell>
          <cell r="AO146">
            <v>0</v>
          </cell>
          <cell r="AP146">
            <v>0</v>
          </cell>
          <cell r="AR146">
            <v>0</v>
          </cell>
          <cell r="AS146">
            <v>0</v>
          </cell>
          <cell r="AT146">
            <v>0</v>
          </cell>
        </row>
        <row r="147">
          <cell r="G147">
            <v>44687</v>
          </cell>
          <cell r="J147">
            <v>0</v>
          </cell>
          <cell r="K147">
            <v>0</v>
          </cell>
          <cell r="L147">
            <v>0</v>
          </cell>
          <cell r="M147">
            <v>0</v>
          </cell>
          <cell r="N147">
            <v>0</v>
          </cell>
          <cell r="O147">
            <v>0</v>
          </cell>
          <cell r="P147">
            <v>0</v>
          </cell>
          <cell r="Q147">
            <v>0</v>
          </cell>
          <cell r="R147">
            <v>1</v>
          </cell>
          <cell r="S147">
            <v>0</v>
          </cell>
          <cell r="T147">
            <v>0</v>
          </cell>
          <cell r="U147">
            <v>0</v>
          </cell>
          <cell r="V147">
            <v>0</v>
          </cell>
          <cell r="W147">
            <v>0</v>
          </cell>
          <cell r="X147">
            <v>0</v>
          </cell>
          <cell r="Y147">
            <v>0</v>
          </cell>
          <cell r="Z147">
            <v>0</v>
          </cell>
          <cell r="AA147">
            <v>0</v>
          </cell>
          <cell r="AB147">
            <v>0</v>
          </cell>
          <cell r="AC147">
            <v>0</v>
          </cell>
          <cell r="AD147">
            <v>0</v>
          </cell>
          <cell r="AE147">
            <v>0</v>
          </cell>
          <cell r="AF147">
            <v>0</v>
          </cell>
          <cell r="AG147">
            <v>0</v>
          </cell>
          <cell r="AH147">
            <v>0</v>
          </cell>
          <cell r="AI147">
            <v>0</v>
          </cell>
          <cell r="AJ147">
            <v>3000</v>
          </cell>
          <cell r="AK147">
            <v>0</v>
          </cell>
          <cell r="AL147">
            <v>0</v>
          </cell>
          <cell r="AM147">
            <v>0</v>
          </cell>
          <cell r="AN147">
            <v>0</v>
          </cell>
          <cell r="AO147">
            <v>0</v>
          </cell>
          <cell r="AP147">
            <v>0</v>
          </cell>
          <cell r="AR147">
            <v>0</v>
          </cell>
          <cell r="AS147">
            <v>0</v>
          </cell>
          <cell r="AT147">
            <v>0</v>
          </cell>
        </row>
        <row r="148">
          <cell r="G148">
            <v>44688</v>
          </cell>
          <cell r="J148">
            <v>0</v>
          </cell>
          <cell r="K148">
            <v>0</v>
          </cell>
          <cell r="L148">
            <v>0</v>
          </cell>
          <cell r="M148">
            <v>0</v>
          </cell>
          <cell r="N148">
            <v>0</v>
          </cell>
          <cell r="O148">
            <v>0</v>
          </cell>
          <cell r="P148">
            <v>0</v>
          </cell>
          <cell r="Q148">
            <v>0</v>
          </cell>
          <cell r="R148">
            <v>1</v>
          </cell>
          <cell r="S148">
            <v>0</v>
          </cell>
          <cell r="T148">
            <v>0</v>
          </cell>
          <cell r="U148">
            <v>0</v>
          </cell>
          <cell r="V148">
            <v>0</v>
          </cell>
          <cell r="W148">
            <v>0</v>
          </cell>
          <cell r="X148">
            <v>0</v>
          </cell>
          <cell r="Y148">
            <v>0</v>
          </cell>
          <cell r="Z148">
            <v>0</v>
          </cell>
          <cell r="AA148">
            <v>0</v>
          </cell>
          <cell r="AB148">
            <v>0</v>
          </cell>
          <cell r="AC148">
            <v>0</v>
          </cell>
          <cell r="AD148">
            <v>0</v>
          </cell>
          <cell r="AE148">
            <v>0</v>
          </cell>
          <cell r="AF148">
            <v>0</v>
          </cell>
          <cell r="AG148">
            <v>0</v>
          </cell>
          <cell r="AH148">
            <v>0</v>
          </cell>
          <cell r="AI148">
            <v>0</v>
          </cell>
          <cell r="AJ148">
            <v>3000</v>
          </cell>
          <cell r="AK148">
            <v>0</v>
          </cell>
          <cell r="AL148">
            <v>0</v>
          </cell>
          <cell r="AM148">
            <v>0</v>
          </cell>
          <cell r="AN148">
            <v>0</v>
          </cell>
          <cell r="AO148">
            <v>0</v>
          </cell>
          <cell r="AP148">
            <v>0</v>
          </cell>
          <cell r="AR148">
            <v>0</v>
          </cell>
          <cell r="AS148">
            <v>0</v>
          </cell>
          <cell r="AT148">
            <v>0</v>
          </cell>
        </row>
        <row r="149">
          <cell r="G149">
            <v>44689</v>
          </cell>
          <cell r="J149">
            <v>0</v>
          </cell>
          <cell r="K149">
            <v>0</v>
          </cell>
          <cell r="L149">
            <v>0</v>
          </cell>
          <cell r="M149">
            <v>0</v>
          </cell>
          <cell r="N149">
            <v>0</v>
          </cell>
          <cell r="O149">
            <v>0</v>
          </cell>
          <cell r="P149">
            <v>0</v>
          </cell>
          <cell r="Q149">
            <v>0</v>
          </cell>
          <cell r="R149">
            <v>1</v>
          </cell>
          <cell r="S149">
            <v>0</v>
          </cell>
          <cell r="T149">
            <v>0</v>
          </cell>
          <cell r="U149">
            <v>0</v>
          </cell>
          <cell r="V149">
            <v>0</v>
          </cell>
          <cell r="W149">
            <v>0</v>
          </cell>
          <cell r="X149">
            <v>0</v>
          </cell>
          <cell r="Y149">
            <v>0</v>
          </cell>
          <cell r="Z149">
            <v>0</v>
          </cell>
          <cell r="AA149">
            <v>0</v>
          </cell>
          <cell r="AB149">
            <v>0</v>
          </cell>
          <cell r="AC149">
            <v>0</v>
          </cell>
          <cell r="AD149">
            <v>0</v>
          </cell>
          <cell r="AE149">
            <v>0</v>
          </cell>
          <cell r="AF149">
            <v>0</v>
          </cell>
          <cell r="AG149">
            <v>0</v>
          </cell>
          <cell r="AH149">
            <v>0</v>
          </cell>
          <cell r="AI149">
            <v>0</v>
          </cell>
          <cell r="AJ149">
            <v>3000</v>
          </cell>
          <cell r="AK149">
            <v>0</v>
          </cell>
          <cell r="AL149">
            <v>0</v>
          </cell>
          <cell r="AM149">
            <v>0</v>
          </cell>
          <cell r="AN149">
            <v>0</v>
          </cell>
          <cell r="AO149">
            <v>0</v>
          </cell>
          <cell r="AP149">
            <v>0</v>
          </cell>
          <cell r="AR149">
            <v>0</v>
          </cell>
          <cell r="AS149">
            <v>0</v>
          </cell>
          <cell r="AT149">
            <v>0</v>
          </cell>
        </row>
        <row r="150">
          <cell r="G150">
            <v>44690</v>
          </cell>
          <cell r="J150">
            <v>0</v>
          </cell>
          <cell r="K150">
            <v>0</v>
          </cell>
          <cell r="L150">
            <v>0</v>
          </cell>
          <cell r="M150">
            <v>0</v>
          </cell>
          <cell r="N150">
            <v>0</v>
          </cell>
          <cell r="O150">
            <v>0</v>
          </cell>
          <cell r="P150">
            <v>0</v>
          </cell>
          <cell r="Q150">
            <v>0</v>
          </cell>
          <cell r="R150">
            <v>1</v>
          </cell>
          <cell r="S150">
            <v>0</v>
          </cell>
          <cell r="T150">
            <v>0</v>
          </cell>
          <cell r="U150">
            <v>0</v>
          </cell>
          <cell r="V150">
            <v>0</v>
          </cell>
          <cell r="W150">
            <v>0</v>
          </cell>
          <cell r="X150">
            <v>0</v>
          </cell>
          <cell r="Y150">
            <v>0</v>
          </cell>
          <cell r="Z150">
            <v>0</v>
          </cell>
          <cell r="AA150">
            <v>0</v>
          </cell>
          <cell r="AB150">
            <v>0</v>
          </cell>
          <cell r="AC150">
            <v>0</v>
          </cell>
          <cell r="AD150">
            <v>0</v>
          </cell>
          <cell r="AE150">
            <v>0</v>
          </cell>
          <cell r="AF150">
            <v>0</v>
          </cell>
          <cell r="AG150">
            <v>0</v>
          </cell>
          <cell r="AH150">
            <v>0</v>
          </cell>
          <cell r="AI150">
            <v>0</v>
          </cell>
          <cell r="AJ150">
            <v>3000</v>
          </cell>
          <cell r="AK150">
            <v>0</v>
          </cell>
          <cell r="AL150">
            <v>0</v>
          </cell>
          <cell r="AM150">
            <v>0</v>
          </cell>
          <cell r="AN150">
            <v>0</v>
          </cell>
          <cell r="AO150">
            <v>0</v>
          </cell>
          <cell r="AP150">
            <v>0</v>
          </cell>
          <cell r="AR150">
            <v>0</v>
          </cell>
          <cell r="AS150">
            <v>0</v>
          </cell>
          <cell r="AT150">
            <v>0</v>
          </cell>
        </row>
        <row r="151">
          <cell r="G151">
            <v>44691</v>
          </cell>
          <cell r="J151">
            <v>0</v>
          </cell>
          <cell r="K151">
            <v>0</v>
          </cell>
          <cell r="L151">
            <v>0</v>
          </cell>
          <cell r="M151">
            <v>0</v>
          </cell>
          <cell r="N151">
            <v>0</v>
          </cell>
          <cell r="O151">
            <v>0</v>
          </cell>
          <cell r="P151">
            <v>0</v>
          </cell>
          <cell r="Q151">
            <v>0</v>
          </cell>
          <cell r="R151">
            <v>1</v>
          </cell>
          <cell r="S151">
            <v>0</v>
          </cell>
          <cell r="T151">
            <v>0</v>
          </cell>
          <cell r="U151">
            <v>0</v>
          </cell>
          <cell r="V151">
            <v>0</v>
          </cell>
          <cell r="W151">
            <v>0</v>
          </cell>
          <cell r="X151">
            <v>0</v>
          </cell>
          <cell r="Y151">
            <v>0</v>
          </cell>
          <cell r="Z151">
            <v>0</v>
          </cell>
          <cell r="AA151">
            <v>0</v>
          </cell>
          <cell r="AB151">
            <v>0</v>
          </cell>
          <cell r="AC151">
            <v>0</v>
          </cell>
          <cell r="AD151">
            <v>0</v>
          </cell>
          <cell r="AE151">
            <v>0</v>
          </cell>
          <cell r="AF151">
            <v>0</v>
          </cell>
          <cell r="AG151">
            <v>0</v>
          </cell>
          <cell r="AH151">
            <v>0</v>
          </cell>
          <cell r="AI151">
            <v>0</v>
          </cell>
          <cell r="AJ151">
            <v>3000</v>
          </cell>
          <cell r="AK151">
            <v>0</v>
          </cell>
          <cell r="AL151">
            <v>0</v>
          </cell>
          <cell r="AM151">
            <v>0</v>
          </cell>
          <cell r="AN151">
            <v>0</v>
          </cell>
          <cell r="AO151">
            <v>0</v>
          </cell>
          <cell r="AP151">
            <v>0</v>
          </cell>
          <cell r="AR151">
            <v>0</v>
          </cell>
          <cell r="AS151">
            <v>0</v>
          </cell>
          <cell r="AT151">
            <v>0</v>
          </cell>
        </row>
        <row r="152">
          <cell r="G152">
            <v>44692</v>
          </cell>
          <cell r="J152">
            <v>0</v>
          </cell>
          <cell r="K152">
            <v>0</v>
          </cell>
          <cell r="L152">
            <v>0</v>
          </cell>
          <cell r="M152">
            <v>0</v>
          </cell>
          <cell r="N152">
            <v>0</v>
          </cell>
          <cell r="O152">
            <v>0</v>
          </cell>
          <cell r="P152">
            <v>0</v>
          </cell>
          <cell r="Q152">
            <v>0</v>
          </cell>
          <cell r="R152">
            <v>1</v>
          </cell>
          <cell r="S152">
            <v>0</v>
          </cell>
          <cell r="T152">
            <v>0</v>
          </cell>
          <cell r="U152">
            <v>0</v>
          </cell>
          <cell r="V152">
            <v>0</v>
          </cell>
          <cell r="W152">
            <v>0</v>
          </cell>
          <cell r="X152">
            <v>0</v>
          </cell>
          <cell r="Y152">
            <v>0</v>
          </cell>
          <cell r="Z152">
            <v>0</v>
          </cell>
          <cell r="AA152">
            <v>0</v>
          </cell>
          <cell r="AB152">
            <v>0</v>
          </cell>
          <cell r="AC152">
            <v>0</v>
          </cell>
          <cell r="AD152">
            <v>0</v>
          </cell>
          <cell r="AE152">
            <v>0</v>
          </cell>
          <cell r="AF152">
            <v>0</v>
          </cell>
          <cell r="AG152">
            <v>0</v>
          </cell>
          <cell r="AH152">
            <v>0</v>
          </cell>
          <cell r="AI152">
            <v>0</v>
          </cell>
          <cell r="AJ152">
            <v>3000</v>
          </cell>
          <cell r="AK152">
            <v>0</v>
          </cell>
          <cell r="AL152">
            <v>0</v>
          </cell>
          <cell r="AM152">
            <v>0</v>
          </cell>
          <cell r="AN152">
            <v>0</v>
          </cell>
          <cell r="AO152">
            <v>0</v>
          </cell>
          <cell r="AP152">
            <v>0</v>
          </cell>
          <cell r="AR152">
            <v>0</v>
          </cell>
          <cell r="AS152">
            <v>0</v>
          </cell>
          <cell r="AT152">
            <v>0</v>
          </cell>
        </row>
        <row r="153">
          <cell r="G153">
            <v>44693</v>
          </cell>
          <cell r="J153">
            <v>0</v>
          </cell>
          <cell r="K153">
            <v>0</v>
          </cell>
          <cell r="L153">
            <v>0</v>
          </cell>
          <cell r="M153">
            <v>0</v>
          </cell>
          <cell r="N153">
            <v>0</v>
          </cell>
          <cell r="O153">
            <v>0</v>
          </cell>
          <cell r="P153">
            <v>0</v>
          </cell>
          <cell r="Q153">
            <v>0</v>
          </cell>
          <cell r="R153">
            <v>1</v>
          </cell>
          <cell r="S153">
            <v>0</v>
          </cell>
          <cell r="T153">
            <v>0</v>
          </cell>
          <cell r="U153">
            <v>0</v>
          </cell>
          <cell r="V153">
            <v>0</v>
          </cell>
          <cell r="W153">
            <v>0</v>
          </cell>
          <cell r="X153">
            <v>0</v>
          </cell>
          <cell r="Y153">
            <v>0</v>
          </cell>
          <cell r="Z153">
            <v>0</v>
          </cell>
          <cell r="AA153">
            <v>0</v>
          </cell>
          <cell r="AB153">
            <v>0</v>
          </cell>
          <cell r="AC153">
            <v>0</v>
          </cell>
          <cell r="AD153">
            <v>0</v>
          </cell>
          <cell r="AE153">
            <v>0</v>
          </cell>
          <cell r="AF153">
            <v>0</v>
          </cell>
          <cell r="AG153">
            <v>0</v>
          </cell>
          <cell r="AH153">
            <v>0</v>
          </cell>
          <cell r="AI153">
            <v>0</v>
          </cell>
          <cell r="AJ153">
            <v>3000</v>
          </cell>
          <cell r="AK153">
            <v>0</v>
          </cell>
          <cell r="AL153">
            <v>0</v>
          </cell>
          <cell r="AM153">
            <v>0</v>
          </cell>
          <cell r="AN153">
            <v>0</v>
          </cell>
          <cell r="AO153">
            <v>0</v>
          </cell>
          <cell r="AP153">
            <v>0</v>
          </cell>
          <cell r="AR153">
            <v>0</v>
          </cell>
          <cell r="AS153">
            <v>0</v>
          </cell>
          <cell r="AT153">
            <v>0</v>
          </cell>
        </row>
        <row r="154">
          <cell r="G154">
            <v>44694</v>
          </cell>
          <cell r="J154">
            <v>0</v>
          </cell>
          <cell r="K154">
            <v>0</v>
          </cell>
          <cell r="L154">
            <v>0</v>
          </cell>
          <cell r="M154">
            <v>0</v>
          </cell>
          <cell r="N154">
            <v>0</v>
          </cell>
          <cell r="O154">
            <v>0</v>
          </cell>
          <cell r="P154">
            <v>0</v>
          </cell>
          <cell r="Q154">
            <v>0</v>
          </cell>
          <cell r="R154">
            <v>1</v>
          </cell>
          <cell r="S154">
            <v>0</v>
          </cell>
          <cell r="T154">
            <v>0</v>
          </cell>
          <cell r="U154">
            <v>0</v>
          </cell>
          <cell r="V154">
            <v>0</v>
          </cell>
          <cell r="W154">
            <v>0</v>
          </cell>
          <cell r="X154">
            <v>0</v>
          </cell>
          <cell r="Y154">
            <v>0</v>
          </cell>
          <cell r="Z154">
            <v>0</v>
          </cell>
          <cell r="AA154">
            <v>0</v>
          </cell>
          <cell r="AB154">
            <v>0</v>
          </cell>
          <cell r="AC154">
            <v>0</v>
          </cell>
          <cell r="AD154">
            <v>0</v>
          </cell>
          <cell r="AE154">
            <v>0</v>
          </cell>
          <cell r="AF154">
            <v>0</v>
          </cell>
          <cell r="AG154">
            <v>0</v>
          </cell>
          <cell r="AH154">
            <v>0</v>
          </cell>
          <cell r="AI154">
            <v>0</v>
          </cell>
          <cell r="AJ154">
            <v>3000</v>
          </cell>
          <cell r="AK154">
            <v>0</v>
          </cell>
          <cell r="AL154">
            <v>0</v>
          </cell>
          <cell r="AM154">
            <v>0</v>
          </cell>
          <cell r="AN154">
            <v>0</v>
          </cell>
          <cell r="AO154">
            <v>0</v>
          </cell>
          <cell r="AP154">
            <v>0</v>
          </cell>
          <cell r="AR154">
            <v>0</v>
          </cell>
          <cell r="AS154">
            <v>0</v>
          </cell>
          <cell r="AT154">
            <v>0</v>
          </cell>
        </row>
        <row r="155">
          <cell r="G155">
            <v>44695</v>
          </cell>
          <cell r="J155">
            <v>0</v>
          </cell>
          <cell r="K155">
            <v>0</v>
          </cell>
          <cell r="L155">
            <v>0</v>
          </cell>
          <cell r="M155">
            <v>0</v>
          </cell>
          <cell r="N155">
            <v>0</v>
          </cell>
          <cell r="O155">
            <v>0</v>
          </cell>
          <cell r="P155">
            <v>0</v>
          </cell>
          <cell r="Q155">
            <v>0</v>
          </cell>
          <cell r="R155">
            <v>1</v>
          </cell>
          <cell r="S155">
            <v>0</v>
          </cell>
          <cell r="T155">
            <v>0</v>
          </cell>
          <cell r="U155">
            <v>0</v>
          </cell>
          <cell r="V155">
            <v>0</v>
          </cell>
          <cell r="W155">
            <v>0</v>
          </cell>
          <cell r="X155">
            <v>0</v>
          </cell>
          <cell r="Y155">
            <v>0</v>
          </cell>
          <cell r="Z155">
            <v>0</v>
          </cell>
          <cell r="AA155">
            <v>0</v>
          </cell>
          <cell r="AB155">
            <v>0</v>
          </cell>
          <cell r="AC155">
            <v>0</v>
          </cell>
          <cell r="AD155">
            <v>0</v>
          </cell>
          <cell r="AE155">
            <v>0</v>
          </cell>
          <cell r="AF155">
            <v>0</v>
          </cell>
          <cell r="AG155">
            <v>0</v>
          </cell>
          <cell r="AH155">
            <v>0</v>
          </cell>
          <cell r="AI155">
            <v>0</v>
          </cell>
          <cell r="AJ155">
            <v>3000</v>
          </cell>
          <cell r="AK155">
            <v>0</v>
          </cell>
          <cell r="AL155">
            <v>0</v>
          </cell>
          <cell r="AM155">
            <v>0</v>
          </cell>
          <cell r="AN155">
            <v>0</v>
          </cell>
          <cell r="AO155">
            <v>0</v>
          </cell>
          <cell r="AP155">
            <v>0</v>
          </cell>
          <cell r="AR155">
            <v>0</v>
          </cell>
          <cell r="AS155">
            <v>0</v>
          </cell>
          <cell r="AT155">
            <v>0</v>
          </cell>
        </row>
        <row r="156">
          <cell r="G156">
            <v>44696</v>
          </cell>
          <cell r="J156">
            <v>0</v>
          </cell>
          <cell r="K156">
            <v>0</v>
          </cell>
          <cell r="L156">
            <v>0</v>
          </cell>
          <cell r="M156">
            <v>0</v>
          </cell>
          <cell r="N156">
            <v>0</v>
          </cell>
          <cell r="O156">
            <v>0</v>
          </cell>
          <cell r="P156">
            <v>0</v>
          </cell>
          <cell r="Q156">
            <v>0</v>
          </cell>
          <cell r="R156">
            <v>1</v>
          </cell>
          <cell r="S156">
            <v>0</v>
          </cell>
          <cell r="T156">
            <v>0</v>
          </cell>
          <cell r="U156">
            <v>0</v>
          </cell>
          <cell r="V156">
            <v>0</v>
          </cell>
          <cell r="W156">
            <v>0</v>
          </cell>
          <cell r="X156">
            <v>0</v>
          </cell>
          <cell r="Y156">
            <v>0</v>
          </cell>
          <cell r="Z156">
            <v>0</v>
          </cell>
          <cell r="AA156">
            <v>0</v>
          </cell>
          <cell r="AB156">
            <v>0</v>
          </cell>
          <cell r="AC156">
            <v>0</v>
          </cell>
          <cell r="AD156">
            <v>0</v>
          </cell>
          <cell r="AE156">
            <v>0</v>
          </cell>
          <cell r="AF156">
            <v>0</v>
          </cell>
          <cell r="AG156">
            <v>0</v>
          </cell>
          <cell r="AH156">
            <v>0</v>
          </cell>
          <cell r="AI156">
            <v>0</v>
          </cell>
          <cell r="AJ156">
            <v>3000</v>
          </cell>
          <cell r="AK156">
            <v>0</v>
          </cell>
          <cell r="AL156">
            <v>0</v>
          </cell>
          <cell r="AM156">
            <v>0</v>
          </cell>
          <cell r="AN156">
            <v>0</v>
          </cell>
          <cell r="AO156">
            <v>0</v>
          </cell>
          <cell r="AP156">
            <v>0</v>
          </cell>
          <cell r="AR156">
            <v>0</v>
          </cell>
          <cell r="AS156">
            <v>0</v>
          </cell>
          <cell r="AT156">
            <v>0</v>
          </cell>
        </row>
        <row r="157">
          <cell r="G157">
            <v>44697</v>
          </cell>
          <cell r="J157">
            <v>0</v>
          </cell>
          <cell r="K157">
            <v>0</v>
          </cell>
          <cell r="L157">
            <v>0</v>
          </cell>
          <cell r="M157">
            <v>0</v>
          </cell>
          <cell r="N157">
            <v>0</v>
          </cell>
          <cell r="O157">
            <v>0</v>
          </cell>
          <cell r="P157">
            <v>0</v>
          </cell>
          <cell r="Q157">
            <v>0</v>
          </cell>
          <cell r="R157">
            <v>1</v>
          </cell>
          <cell r="S157">
            <v>0</v>
          </cell>
          <cell r="T157">
            <v>0</v>
          </cell>
          <cell r="U157">
            <v>0</v>
          </cell>
          <cell r="V157">
            <v>0</v>
          </cell>
          <cell r="W157">
            <v>0</v>
          </cell>
          <cell r="X157">
            <v>0</v>
          </cell>
          <cell r="Y157">
            <v>0</v>
          </cell>
          <cell r="Z157">
            <v>0</v>
          </cell>
          <cell r="AA157">
            <v>0</v>
          </cell>
          <cell r="AB157">
            <v>0</v>
          </cell>
          <cell r="AC157">
            <v>0</v>
          </cell>
          <cell r="AD157">
            <v>0</v>
          </cell>
          <cell r="AE157">
            <v>0</v>
          </cell>
          <cell r="AF157">
            <v>0</v>
          </cell>
          <cell r="AG157">
            <v>0</v>
          </cell>
          <cell r="AH157">
            <v>0</v>
          </cell>
          <cell r="AI157">
            <v>0</v>
          </cell>
          <cell r="AJ157">
            <v>3000</v>
          </cell>
          <cell r="AK157">
            <v>0</v>
          </cell>
          <cell r="AL157">
            <v>0</v>
          </cell>
          <cell r="AM157">
            <v>0</v>
          </cell>
          <cell r="AN157">
            <v>0</v>
          </cell>
          <cell r="AO157">
            <v>0</v>
          </cell>
          <cell r="AP157">
            <v>0</v>
          </cell>
          <cell r="AR157">
            <v>0</v>
          </cell>
          <cell r="AS157">
            <v>0</v>
          </cell>
          <cell r="AT157">
            <v>0</v>
          </cell>
        </row>
        <row r="158">
          <cell r="G158">
            <v>44698</v>
          </cell>
          <cell r="J158">
            <v>0</v>
          </cell>
          <cell r="K158">
            <v>0</v>
          </cell>
          <cell r="L158">
            <v>0</v>
          </cell>
          <cell r="M158">
            <v>0</v>
          </cell>
          <cell r="N158">
            <v>0</v>
          </cell>
          <cell r="O158">
            <v>0</v>
          </cell>
          <cell r="P158">
            <v>0</v>
          </cell>
          <cell r="Q158">
            <v>0</v>
          </cell>
          <cell r="R158">
            <v>1</v>
          </cell>
          <cell r="S158">
            <v>0</v>
          </cell>
          <cell r="T158">
            <v>0</v>
          </cell>
          <cell r="U158">
            <v>0</v>
          </cell>
          <cell r="V158">
            <v>0</v>
          </cell>
          <cell r="W158">
            <v>0</v>
          </cell>
          <cell r="X158">
            <v>0</v>
          </cell>
          <cell r="Y158">
            <v>0</v>
          </cell>
          <cell r="Z158">
            <v>0</v>
          </cell>
          <cell r="AA158">
            <v>0</v>
          </cell>
          <cell r="AB158">
            <v>0</v>
          </cell>
          <cell r="AC158">
            <v>0</v>
          </cell>
          <cell r="AD158">
            <v>0</v>
          </cell>
          <cell r="AE158">
            <v>0</v>
          </cell>
          <cell r="AF158">
            <v>0</v>
          </cell>
          <cell r="AG158">
            <v>0</v>
          </cell>
          <cell r="AH158">
            <v>0</v>
          </cell>
          <cell r="AI158">
            <v>0</v>
          </cell>
          <cell r="AJ158">
            <v>3000</v>
          </cell>
          <cell r="AK158">
            <v>0</v>
          </cell>
          <cell r="AL158">
            <v>0</v>
          </cell>
          <cell r="AM158">
            <v>0</v>
          </cell>
          <cell r="AN158">
            <v>0</v>
          </cell>
          <cell r="AO158">
            <v>0</v>
          </cell>
          <cell r="AP158">
            <v>0</v>
          </cell>
          <cell r="AR158">
            <v>0</v>
          </cell>
          <cell r="AS158">
            <v>0</v>
          </cell>
          <cell r="AT158">
            <v>0</v>
          </cell>
        </row>
        <row r="159">
          <cell r="G159">
            <v>44699</v>
          </cell>
          <cell r="J159">
            <v>0</v>
          </cell>
          <cell r="K159">
            <v>0</v>
          </cell>
          <cell r="L159">
            <v>0</v>
          </cell>
          <cell r="M159">
            <v>0</v>
          </cell>
          <cell r="N159">
            <v>0</v>
          </cell>
          <cell r="O159">
            <v>0</v>
          </cell>
          <cell r="P159">
            <v>0</v>
          </cell>
          <cell r="Q159">
            <v>0</v>
          </cell>
          <cell r="R159">
            <v>1</v>
          </cell>
          <cell r="S159">
            <v>0</v>
          </cell>
          <cell r="T159">
            <v>0</v>
          </cell>
          <cell r="U159">
            <v>0</v>
          </cell>
          <cell r="V159">
            <v>0</v>
          </cell>
          <cell r="W159">
            <v>0</v>
          </cell>
          <cell r="X159">
            <v>0</v>
          </cell>
          <cell r="Y159">
            <v>0</v>
          </cell>
          <cell r="Z159">
            <v>0</v>
          </cell>
          <cell r="AA159">
            <v>0</v>
          </cell>
          <cell r="AB159">
            <v>0</v>
          </cell>
          <cell r="AC159">
            <v>0</v>
          </cell>
          <cell r="AD159">
            <v>0</v>
          </cell>
          <cell r="AE159">
            <v>0</v>
          </cell>
          <cell r="AF159">
            <v>0</v>
          </cell>
          <cell r="AG159">
            <v>0</v>
          </cell>
          <cell r="AH159">
            <v>0</v>
          </cell>
          <cell r="AI159">
            <v>0</v>
          </cell>
          <cell r="AJ159">
            <v>3000</v>
          </cell>
          <cell r="AK159">
            <v>0</v>
          </cell>
          <cell r="AL159">
            <v>0</v>
          </cell>
          <cell r="AM159">
            <v>0</v>
          </cell>
          <cell r="AN159">
            <v>0</v>
          </cell>
          <cell r="AO159">
            <v>0</v>
          </cell>
          <cell r="AP159">
            <v>0</v>
          </cell>
          <cell r="AR159">
            <v>0</v>
          </cell>
          <cell r="AS159">
            <v>0</v>
          </cell>
          <cell r="AT159">
            <v>0</v>
          </cell>
        </row>
        <row r="160">
          <cell r="G160">
            <v>44700</v>
          </cell>
          <cell r="J160">
            <v>0</v>
          </cell>
          <cell r="K160">
            <v>0</v>
          </cell>
          <cell r="L160">
            <v>0</v>
          </cell>
          <cell r="M160">
            <v>0</v>
          </cell>
          <cell r="N160">
            <v>0</v>
          </cell>
          <cell r="O160">
            <v>0</v>
          </cell>
          <cell r="P160">
            <v>0</v>
          </cell>
          <cell r="Q160">
            <v>0</v>
          </cell>
          <cell r="R160">
            <v>1</v>
          </cell>
          <cell r="S160">
            <v>0</v>
          </cell>
          <cell r="T160">
            <v>0</v>
          </cell>
          <cell r="U160">
            <v>0</v>
          </cell>
          <cell r="V160">
            <v>0</v>
          </cell>
          <cell r="W160">
            <v>0</v>
          </cell>
          <cell r="X160">
            <v>0</v>
          </cell>
          <cell r="Y160">
            <v>0</v>
          </cell>
          <cell r="Z160">
            <v>0</v>
          </cell>
          <cell r="AA160">
            <v>0</v>
          </cell>
          <cell r="AB160">
            <v>0</v>
          </cell>
          <cell r="AC160">
            <v>0</v>
          </cell>
          <cell r="AD160">
            <v>0</v>
          </cell>
          <cell r="AE160">
            <v>0</v>
          </cell>
          <cell r="AF160">
            <v>0</v>
          </cell>
          <cell r="AG160">
            <v>0</v>
          </cell>
          <cell r="AH160">
            <v>0</v>
          </cell>
          <cell r="AI160">
            <v>0</v>
          </cell>
          <cell r="AJ160">
            <v>3000</v>
          </cell>
          <cell r="AK160">
            <v>0</v>
          </cell>
          <cell r="AL160">
            <v>0</v>
          </cell>
          <cell r="AM160">
            <v>0</v>
          </cell>
          <cell r="AN160">
            <v>0</v>
          </cell>
          <cell r="AO160">
            <v>0</v>
          </cell>
          <cell r="AP160">
            <v>0</v>
          </cell>
          <cell r="AR160">
            <v>0</v>
          </cell>
          <cell r="AS160">
            <v>0</v>
          </cell>
          <cell r="AT160">
            <v>0</v>
          </cell>
        </row>
        <row r="161">
          <cell r="G161">
            <v>44701</v>
          </cell>
          <cell r="J161">
            <v>0</v>
          </cell>
          <cell r="K161">
            <v>0</v>
          </cell>
          <cell r="L161">
            <v>0</v>
          </cell>
          <cell r="M161">
            <v>0</v>
          </cell>
          <cell r="N161">
            <v>0</v>
          </cell>
          <cell r="O161">
            <v>0</v>
          </cell>
          <cell r="P161">
            <v>0</v>
          </cell>
          <cell r="Q161">
            <v>0</v>
          </cell>
          <cell r="R161">
            <v>1</v>
          </cell>
          <cell r="S161">
            <v>0</v>
          </cell>
          <cell r="T161">
            <v>0</v>
          </cell>
          <cell r="U161">
            <v>0</v>
          </cell>
          <cell r="V161">
            <v>0</v>
          </cell>
          <cell r="W161">
            <v>0</v>
          </cell>
          <cell r="X161">
            <v>0</v>
          </cell>
          <cell r="Y161">
            <v>0</v>
          </cell>
          <cell r="Z161">
            <v>0</v>
          </cell>
          <cell r="AA161">
            <v>0</v>
          </cell>
          <cell r="AB161">
            <v>0</v>
          </cell>
          <cell r="AC161">
            <v>0</v>
          </cell>
          <cell r="AD161">
            <v>0</v>
          </cell>
          <cell r="AE161">
            <v>0</v>
          </cell>
          <cell r="AF161">
            <v>0</v>
          </cell>
          <cell r="AG161">
            <v>0</v>
          </cell>
          <cell r="AH161">
            <v>0</v>
          </cell>
          <cell r="AI161">
            <v>0</v>
          </cell>
          <cell r="AJ161">
            <v>3000</v>
          </cell>
          <cell r="AK161">
            <v>0</v>
          </cell>
          <cell r="AL161">
            <v>0</v>
          </cell>
          <cell r="AM161">
            <v>0</v>
          </cell>
          <cell r="AN161">
            <v>0</v>
          </cell>
          <cell r="AO161">
            <v>0</v>
          </cell>
          <cell r="AP161">
            <v>0</v>
          </cell>
          <cell r="AR161">
            <v>0</v>
          </cell>
          <cell r="AS161">
            <v>0</v>
          </cell>
          <cell r="AT161">
            <v>0</v>
          </cell>
        </row>
        <row r="162">
          <cell r="G162">
            <v>44702</v>
          </cell>
          <cell r="J162">
            <v>0</v>
          </cell>
          <cell r="K162">
            <v>0</v>
          </cell>
          <cell r="L162">
            <v>0</v>
          </cell>
          <cell r="M162">
            <v>0</v>
          </cell>
          <cell r="N162">
            <v>0</v>
          </cell>
          <cell r="O162">
            <v>0</v>
          </cell>
          <cell r="P162">
            <v>0</v>
          </cell>
          <cell r="Q162">
            <v>0</v>
          </cell>
          <cell r="R162">
            <v>1</v>
          </cell>
          <cell r="S162">
            <v>0</v>
          </cell>
          <cell r="T162">
            <v>0</v>
          </cell>
          <cell r="U162">
            <v>0</v>
          </cell>
          <cell r="V162">
            <v>0</v>
          </cell>
          <cell r="W162">
            <v>0</v>
          </cell>
          <cell r="X162">
            <v>0</v>
          </cell>
          <cell r="Y162">
            <v>0</v>
          </cell>
          <cell r="Z162">
            <v>0</v>
          </cell>
          <cell r="AA162">
            <v>0</v>
          </cell>
          <cell r="AB162">
            <v>0</v>
          </cell>
          <cell r="AC162">
            <v>0</v>
          </cell>
          <cell r="AD162">
            <v>0</v>
          </cell>
          <cell r="AE162">
            <v>0</v>
          </cell>
          <cell r="AF162">
            <v>0</v>
          </cell>
          <cell r="AG162">
            <v>0</v>
          </cell>
          <cell r="AH162">
            <v>0</v>
          </cell>
          <cell r="AI162">
            <v>0</v>
          </cell>
          <cell r="AJ162">
            <v>3000</v>
          </cell>
          <cell r="AK162">
            <v>0</v>
          </cell>
          <cell r="AL162">
            <v>0</v>
          </cell>
          <cell r="AM162">
            <v>0</v>
          </cell>
          <cell r="AN162">
            <v>0</v>
          </cell>
          <cell r="AO162">
            <v>0</v>
          </cell>
          <cell r="AP162">
            <v>0</v>
          </cell>
          <cell r="AR162">
            <v>0</v>
          </cell>
          <cell r="AS162">
            <v>0</v>
          </cell>
          <cell r="AT162">
            <v>0</v>
          </cell>
        </row>
        <row r="163">
          <cell r="G163">
            <v>44703</v>
          </cell>
          <cell r="J163">
            <v>0</v>
          </cell>
          <cell r="K163">
            <v>0</v>
          </cell>
          <cell r="L163">
            <v>0</v>
          </cell>
          <cell r="M163">
            <v>0</v>
          </cell>
          <cell r="N163">
            <v>0</v>
          </cell>
          <cell r="O163">
            <v>0</v>
          </cell>
          <cell r="P163">
            <v>0</v>
          </cell>
          <cell r="Q163">
            <v>0</v>
          </cell>
          <cell r="R163">
            <v>1</v>
          </cell>
          <cell r="S163">
            <v>0</v>
          </cell>
          <cell r="T163">
            <v>0</v>
          </cell>
          <cell r="U163">
            <v>0</v>
          </cell>
          <cell r="V163">
            <v>0</v>
          </cell>
          <cell r="W163">
            <v>0</v>
          </cell>
          <cell r="X163">
            <v>0</v>
          </cell>
          <cell r="Y163">
            <v>0</v>
          </cell>
          <cell r="Z163">
            <v>0</v>
          </cell>
          <cell r="AA163">
            <v>0</v>
          </cell>
          <cell r="AB163">
            <v>0</v>
          </cell>
          <cell r="AC163">
            <v>0</v>
          </cell>
          <cell r="AD163">
            <v>0</v>
          </cell>
          <cell r="AE163">
            <v>0</v>
          </cell>
          <cell r="AF163">
            <v>0</v>
          </cell>
          <cell r="AG163">
            <v>0</v>
          </cell>
          <cell r="AH163">
            <v>0</v>
          </cell>
          <cell r="AI163">
            <v>0</v>
          </cell>
          <cell r="AJ163">
            <v>3000</v>
          </cell>
          <cell r="AK163">
            <v>0</v>
          </cell>
          <cell r="AL163">
            <v>0</v>
          </cell>
          <cell r="AM163">
            <v>0</v>
          </cell>
          <cell r="AN163">
            <v>0</v>
          </cell>
          <cell r="AO163">
            <v>0</v>
          </cell>
          <cell r="AP163">
            <v>0</v>
          </cell>
          <cell r="AR163">
            <v>0</v>
          </cell>
          <cell r="AS163">
            <v>0</v>
          </cell>
          <cell r="AT163">
            <v>0</v>
          </cell>
        </row>
        <row r="164">
          <cell r="G164">
            <v>44704</v>
          </cell>
          <cell r="J164">
            <v>0</v>
          </cell>
          <cell r="K164">
            <v>0</v>
          </cell>
          <cell r="L164">
            <v>0</v>
          </cell>
          <cell r="M164">
            <v>0</v>
          </cell>
          <cell r="N164">
            <v>0</v>
          </cell>
          <cell r="O164">
            <v>0</v>
          </cell>
          <cell r="P164">
            <v>0</v>
          </cell>
          <cell r="Q164">
            <v>0</v>
          </cell>
          <cell r="R164">
            <v>1</v>
          </cell>
          <cell r="S164">
            <v>0</v>
          </cell>
          <cell r="T164">
            <v>0</v>
          </cell>
          <cell r="U164">
            <v>0</v>
          </cell>
          <cell r="V164">
            <v>0</v>
          </cell>
          <cell r="W164">
            <v>0</v>
          </cell>
          <cell r="X164">
            <v>0</v>
          </cell>
          <cell r="Y164">
            <v>0</v>
          </cell>
          <cell r="Z164">
            <v>0</v>
          </cell>
          <cell r="AA164">
            <v>0</v>
          </cell>
          <cell r="AB164">
            <v>0</v>
          </cell>
          <cell r="AC164">
            <v>0</v>
          </cell>
          <cell r="AD164">
            <v>0</v>
          </cell>
          <cell r="AE164">
            <v>0</v>
          </cell>
          <cell r="AF164">
            <v>0</v>
          </cell>
          <cell r="AG164">
            <v>0</v>
          </cell>
          <cell r="AH164">
            <v>0</v>
          </cell>
          <cell r="AI164">
            <v>0</v>
          </cell>
          <cell r="AJ164">
            <v>3000</v>
          </cell>
          <cell r="AK164">
            <v>0</v>
          </cell>
          <cell r="AL164">
            <v>0</v>
          </cell>
          <cell r="AM164">
            <v>0</v>
          </cell>
          <cell r="AN164">
            <v>0</v>
          </cell>
          <cell r="AO164">
            <v>0</v>
          </cell>
          <cell r="AP164">
            <v>0</v>
          </cell>
          <cell r="AR164">
            <v>0</v>
          </cell>
          <cell r="AS164">
            <v>0</v>
          </cell>
          <cell r="AT164">
            <v>0</v>
          </cell>
        </row>
        <row r="165">
          <cell r="G165">
            <v>44705</v>
          </cell>
          <cell r="J165">
            <v>0</v>
          </cell>
          <cell r="K165">
            <v>0</v>
          </cell>
          <cell r="L165">
            <v>0</v>
          </cell>
          <cell r="M165">
            <v>0</v>
          </cell>
          <cell r="N165">
            <v>0</v>
          </cell>
          <cell r="O165">
            <v>0</v>
          </cell>
          <cell r="P165">
            <v>0</v>
          </cell>
          <cell r="Q165">
            <v>0</v>
          </cell>
          <cell r="R165">
            <v>1</v>
          </cell>
          <cell r="S165">
            <v>0</v>
          </cell>
          <cell r="T165">
            <v>0</v>
          </cell>
          <cell r="U165">
            <v>0</v>
          </cell>
          <cell r="V165">
            <v>0</v>
          </cell>
          <cell r="W165">
            <v>0</v>
          </cell>
          <cell r="X165">
            <v>0</v>
          </cell>
          <cell r="Y165">
            <v>0</v>
          </cell>
          <cell r="Z165">
            <v>0</v>
          </cell>
          <cell r="AA165">
            <v>0</v>
          </cell>
          <cell r="AB165">
            <v>0</v>
          </cell>
          <cell r="AC165">
            <v>0</v>
          </cell>
          <cell r="AD165">
            <v>0</v>
          </cell>
          <cell r="AE165">
            <v>0</v>
          </cell>
          <cell r="AF165">
            <v>0</v>
          </cell>
          <cell r="AG165">
            <v>0</v>
          </cell>
          <cell r="AH165">
            <v>0</v>
          </cell>
          <cell r="AI165">
            <v>0</v>
          </cell>
          <cell r="AJ165">
            <v>3000</v>
          </cell>
          <cell r="AK165">
            <v>0</v>
          </cell>
          <cell r="AL165">
            <v>0</v>
          </cell>
          <cell r="AM165">
            <v>0</v>
          </cell>
          <cell r="AN165">
            <v>0</v>
          </cell>
          <cell r="AO165">
            <v>0</v>
          </cell>
          <cell r="AP165">
            <v>0</v>
          </cell>
          <cell r="AR165">
            <v>0</v>
          </cell>
          <cell r="AS165">
            <v>0</v>
          </cell>
          <cell r="AT165">
            <v>0</v>
          </cell>
        </row>
        <row r="166">
          <cell r="G166">
            <v>44706</v>
          </cell>
          <cell r="J166">
            <v>0</v>
          </cell>
          <cell r="K166">
            <v>0</v>
          </cell>
          <cell r="L166">
            <v>0</v>
          </cell>
          <cell r="M166">
            <v>0</v>
          </cell>
          <cell r="N166">
            <v>0</v>
          </cell>
          <cell r="O166">
            <v>0</v>
          </cell>
          <cell r="P166">
            <v>0</v>
          </cell>
          <cell r="Q166">
            <v>0</v>
          </cell>
          <cell r="R166">
            <v>1</v>
          </cell>
          <cell r="S166">
            <v>0</v>
          </cell>
          <cell r="T166">
            <v>0</v>
          </cell>
          <cell r="U166">
            <v>0</v>
          </cell>
          <cell r="V166">
            <v>0</v>
          </cell>
          <cell r="W166">
            <v>0</v>
          </cell>
          <cell r="X166">
            <v>0</v>
          </cell>
          <cell r="Y166">
            <v>0</v>
          </cell>
          <cell r="Z166">
            <v>0</v>
          </cell>
          <cell r="AA166">
            <v>0</v>
          </cell>
          <cell r="AB166">
            <v>0</v>
          </cell>
          <cell r="AC166">
            <v>0</v>
          </cell>
          <cell r="AD166">
            <v>0</v>
          </cell>
          <cell r="AE166">
            <v>0</v>
          </cell>
          <cell r="AF166">
            <v>0</v>
          </cell>
          <cell r="AG166">
            <v>0</v>
          </cell>
          <cell r="AH166">
            <v>0</v>
          </cell>
          <cell r="AI166">
            <v>0</v>
          </cell>
          <cell r="AJ166">
            <v>3000</v>
          </cell>
          <cell r="AK166">
            <v>0</v>
          </cell>
          <cell r="AL166">
            <v>0</v>
          </cell>
          <cell r="AM166">
            <v>0</v>
          </cell>
          <cell r="AN166">
            <v>0</v>
          </cell>
          <cell r="AO166">
            <v>0</v>
          </cell>
          <cell r="AP166">
            <v>0</v>
          </cell>
          <cell r="AR166">
            <v>0</v>
          </cell>
          <cell r="AS166">
            <v>0</v>
          </cell>
          <cell r="AT166">
            <v>0</v>
          </cell>
        </row>
        <row r="167">
          <cell r="G167">
            <v>44707</v>
          </cell>
          <cell r="J167">
            <v>0</v>
          </cell>
          <cell r="K167">
            <v>0</v>
          </cell>
          <cell r="L167">
            <v>0</v>
          </cell>
          <cell r="M167">
            <v>0</v>
          </cell>
          <cell r="N167">
            <v>0</v>
          </cell>
          <cell r="O167">
            <v>0</v>
          </cell>
          <cell r="P167">
            <v>0</v>
          </cell>
          <cell r="Q167">
            <v>0</v>
          </cell>
          <cell r="R167">
            <v>1</v>
          </cell>
          <cell r="S167">
            <v>0</v>
          </cell>
          <cell r="T167">
            <v>0</v>
          </cell>
          <cell r="U167">
            <v>0</v>
          </cell>
          <cell r="V167">
            <v>0</v>
          </cell>
          <cell r="W167">
            <v>0</v>
          </cell>
          <cell r="X167">
            <v>0</v>
          </cell>
          <cell r="Y167">
            <v>0</v>
          </cell>
          <cell r="Z167">
            <v>0</v>
          </cell>
          <cell r="AA167">
            <v>0</v>
          </cell>
          <cell r="AB167">
            <v>0</v>
          </cell>
          <cell r="AC167">
            <v>0</v>
          </cell>
          <cell r="AD167">
            <v>0</v>
          </cell>
          <cell r="AE167">
            <v>0</v>
          </cell>
          <cell r="AF167">
            <v>0</v>
          </cell>
          <cell r="AG167">
            <v>0</v>
          </cell>
          <cell r="AH167">
            <v>0</v>
          </cell>
          <cell r="AI167">
            <v>0</v>
          </cell>
          <cell r="AJ167">
            <v>3000</v>
          </cell>
          <cell r="AK167">
            <v>0</v>
          </cell>
          <cell r="AL167">
            <v>0</v>
          </cell>
          <cell r="AM167">
            <v>0</v>
          </cell>
          <cell r="AN167">
            <v>0</v>
          </cell>
          <cell r="AO167">
            <v>0</v>
          </cell>
          <cell r="AP167">
            <v>0</v>
          </cell>
          <cell r="AR167">
            <v>0</v>
          </cell>
          <cell r="AS167">
            <v>0</v>
          </cell>
          <cell r="AT167">
            <v>0</v>
          </cell>
        </row>
        <row r="168">
          <cell r="G168">
            <v>44708</v>
          </cell>
          <cell r="J168">
            <v>0</v>
          </cell>
          <cell r="K168">
            <v>0</v>
          </cell>
          <cell r="L168">
            <v>0</v>
          </cell>
          <cell r="M168">
            <v>0</v>
          </cell>
          <cell r="N168">
            <v>0</v>
          </cell>
          <cell r="O168">
            <v>0</v>
          </cell>
          <cell r="P168">
            <v>0</v>
          </cell>
          <cell r="Q168">
            <v>0</v>
          </cell>
          <cell r="R168">
            <v>1</v>
          </cell>
          <cell r="S168">
            <v>0</v>
          </cell>
          <cell r="T168">
            <v>0</v>
          </cell>
          <cell r="U168">
            <v>0</v>
          </cell>
          <cell r="V168">
            <v>0</v>
          </cell>
          <cell r="W168">
            <v>0</v>
          </cell>
          <cell r="X168">
            <v>0</v>
          </cell>
          <cell r="Y168">
            <v>0</v>
          </cell>
          <cell r="Z168">
            <v>0</v>
          </cell>
          <cell r="AA168">
            <v>0</v>
          </cell>
          <cell r="AB168">
            <v>0</v>
          </cell>
          <cell r="AC168">
            <v>0</v>
          </cell>
          <cell r="AD168">
            <v>0</v>
          </cell>
          <cell r="AE168">
            <v>0</v>
          </cell>
          <cell r="AF168">
            <v>0</v>
          </cell>
          <cell r="AG168">
            <v>0</v>
          </cell>
          <cell r="AH168">
            <v>0</v>
          </cell>
          <cell r="AI168">
            <v>0</v>
          </cell>
          <cell r="AJ168">
            <v>3000</v>
          </cell>
          <cell r="AK168">
            <v>0</v>
          </cell>
          <cell r="AL168">
            <v>0</v>
          </cell>
          <cell r="AM168">
            <v>0</v>
          </cell>
          <cell r="AN168">
            <v>0</v>
          </cell>
          <cell r="AO168">
            <v>0</v>
          </cell>
          <cell r="AP168">
            <v>0</v>
          </cell>
          <cell r="AR168">
            <v>0</v>
          </cell>
          <cell r="AS168">
            <v>0</v>
          </cell>
          <cell r="AT168">
            <v>0</v>
          </cell>
        </row>
        <row r="169">
          <cell r="G169">
            <v>44709</v>
          </cell>
          <cell r="J169">
            <v>0</v>
          </cell>
          <cell r="K169">
            <v>0</v>
          </cell>
          <cell r="L169">
            <v>0</v>
          </cell>
          <cell r="M169">
            <v>0</v>
          </cell>
          <cell r="N169">
            <v>0</v>
          </cell>
          <cell r="O169">
            <v>0</v>
          </cell>
          <cell r="P169">
            <v>0</v>
          </cell>
          <cell r="Q169">
            <v>0</v>
          </cell>
          <cell r="R169">
            <v>1</v>
          </cell>
          <cell r="S169">
            <v>0</v>
          </cell>
          <cell r="T169">
            <v>0</v>
          </cell>
          <cell r="U169">
            <v>0</v>
          </cell>
          <cell r="V169">
            <v>0</v>
          </cell>
          <cell r="W169">
            <v>0</v>
          </cell>
          <cell r="X169">
            <v>0</v>
          </cell>
          <cell r="Y169">
            <v>0</v>
          </cell>
          <cell r="Z169">
            <v>0</v>
          </cell>
          <cell r="AA169">
            <v>0</v>
          </cell>
          <cell r="AB169">
            <v>0</v>
          </cell>
          <cell r="AC169">
            <v>0</v>
          </cell>
          <cell r="AD169">
            <v>0</v>
          </cell>
          <cell r="AE169">
            <v>0</v>
          </cell>
          <cell r="AF169">
            <v>0</v>
          </cell>
          <cell r="AG169">
            <v>0</v>
          </cell>
          <cell r="AH169">
            <v>0</v>
          </cell>
          <cell r="AI169">
            <v>0</v>
          </cell>
          <cell r="AJ169">
            <v>3000</v>
          </cell>
          <cell r="AK169">
            <v>0</v>
          </cell>
          <cell r="AL169">
            <v>0</v>
          </cell>
          <cell r="AM169">
            <v>0</v>
          </cell>
          <cell r="AN169">
            <v>0</v>
          </cell>
          <cell r="AO169">
            <v>0</v>
          </cell>
          <cell r="AP169">
            <v>0</v>
          </cell>
          <cell r="AR169">
            <v>0</v>
          </cell>
          <cell r="AS169">
            <v>0</v>
          </cell>
          <cell r="AT169">
            <v>0</v>
          </cell>
        </row>
        <row r="170">
          <cell r="G170">
            <v>44710</v>
          </cell>
          <cell r="J170">
            <v>0</v>
          </cell>
          <cell r="K170">
            <v>0</v>
          </cell>
          <cell r="L170">
            <v>0</v>
          </cell>
          <cell r="M170">
            <v>0</v>
          </cell>
          <cell r="N170">
            <v>0</v>
          </cell>
          <cell r="O170">
            <v>0</v>
          </cell>
          <cell r="P170">
            <v>0</v>
          </cell>
          <cell r="Q170">
            <v>0</v>
          </cell>
          <cell r="R170">
            <v>1</v>
          </cell>
          <cell r="S170">
            <v>0</v>
          </cell>
          <cell r="T170">
            <v>0</v>
          </cell>
          <cell r="U170">
            <v>0</v>
          </cell>
          <cell r="V170">
            <v>0</v>
          </cell>
          <cell r="W170">
            <v>0</v>
          </cell>
          <cell r="X170">
            <v>0</v>
          </cell>
          <cell r="Y170">
            <v>0</v>
          </cell>
          <cell r="Z170">
            <v>0</v>
          </cell>
          <cell r="AA170">
            <v>0</v>
          </cell>
          <cell r="AB170">
            <v>0</v>
          </cell>
          <cell r="AC170">
            <v>0</v>
          </cell>
          <cell r="AD170">
            <v>0</v>
          </cell>
          <cell r="AE170">
            <v>0</v>
          </cell>
          <cell r="AF170">
            <v>0</v>
          </cell>
          <cell r="AG170">
            <v>0</v>
          </cell>
          <cell r="AH170">
            <v>0</v>
          </cell>
          <cell r="AI170">
            <v>0</v>
          </cell>
          <cell r="AJ170">
            <v>3000</v>
          </cell>
          <cell r="AK170">
            <v>0</v>
          </cell>
          <cell r="AL170">
            <v>0</v>
          </cell>
          <cell r="AM170">
            <v>0</v>
          </cell>
          <cell r="AN170">
            <v>0</v>
          </cell>
          <cell r="AO170">
            <v>0</v>
          </cell>
          <cell r="AP170">
            <v>0</v>
          </cell>
          <cell r="AR170">
            <v>0</v>
          </cell>
          <cell r="AS170">
            <v>0</v>
          </cell>
          <cell r="AT170">
            <v>0</v>
          </cell>
        </row>
        <row r="171">
          <cell r="G171">
            <v>44711</v>
          </cell>
          <cell r="J171">
            <v>0</v>
          </cell>
          <cell r="K171">
            <v>0</v>
          </cell>
          <cell r="L171">
            <v>0</v>
          </cell>
          <cell r="M171">
            <v>0</v>
          </cell>
          <cell r="N171">
            <v>0</v>
          </cell>
          <cell r="O171">
            <v>0</v>
          </cell>
          <cell r="P171">
            <v>0</v>
          </cell>
          <cell r="Q171">
            <v>0</v>
          </cell>
          <cell r="R171">
            <v>1</v>
          </cell>
          <cell r="S171">
            <v>0</v>
          </cell>
          <cell r="T171">
            <v>0</v>
          </cell>
          <cell r="U171">
            <v>0</v>
          </cell>
          <cell r="V171">
            <v>0</v>
          </cell>
          <cell r="W171">
            <v>0</v>
          </cell>
          <cell r="X171">
            <v>0</v>
          </cell>
          <cell r="Y171">
            <v>0</v>
          </cell>
          <cell r="Z171">
            <v>0</v>
          </cell>
          <cell r="AA171">
            <v>0</v>
          </cell>
          <cell r="AB171">
            <v>0</v>
          </cell>
          <cell r="AC171">
            <v>0</v>
          </cell>
          <cell r="AD171">
            <v>0</v>
          </cell>
          <cell r="AE171">
            <v>0</v>
          </cell>
          <cell r="AF171">
            <v>0</v>
          </cell>
          <cell r="AG171">
            <v>0</v>
          </cell>
          <cell r="AH171">
            <v>0</v>
          </cell>
          <cell r="AI171">
            <v>0</v>
          </cell>
          <cell r="AJ171">
            <v>3000</v>
          </cell>
          <cell r="AK171">
            <v>0</v>
          </cell>
          <cell r="AL171">
            <v>0</v>
          </cell>
          <cell r="AM171">
            <v>0</v>
          </cell>
          <cell r="AN171">
            <v>0</v>
          </cell>
          <cell r="AO171">
            <v>0</v>
          </cell>
          <cell r="AP171">
            <v>0</v>
          </cell>
          <cell r="AR171">
            <v>0</v>
          </cell>
          <cell r="AS171">
            <v>0</v>
          </cell>
          <cell r="AT171">
            <v>0</v>
          </cell>
        </row>
        <row r="172">
          <cell r="G172">
            <v>44712</v>
          </cell>
          <cell r="J172">
            <v>0</v>
          </cell>
          <cell r="K172">
            <v>0</v>
          </cell>
          <cell r="L172">
            <v>0</v>
          </cell>
          <cell r="M172">
            <v>0</v>
          </cell>
          <cell r="N172">
            <v>0</v>
          </cell>
          <cell r="O172">
            <v>0</v>
          </cell>
          <cell r="P172">
            <v>0</v>
          </cell>
          <cell r="Q172">
            <v>0</v>
          </cell>
          <cell r="R172">
            <v>1</v>
          </cell>
          <cell r="S172">
            <v>0</v>
          </cell>
          <cell r="T172">
            <v>0</v>
          </cell>
          <cell r="U172">
            <v>0</v>
          </cell>
          <cell r="V172">
            <v>0</v>
          </cell>
          <cell r="W172">
            <v>0</v>
          </cell>
          <cell r="X172">
            <v>0</v>
          </cell>
          <cell r="Y172">
            <v>0</v>
          </cell>
          <cell r="Z172">
            <v>0</v>
          </cell>
          <cell r="AA172">
            <v>0</v>
          </cell>
          <cell r="AB172">
            <v>0</v>
          </cell>
          <cell r="AC172">
            <v>0</v>
          </cell>
          <cell r="AD172">
            <v>0</v>
          </cell>
          <cell r="AE172">
            <v>0</v>
          </cell>
          <cell r="AF172">
            <v>0</v>
          </cell>
          <cell r="AG172">
            <v>0</v>
          </cell>
          <cell r="AH172">
            <v>0</v>
          </cell>
          <cell r="AI172">
            <v>0</v>
          </cell>
          <cell r="AJ172">
            <v>3000</v>
          </cell>
          <cell r="AK172">
            <v>0</v>
          </cell>
          <cell r="AL172">
            <v>0</v>
          </cell>
          <cell r="AM172">
            <v>0</v>
          </cell>
          <cell r="AN172">
            <v>0</v>
          </cell>
          <cell r="AO172">
            <v>0</v>
          </cell>
          <cell r="AP172">
            <v>0</v>
          </cell>
          <cell r="AR172">
            <v>0</v>
          </cell>
          <cell r="AS172">
            <v>0</v>
          </cell>
          <cell r="AT172">
            <v>0</v>
          </cell>
        </row>
        <row r="173">
          <cell r="G173">
            <v>44713</v>
          </cell>
          <cell r="J173">
            <v>0</v>
          </cell>
          <cell r="K173">
            <v>0</v>
          </cell>
          <cell r="L173">
            <v>0</v>
          </cell>
          <cell r="M173">
            <v>0</v>
          </cell>
          <cell r="N173">
            <v>0</v>
          </cell>
          <cell r="O173">
            <v>0</v>
          </cell>
          <cell r="P173">
            <v>0</v>
          </cell>
          <cell r="Q173">
            <v>0</v>
          </cell>
          <cell r="R173">
            <v>1</v>
          </cell>
          <cell r="S173">
            <v>0</v>
          </cell>
          <cell r="T173">
            <v>0</v>
          </cell>
          <cell r="U173">
            <v>0</v>
          </cell>
          <cell r="V173">
            <v>0</v>
          </cell>
          <cell r="W173">
            <v>0</v>
          </cell>
          <cell r="X173">
            <v>0</v>
          </cell>
          <cell r="Y173">
            <v>0</v>
          </cell>
          <cell r="Z173">
            <v>0</v>
          </cell>
          <cell r="AA173">
            <v>0</v>
          </cell>
          <cell r="AB173">
            <v>0</v>
          </cell>
          <cell r="AC173">
            <v>0</v>
          </cell>
          <cell r="AD173">
            <v>0</v>
          </cell>
          <cell r="AE173">
            <v>0</v>
          </cell>
          <cell r="AF173">
            <v>0</v>
          </cell>
          <cell r="AG173">
            <v>0</v>
          </cell>
          <cell r="AH173">
            <v>0</v>
          </cell>
          <cell r="AI173">
            <v>0</v>
          </cell>
          <cell r="AJ173">
            <v>3000</v>
          </cell>
          <cell r="AK173">
            <v>0</v>
          </cell>
          <cell r="AL173">
            <v>0</v>
          </cell>
          <cell r="AM173">
            <v>0</v>
          </cell>
          <cell r="AN173">
            <v>0</v>
          </cell>
          <cell r="AO173">
            <v>0</v>
          </cell>
          <cell r="AP173">
            <v>0</v>
          </cell>
          <cell r="AR173">
            <v>0</v>
          </cell>
          <cell r="AS173">
            <v>0</v>
          </cell>
          <cell r="AT173">
            <v>0</v>
          </cell>
        </row>
        <row r="174">
          <cell r="G174">
            <v>44714</v>
          </cell>
          <cell r="J174">
            <v>0</v>
          </cell>
          <cell r="K174">
            <v>0</v>
          </cell>
          <cell r="L174">
            <v>0</v>
          </cell>
          <cell r="M174">
            <v>0</v>
          </cell>
          <cell r="N174">
            <v>0</v>
          </cell>
          <cell r="O174">
            <v>0</v>
          </cell>
          <cell r="P174">
            <v>0</v>
          </cell>
          <cell r="Q174">
            <v>0</v>
          </cell>
          <cell r="R174">
            <v>1</v>
          </cell>
          <cell r="S174">
            <v>0</v>
          </cell>
          <cell r="T174">
            <v>0</v>
          </cell>
          <cell r="U174">
            <v>0</v>
          </cell>
          <cell r="V174">
            <v>0</v>
          </cell>
          <cell r="W174">
            <v>0</v>
          </cell>
          <cell r="X174">
            <v>0</v>
          </cell>
          <cell r="Y174">
            <v>0</v>
          </cell>
          <cell r="Z174">
            <v>0</v>
          </cell>
          <cell r="AA174">
            <v>0</v>
          </cell>
          <cell r="AB174">
            <v>0</v>
          </cell>
          <cell r="AC174">
            <v>0</v>
          </cell>
          <cell r="AD174">
            <v>0</v>
          </cell>
          <cell r="AE174">
            <v>0</v>
          </cell>
          <cell r="AF174">
            <v>0</v>
          </cell>
          <cell r="AG174">
            <v>0</v>
          </cell>
          <cell r="AH174">
            <v>0</v>
          </cell>
          <cell r="AI174">
            <v>0</v>
          </cell>
          <cell r="AJ174">
            <v>3000</v>
          </cell>
          <cell r="AK174">
            <v>0</v>
          </cell>
          <cell r="AL174">
            <v>0</v>
          </cell>
          <cell r="AM174">
            <v>0</v>
          </cell>
          <cell r="AN174">
            <v>0</v>
          </cell>
          <cell r="AO174">
            <v>0</v>
          </cell>
          <cell r="AP174">
            <v>0</v>
          </cell>
          <cell r="AR174">
            <v>0</v>
          </cell>
          <cell r="AS174">
            <v>0</v>
          </cell>
          <cell r="AT174">
            <v>0</v>
          </cell>
        </row>
        <row r="175">
          <cell r="G175">
            <v>44715</v>
          </cell>
          <cell r="J175">
            <v>0</v>
          </cell>
          <cell r="K175">
            <v>0</v>
          </cell>
          <cell r="L175">
            <v>0</v>
          </cell>
          <cell r="M175">
            <v>0</v>
          </cell>
          <cell r="N175">
            <v>0</v>
          </cell>
          <cell r="O175">
            <v>0</v>
          </cell>
          <cell r="P175">
            <v>0</v>
          </cell>
          <cell r="Q175">
            <v>0</v>
          </cell>
          <cell r="R175">
            <v>1</v>
          </cell>
          <cell r="S175">
            <v>0</v>
          </cell>
          <cell r="T175">
            <v>0</v>
          </cell>
          <cell r="U175">
            <v>0</v>
          </cell>
          <cell r="V175">
            <v>0</v>
          </cell>
          <cell r="W175">
            <v>0</v>
          </cell>
          <cell r="X175">
            <v>0</v>
          </cell>
          <cell r="Y175">
            <v>0</v>
          </cell>
          <cell r="Z175">
            <v>0</v>
          </cell>
          <cell r="AA175">
            <v>0</v>
          </cell>
          <cell r="AB175">
            <v>0</v>
          </cell>
          <cell r="AC175">
            <v>0</v>
          </cell>
          <cell r="AD175">
            <v>0</v>
          </cell>
          <cell r="AE175">
            <v>0</v>
          </cell>
          <cell r="AF175">
            <v>0</v>
          </cell>
          <cell r="AG175">
            <v>0</v>
          </cell>
          <cell r="AH175">
            <v>0</v>
          </cell>
          <cell r="AI175">
            <v>0</v>
          </cell>
          <cell r="AJ175">
            <v>3000</v>
          </cell>
          <cell r="AK175">
            <v>0</v>
          </cell>
          <cell r="AL175">
            <v>0</v>
          </cell>
          <cell r="AM175">
            <v>0</v>
          </cell>
          <cell r="AN175">
            <v>0</v>
          </cell>
          <cell r="AO175">
            <v>0</v>
          </cell>
          <cell r="AP175">
            <v>0</v>
          </cell>
          <cell r="AR175">
            <v>0</v>
          </cell>
          <cell r="AS175">
            <v>0</v>
          </cell>
          <cell r="AT175">
            <v>0</v>
          </cell>
        </row>
        <row r="176">
          <cell r="G176">
            <v>44716</v>
          </cell>
          <cell r="J176">
            <v>0</v>
          </cell>
          <cell r="K176">
            <v>0</v>
          </cell>
          <cell r="L176">
            <v>0</v>
          </cell>
          <cell r="M176">
            <v>0</v>
          </cell>
          <cell r="N176">
            <v>0</v>
          </cell>
          <cell r="O176">
            <v>0</v>
          </cell>
          <cell r="P176">
            <v>0</v>
          </cell>
          <cell r="Q176">
            <v>0</v>
          </cell>
          <cell r="R176">
            <v>1</v>
          </cell>
          <cell r="S176">
            <v>0</v>
          </cell>
          <cell r="T176">
            <v>0</v>
          </cell>
          <cell r="U176">
            <v>0</v>
          </cell>
          <cell r="V176">
            <v>0</v>
          </cell>
          <cell r="W176">
            <v>0</v>
          </cell>
          <cell r="X176">
            <v>0</v>
          </cell>
          <cell r="Y176">
            <v>0</v>
          </cell>
          <cell r="Z176">
            <v>0</v>
          </cell>
          <cell r="AA176">
            <v>0</v>
          </cell>
          <cell r="AB176">
            <v>0</v>
          </cell>
          <cell r="AC176">
            <v>0</v>
          </cell>
          <cell r="AD176">
            <v>0</v>
          </cell>
          <cell r="AE176">
            <v>0</v>
          </cell>
          <cell r="AF176">
            <v>0</v>
          </cell>
          <cell r="AG176">
            <v>0</v>
          </cell>
          <cell r="AH176">
            <v>0</v>
          </cell>
          <cell r="AI176">
            <v>0</v>
          </cell>
          <cell r="AJ176">
            <v>3000</v>
          </cell>
          <cell r="AK176">
            <v>0</v>
          </cell>
          <cell r="AL176">
            <v>0</v>
          </cell>
          <cell r="AM176">
            <v>0</v>
          </cell>
          <cell r="AN176">
            <v>0</v>
          </cell>
          <cell r="AO176">
            <v>0</v>
          </cell>
          <cell r="AP176">
            <v>0</v>
          </cell>
          <cell r="AR176">
            <v>0</v>
          </cell>
          <cell r="AS176">
            <v>0</v>
          </cell>
          <cell r="AT176">
            <v>0</v>
          </cell>
        </row>
        <row r="177">
          <cell r="G177">
            <v>44717</v>
          </cell>
          <cell r="J177">
            <v>0</v>
          </cell>
          <cell r="K177">
            <v>0</v>
          </cell>
          <cell r="L177">
            <v>0</v>
          </cell>
          <cell r="M177">
            <v>0</v>
          </cell>
          <cell r="N177">
            <v>0</v>
          </cell>
          <cell r="O177">
            <v>0</v>
          </cell>
          <cell r="P177">
            <v>0</v>
          </cell>
          <cell r="Q177">
            <v>0</v>
          </cell>
          <cell r="R177">
            <v>1</v>
          </cell>
          <cell r="S177">
            <v>0</v>
          </cell>
          <cell r="T177">
            <v>0</v>
          </cell>
          <cell r="U177">
            <v>0</v>
          </cell>
          <cell r="V177">
            <v>0</v>
          </cell>
          <cell r="W177">
            <v>0</v>
          </cell>
          <cell r="X177">
            <v>0</v>
          </cell>
          <cell r="Y177">
            <v>0</v>
          </cell>
          <cell r="Z177">
            <v>0</v>
          </cell>
          <cell r="AA177">
            <v>0</v>
          </cell>
          <cell r="AB177">
            <v>0</v>
          </cell>
          <cell r="AC177">
            <v>0</v>
          </cell>
          <cell r="AD177">
            <v>0</v>
          </cell>
          <cell r="AE177">
            <v>0</v>
          </cell>
          <cell r="AF177">
            <v>0</v>
          </cell>
          <cell r="AG177">
            <v>0</v>
          </cell>
          <cell r="AH177">
            <v>0</v>
          </cell>
          <cell r="AI177">
            <v>0</v>
          </cell>
          <cell r="AJ177">
            <v>3000</v>
          </cell>
          <cell r="AK177">
            <v>0</v>
          </cell>
          <cell r="AL177">
            <v>0</v>
          </cell>
          <cell r="AM177">
            <v>0</v>
          </cell>
          <cell r="AN177">
            <v>0</v>
          </cell>
          <cell r="AO177">
            <v>0</v>
          </cell>
          <cell r="AP177">
            <v>0</v>
          </cell>
          <cell r="AR177">
            <v>0</v>
          </cell>
          <cell r="AS177">
            <v>0</v>
          </cell>
          <cell r="AT177">
            <v>0</v>
          </cell>
        </row>
        <row r="178">
          <cell r="G178">
            <v>44718</v>
          </cell>
          <cell r="J178">
            <v>0</v>
          </cell>
          <cell r="K178">
            <v>0</v>
          </cell>
          <cell r="L178">
            <v>0</v>
          </cell>
          <cell r="M178">
            <v>0</v>
          </cell>
          <cell r="N178">
            <v>0</v>
          </cell>
          <cell r="O178">
            <v>0</v>
          </cell>
          <cell r="P178">
            <v>0</v>
          </cell>
          <cell r="Q178">
            <v>0</v>
          </cell>
          <cell r="R178">
            <v>1</v>
          </cell>
          <cell r="S178">
            <v>0</v>
          </cell>
          <cell r="T178">
            <v>0</v>
          </cell>
          <cell r="U178">
            <v>0</v>
          </cell>
          <cell r="V178">
            <v>0</v>
          </cell>
          <cell r="W178">
            <v>0</v>
          </cell>
          <cell r="X178">
            <v>0</v>
          </cell>
          <cell r="Y178">
            <v>0</v>
          </cell>
          <cell r="Z178">
            <v>0</v>
          </cell>
          <cell r="AA178">
            <v>0</v>
          </cell>
          <cell r="AB178">
            <v>0</v>
          </cell>
          <cell r="AC178">
            <v>0</v>
          </cell>
          <cell r="AD178">
            <v>0</v>
          </cell>
          <cell r="AE178">
            <v>0</v>
          </cell>
          <cell r="AF178">
            <v>0</v>
          </cell>
          <cell r="AG178">
            <v>0</v>
          </cell>
          <cell r="AH178">
            <v>0</v>
          </cell>
          <cell r="AI178">
            <v>0</v>
          </cell>
          <cell r="AJ178">
            <v>3000</v>
          </cell>
          <cell r="AK178">
            <v>0</v>
          </cell>
          <cell r="AL178">
            <v>0</v>
          </cell>
          <cell r="AM178">
            <v>0</v>
          </cell>
          <cell r="AN178">
            <v>0</v>
          </cell>
          <cell r="AO178">
            <v>0</v>
          </cell>
          <cell r="AP178">
            <v>0</v>
          </cell>
          <cell r="AR178">
            <v>0</v>
          </cell>
          <cell r="AS178">
            <v>0</v>
          </cell>
          <cell r="AT178">
            <v>0</v>
          </cell>
        </row>
        <row r="179">
          <cell r="G179">
            <v>44719</v>
          </cell>
          <cell r="J179">
            <v>0</v>
          </cell>
          <cell r="K179">
            <v>0</v>
          </cell>
          <cell r="L179">
            <v>0</v>
          </cell>
          <cell r="M179">
            <v>0</v>
          </cell>
          <cell r="N179">
            <v>0</v>
          </cell>
          <cell r="O179">
            <v>0</v>
          </cell>
          <cell r="P179">
            <v>0</v>
          </cell>
          <cell r="Q179">
            <v>0</v>
          </cell>
          <cell r="R179">
            <v>1</v>
          </cell>
          <cell r="S179">
            <v>0</v>
          </cell>
          <cell r="T179">
            <v>0</v>
          </cell>
          <cell r="U179">
            <v>0</v>
          </cell>
          <cell r="V179">
            <v>0</v>
          </cell>
          <cell r="W179">
            <v>0</v>
          </cell>
          <cell r="X179">
            <v>0</v>
          </cell>
          <cell r="Y179">
            <v>0</v>
          </cell>
          <cell r="Z179">
            <v>0</v>
          </cell>
          <cell r="AA179">
            <v>0</v>
          </cell>
          <cell r="AB179">
            <v>0</v>
          </cell>
          <cell r="AC179">
            <v>0</v>
          </cell>
          <cell r="AD179">
            <v>0</v>
          </cell>
          <cell r="AE179">
            <v>0</v>
          </cell>
          <cell r="AF179">
            <v>0</v>
          </cell>
          <cell r="AG179">
            <v>0</v>
          </cell>
          <cell r="AH179">
            <v>0</v>
          </cell>
          <cell r="AI179">
            <v>0</v>
          </cell>
          <cell r="AJ179">
            <v>3000</v>
          </cell>
          <cell r="AK179">
            <v>0</v>
          </cell>
          <cell r="AL179">
            <v>0</v>
          </cell>
          <cell r="AM179">
            <v>0</v>
          </cell>
          <cell r="AN179">
            <v>0</v>
          </cell>
          <cell r="AO179">
            <v>0</v>
          </cell>
          <cell r="AP179">
            <v>0</v>
          </cell>
          <cell r="AR179">
            <v>0</v>
          </cell>
          <cell r="AS179">
            <v>0</v>
          </cell>
          <cell r="AT179">
            <v>0</v>
          </cell>
        </row>
        <row r="180">
          <cell r="G180">
            <v>44720</v>
          </cell>
          <cell r="J180">
            <v>0</v>
          </cell>
          <cell r="K180">
            <v>0</v>
          </cell>
          <cell r="L180">
            <v>0</v>
          </cell>
          <cell r="M180">
            <v>0</v>
          </cell>
          <cell r="N180">
            <v>0</v>
          </cell>
          <cell r="O180">
            <v>0</v>
          </cell>
          <cell r="P180">
            <v>0</v>
          </cell>
          <cell r="Q180">
            <v>0</v>
          </cell>
          <cell r="R180">
            <v>1</v>
          </cell>
          <cell r="S180">
            <v>0</v>
          </cell>
          <cell r="T180">
            <v>0</v>
          </cell>
          <cell r="U180">
            <v>0</v>
          </cell>
          <cell r="V180">
            <v>0</v>
          </cell>
          <cell r="W180">
            <v>0</v>
          </cell>
          <cell r="X180">
            <v>0</v>
          </cell>
          <cell r="Y180">
            <v>0</v>
          </cell>
          <cell r="Z180">
            <v>0</v>
          </cell>
          <cell r="AA180">
            <v>0</v>
          </cell>
          <cell r="AB180">
            <v>0</v>
          </cell>
          <cell r="AC180">
            <v>0</v>
          </cell>
          <cell r="AD180">
            <v>0</v>
          </cell>
          <cell r="AE180">
            <v>0</v>
          </cell>
          <cell r="AF180">
            <v>0</v>
          </cell>
          <cell r="AG180">
            <v>0</v>
          </cell>
          <cell r="AH180">
            <v>0</v>
          </cell>
          <cell r="AI180">
            <v>0</v>
          </cell>
          <cell r="AJ180">
            <v>3000</v>
          </cell>
          <cell r="AK180">
            <v>0</v>
          </cell>
          <cell r="AL180">
            <v>0</v>
          </cell>
          <cell r="AM180">
            <v>0</v>
          </cell>
          <cell r="AN180">
            <v>0</v>
          </cell>
          <cell r="AO180">
            <v>0</v>
          </cell>
          <cell r="AP180">
            <v>0</v>
          </cell>
          <cell r="AR180">
            <v>0</v>
          </cell>
          <cell r="AS180">
            <v>0</v>
          </cell>
          <cell r="AT180">
            <v>0</v>
          </cell>
        </row>
        <row r="181">
          <cell r="G181">
            <v>44721</v>
          </cell>
          <cell r="J181">
            <v>0</v>
          </cell>
          <cell r="K181">
            <v>0</v>
          </cell>
          <cell r="L181">
            <v>0</v>
          </cell>
          <cell r="M181">
            <v>0</v>
          </cell>
          <cell r="N181">
            <v>0</v>
          </cell>
          <cell r="O181">
            <v>0</v>
          </cell>
          <cell r="P181">
            <v>0</v>
          </cell>
          <cell r="Q181">
            <v>0</v>
          </cell>
          <cell r="R181">
            <v>1</v>
          </cell>
          <cell r="S181">
            <v>0</v>
          </cell>
          <cell r="T181">
            <v>0</v>
          </cell>
          <cell r="U181">
            <v>0</v>
          </cell>
          <cell r="V181">
            <v>0</v>
          </cell>
          <cell r="W181">
            <v>0</v>
          </cell>
          <cell r="X181">
            <v>0</v>
          </cell>
          <cell r="Y181">
            <v>0</v>
          </cell>
          <cell r="Z181">
            <v>0</v>
          </cell>
          <cell r="AA181">
            <v>0</v>
          </cell>
          <cell r="AB181">
            <v>0</v>
          </cell>
          <cell r="AC181">
            <v>0</v>
          </cell>
          <cell r="AD181">
            <v>0</v>
          </cell>
          <cell r="AE181">
            <v>0</v>
          </cell>
          <cell r="AF181">
            <v>0</v>
          </cell>
          <cell r="AG181">
            <v>0</v>
          </cell>
          <cell r="AH181">
            <v>0</v>
          </cell>
          <cell r="AI181">
            <v>0</v>
          </cell>
          <cell r="AJ181">
            <v>3000</v>
          </cell>
          <cell r="AK181">
            <v>0</v>
          </cell>
          <cell r="AL181">
            <v>0</v>
          </cell>
          <cell r="AM181">
            <v>0</v>
          </cell>
          <cell r="AN181">
            <v>0</v>
          </cell>
          <cell r="AO181">
            <v>0</v>
          </cell>
          <cell r="AP181">
            <v>0</v>
          </cell>
          <cell r="AR181">
            <v>0</v>
          </cell>
          <cell r="AS181">
            <v>0</v>
          </cell>
          <cell r="AT181">
            <v>0</v>
          </cell>
        </row>
        <row r="182">
          <cell r="G182">
            <v>44722</v>
          </cell>
          <cell r="J182">
            <v>0</v>
          </cell>
          <cell r="K182">
            <v>0</v>
          </cell>
          <cell r="L182">
            <v>0</v>
          </cell>
          <cell r="M182">
            <v>0</v>
          </cell>
          <cell r="N182">
            <v>0</v>
          </cell>
          <cell r="O182">
            <v>0</v>
          </cell>
          <cell r="P182">
            <v>0</v>
          </cell>
          <cell r="Q182">
            <v>0</v>
          </cell>
          <cell r="R182">
            <v>1</v>
          </cell>
          <cell r="S182">
            <v>0</v>
          </cell>
          <cell r="T182">
            <v>0</v>
          </cell>
          <cell r="U182">
            <v>0</v>
          </cell>
          <cell r="V182">
            <v>0</v>
          </cell>
          <cell r="W182">
            <v>0</v>
          </cell>
          <cell r="X182">
            <v>0</v>
          </cell>
          <cell r="Y182">
            <v>0</v>
          </cell>
          <cell r="Z182">
            <v>0</v>
          </cell>
          <cell r="AA182">
            <v>0</v>
          </cell>
          <cell r="AB182">
            <v>0</v>
          </cell>
          <cell r="AC182">
            <v>0</v>
          </cell>
          <cell r="AD182">
            <v>0</v>
          </cell>
          <cell r="AE182">
            <v>0</v>
          </cell>
          <cell r="AF182">
            <v>0</v>
          </cell>
          <cell r="AG182">
            <v>0</v>
          </cell>
          <cell r="AH182">
            <v>0</v>
          </cell>
          <cell r="AI182">
            <v>0</v>
          </cell>
          <cell r="AJ182">
            <v>3000</v>
          </cell>
          <cell r="AK182">
            <v>0</v>
          </cell>
          <cell r="AL182">
            <v>0</v>
          </cell>
          <cell r="AM182">
            <v>0</v>
          </cell>
          <cell r="AN182">
            <v>0</v>
          </cell>
          <cell r="AO182">
            <v>0</v>
          </cell>
          <cell r="AP182">
            <v>0</v>
          </cell>
          <cell r="AR182">
            <v>0</v>
          </cell>
          <cell r="AS182">
            <v>0</v>
          </cell>
          <cell r="AT182">
            <v>0</v>
          </cell>
        </row>
        <row r="183">
          <cell r="G183">
            <v>44723</v>
          </cell>
          <cell r="J183">
            <v>0</v>
          </cell>
          <cell r="K183">
            <v>0</v>
          </cell>
          <cell r="L183">
            <v>0</v>
          </cell>
          <cell r="M183">
            <v>0</v>
          </cell>
          <cell r="N183">
            <v>0</v>
          </cell>
          <cell r="O183">
            <v>0</v>
          </cell>
          <cell r="P183">
            <v>0</v>
          </cell>
          <cell r="Q183">
            <v>0</v>
          </cell>
          <cell r="R183">
            <v>1</v>
          </cell>
          <cell r="S183">
            <v>0</v>
          </cell>
          <cell r="T183">
            <v>0</v>
          </cell>
          <cell r="U183">
            <v>0</v>
          </cell>
          <cell r="V183">
            <v>0</v>
          </cell>
          <cell r="W183">
            <v>0</v>
          </cell>
          <cell r="X183">
            <v>0</v>
          </cell>
          <cell r="Y183">
            <v>0</v>
          </cell>
          <cell r="Z183">
            <v>0</v>
          </cell>
          <cell r="AA183">
            <v>0</v>
          </cell>
          <cell r="AB183">
            <v>0</v>
          </cell>
          <cell r="AC183">
            <v>0</v>
          </cell>
          <cell r="AD183">
            <v>0</v>
          </cell>
          <cell r="AE183">
            <v>0</v>
          </cell>
          <cell r="AF183">
            <v>0</v>
          </cell>
          <cell r="AG183">
            <v>0</v>
          </cell>
          <cell r="AH183">
            <v>0</v>
          </cell>
          <cell r="AI183">
            <v>0</v>
          </cell>
          <cell r="AJ183">
            <v>3000</v>
          </cell>
          <cell r="AK183">
            <v>0</v>
          </cell>
          <cell r="AL183">
            <v>0</v>
          </cell>
          <cell r="AM183">
            <v>0</v>
          </cell>
          <cell r="AN183">
            <v>0</v>
          </cell>
          <cell r="AO183">
            <v>0</v>
          </cell>
          <cell r="AP183">
            <v>0</v>
          </cell>
          <cell r="AR183">
            <v>0</v>
          </cell>
          <cell r="AS183">
            <v>0</v>
          </cell>
          <cell r="AT183">
            <v>0</v>
          </cell>
        </row>
        <row r="184">
          <cell r="G184">
            <v>44724</v>
          </cell>
          <cell r="J184">
            <v>0</v>
          </cell>
          <cell r="K184">
            <v>0</v>
          </cell>
          <cell r="L184">
            <v>0</v>
          </cell>
          <cell r="M184">
            <v>0</v>
          </cell>
          <cell r="N184">
            <v>0</v>
          </cell>
          <cell r="O184">
            <v>0</v>
          </cell>
          <cell r="P184">
            <v>0</v>
          </cell>
          <cell r="Q184">
            <v>0</v>
          </cell>
          <cell r="R184">
            <v>1</v>
          </cell>
          <cell r="S184">
            <v>0</v>
          </cell>
          <cell r="T184">
            <v>0</v>
          </cell>
          <cell r="U184">
            <v>0</v>
          </cell>
          <cell r="V184">
            <v>0</v>
          </cell>
          <cell r="W184">
            <v>0</v>
          </cell>
          <cell r="X184">
            <v>0</v>
          </cell>
          <cell r="Y184">
            <v>0</v>
          </cell>
          <cell r="Z184">
            <v>0</v>
          </cell>
          <cell r="AA184">
            <v>0</v>
          </cell>
          <cell r="AB184">
            <v>0</v>
          </cell>
          <cell r="AC184">
            <v>0</v>
          </cell>
          <cell r="AD184">
            <v>0</v>
          </cell>
          <cell r="AE184">
            <v>0</v>
          </cell>
          <cell r="AF184">
            <v>0</v>
          </cell>
          <cell r="AG184">
            <v>0</v>
          </cell>
          <cell r="AH184">
            <v>0</v>
          </cell>
          <cell r="AI184">
            <v>0</v>
          </cell>
          <cell r="AJ184">
            <v>3000</v>
          </cell>
          <cell r="AK184">
            <v>0</v>
          </cell>
          <cell r="AL184">
            <v>0</v>
          </cell>
          <cell r="AM184">
            <v>0</v>
          </cell>
          <cell r="AN184">
            <v>0</v>
          </cell>
          <cell r="AO184">
            <v>0</v>
          </cell>
          <cell r="AP184">
            <v>0</v>
          </cell>
          <cell r="AR184">
            <v>0</v>
          </cell>
          <cell r="AS184">
            <v>0</v>
          </cell>
          <cell r="AT184">
            <v>0</v>
          </cell>
        </row>
        <row r="185">
          <cell r="G185">
            <v>44725</v>
          </cell>
          <cell r="J185">
            <v>0</v>
          </cell>
          <cell r="K185">
            <v>0</v>
          </cell>
          <cell r="L185">
            <v>0</v>
          </cell>
          <cell r="M185">
            <v>0</v>
          </cell>
          <cell r="N185">
            <v>0</v>
          </cell>
          <cell r="O185">
            <v>0</v>
          </cell>
          <cell r="P185">
            <v>0</v>
          </cell>
          <cell r="Q185">
            <v>0</v>
          </cell>
          <cell r="R185">
            <v>1</v>
          </cell>
          <cell r="S185">
            <v>0</v>
          </cell>
          <cell r="T185">
            <v>0</v>
          </cell>
          <cell r="U185">
            <v>0</v>
          </cell>
          <cell r="V185">
            <v>0</v>
          </cell>
          <cell r="W185">
            <v>0</v>
          </cell>
          <cell r="X185">
            <v>0</v>
          </cell>
          <cell r="Y185">
            <v>0</v>
          </cell>
          <cell r="Z185">
            <v>0</v>
          </cell>
          <cell r="AA185">
            <v>0</v>
          </cell>
          <cell r="AB185">
            <v>0</v>
          </cell>
          <cell r="AC185">
            <v>0</v>
          </cell>
          <cell r="AD185">
            <v>0</v>
          </cell>
          <cell r="AE185">
            <v>0</v>
          </cell>
          <cell r="AF185">
            <v>0</v>
          </cell>
          <cell r="AG185">
            <v>0</v>
          </cell>
          <cell r="AH185">
            <v>0</v>
          </cell>
          <cell r="AI185">
            <v>0</v>
          </cell>
          <cell r="AJ185">
            <v>3000</v>
          </cell>
          <cell r="AK185">
            <v>0</v>
          </cell>
          <cell r="AL185">
            <v>0</v>
          </cell>
          <cell r="AM185">
            <v>0</v>
          </cell>
          <cell r="AN185">
            <v>0</v>
          </cell>
          <cell r="AO185">
            <v>0</v>
          </cell>
          <cell r="AP185">
            <v>0</v>
          </cell>
          <cell r="AR185">
            <v>0</v>
          </cell>
          <cell r="AS185">
            <v>0</v>
          </cell>
          <cell r="AT185">
            <v>0</v>
          </cell>
        </row>
        <row r="186">
          <cell r="G186">
            <v>44726</v>
          </cell>
          <cell r="J186">
            <v>0</v>
          </cell>
          <cell r="K186">
            <v>0</v>
          </cell>
          <cell r="L186">
            <v>0</v>
          </cell>
          <cell r="M186">
            <v>0</v>
          </cell>
          <cell r="N186">
            <v>0</v>
          </cell>
          <cell r="O186">
            <v>0</v>
          </cell>
          <cell r="P186">
            <v>0</v>
          </cell>
          <cell r="Q186">
            <v>0</v>
          </cell>
          <cell r="R186">
            <v>1</v>
          </cell>
          <cell r="S186">
            <v>0</v>
          </cell>
          <cell r="T186">
            <v>0</v>
          </cell>
          <cell r="U186">
            <v>0</v>
          </cell>
          <cell r="V186">
            <v>0</v>
          </cell>
          <cell r="W186">
            <v>0</v>
          </cell>
          <cell r="X186">
            <v>0</v>
          </cell>
          <cell r="Y186">
            <v>0</v>
          </cell>
          <cell r="Z186">
            <v>0</v>
          </cell>
          <cell r="AA186">
            <v>0</v>
          </cell>
          <cell r="AB186">
            <v>0</v>
          </cell>
          <cell r="AC186">
            <v>0</v>
          </cell>
          <cell r="AD186">
            <v>0</v>
          </cell>
          <cell r="AE186">
            <v>0</v>
          </cell>
          <cell r="AF186">
            <v>0</v>
          </cell>
          <cell r="AG186">
            <v>0</v>
          </cell>
          <cell r="AH186">
            <v>0</v>
          </cell>
          <cell r="AI186">
            <v>0</v>
          </cell>
          <cell r="AJ186">
            <v>3000</v>
          </cell>
          <cell r="AK186">
            <v>0</v>
          </cell>
          <cell r="AL186">
            <v>0</v>
          </cell>
          <cell r="AM186">
            <v>0</v>
          </cell>
          <cell r="AN186">
            <v>0</v>
          </cell>
          <cell r="AO186">
            <v>0</v>
          </cell>
          <cell r="AP186">
            <v>0</v>
          </cell>
          <cell r="AR186">
            <v>0</v>
          </cell>
          <cell r="AS186">
            <v>0</v>
          </cell>
          <cell r="AT186">
            <v>0</v>
          </cell>
        </row>
        <row r="187">
          <cell r="G187">
            <v>44727</v>
          </cell>
          <cell r="J187">
            <v>0</v>
          </cell>
          <cell r="K187">
            <v>0</v>
          </cell>
          <cell r="L187">
            <v>0</v>
          </cell>
          <cell r="M187">
            <v>0</v>
          </cell>
          <cell r="N187">
            <v>0</v>
          </cell>
          <cell r="O187">
            <v>0</v>
          </cell>
          <cell r="P187">
            <v>0</v>
          </cell>
          <cell r="Q187">
            <v>0</v>
          </cell>
          <cell r="R187">
            <v>1</v>
          </cell>
          <cell r="S187">
            <v>0</v>
          </cell>
          <cell r="T187">
            <v>0</v>
          </cell>
          <cell r="U187">
            <v>0</v>
          </cell>
          <cell r="V187">
            <v>0</v>
          </cell>
          <cell r="W187">
            <v>0</v>
          </cell>
          <cell r="X187">
            <v>0</v>
          </cell>
          <cell r="Y187">
            <v>0</v>
          </cell>
          <cell r="Z187">
            <v>0</v>
          </cell>
          <cell r="AA187">
            <v>0</v>
          </cell>
          <cell r="AB187">
            <v>0</v>
          </cell>
          <cell r="AC187">
            <v>0</v>
          </cell>
          <cell r="AD187">
            <v>0</v>
          </cell>
          <cell r="AE187">
            <v>0</v>
          </cell>
          <cell r="AF187">
            <v>0</v>
          </cell>
          <cell r="AG187">
            <v>0</v>
          </cell>
          <cell r="AH187">
            <v>0</v>
          </cell>
          <cell r="AI187">
            <v>0</v>
          </cell>
          <cell r="AJ187">
            <v>3000</v>
          </cell>
          <cell r="AK187">
            <v>0</v>
          </cell>
          <cell r="AL187">
            <v>0</v>
          </cell>
          <cell r="AM187">
            <v>0</v>
          </cell>
          <cell r="AN187">
            <v>0</v>
          </cell>
          <cell r="AO187">
            <v>0</v>
          </cell>
          <cell r="AP187">
            <v>0</v>
          </cell>
          <cell r="AR187">
            <v>0</v>
          </cell>
          <cell r="AS187">
            <v>0</v>
          </cell>
          <cell r="AT187">
            <v>0</v>
          </cell>
        </row>
        <row r="188">
          <cell r="G188">
            <v>44728</v>
          </cell>
          <cell r="J188">
            <v>0</v>
          </cell>
          <cell r="K188">
            <v>0</v>
          </cell>
          <cell r="L188">
            <v>0</v>
          </cell>
          <cell r="M188">
            <v>0</v>
          </cell>
          <cell r="N188">
            <v>0</v>
          </cell>
          <cell r="O188">
            <v>0</v>
          </cell>
          <cell r="P188">
            <v>0</v>
          </cell>
          <cell r="Q188">
            <v>0</v>
          </cell>
          <cell r="R188">
            <v>1</v>
          </cell>
          <cell r="S188">
            <v>0</v>
          </cell>
          <cell r="T188">
            <v>0</v>
          </cell>
          <cell r="U188">
            <v>0</v>
          </cell>
          <cell r="V188">
            <v>0</v>
          </cell>
          <cell r="W188">
            <v>0</v>
          </cell>
          <cell r="X188">
            <v>0</v>
          </cell>
          <cell r="Y188">
            <v>0</v>
          </cell>
          <cell r="Z188">
            <v>0</v>
          </cell>
          <cell r="AA188">
            <v>0</v>
          </cell>
          <cell r="AB188">
            <v>0</v>
          </cell>
          <cell r="AC188">
            <v>0</v>
          </cell>
          <cell r="AD188">
            <v>0</v>
          </cell>
          <cell r="AE188">
            <v>0</v>
          </cell>
          <cell r="AF188">
            <v>0</v>
          </cell>
          <cell r="AG188">
            <v>0</v>
          </cell>
          <cell r="AH188">
            <v>0</v>
          </cell>
          <cell r="AI188">
            <v>0</v>
          </cell>
          <cell r="AJ188">
            <v>3000</v>
          </cell>
          <cell r="AK188">
            <v>0</v>
          </cell>
          <cell r="AL188">
            <v>0</v>
          </cell>
          <cell r="AM188">
            <v>0</v>
          </cell>
          <cell r="AN188">
            <v>0</v>
          </cell>
          <cell r="AO188">
            <v>0</v>
          </cell>
          <cell r="AP188">
            <v>0</v>
          </cell>
          <cell r="AR188">
            <v>0</v>
          </cell>
          <cell r="AS188">
            <v>0</v>
          </cell>
          <cell r="AT188">
            <v>0</v>
          </cell>
        </row>
        <row r="189">
          <cell r="G189">
            <v>44729</v>
          </cell>
          <cell r="J189">
            <v>0</v>
          </cell>
          <cell r="K189">
            <v>0</v>
          </cell>
          <cell r="L189">
            <v>0</v>
          </cell>
          <cell r="M189">
            <v>0</v>
          </cell>
          <cell r="N189">
            <v>0</v>
          </cell>
          <cell r="O189">
            <v>0</v>
          </cell>
          <cell r="P189">
            <v>0</v>
          </cell>
          <cell r="Q189">
            <v>0</v>
          </cell>
          <cell r="R189">
            <v>1</v>
          </cell>
          <cell r="S189">
            <v>0</v>
          </cell>
          <cell r="T189">
            <v>0</v>
          </cell>
          <cell r="U189">
            <v>0</v>
          </cell>
          <cell r="V189">
            <v>0</v>
          </cell>
          <cell r="W189">
            <v>0</v>
          </cell>
          <cell r="X189">
            <v>0</v>
          </cell>
          <cell r="Y189">
            <v>0</v>
          </cell>
          <cell r="Z189">
            <v>0</v>
          </cell>
          <cell r="AA189">
            <v>0</v>
          </cell>
          <cell r="AB189">
            <v>0</v>
          </cell>
          <cell r="AC189">
            <v>0</v>
          </cell>
          <cell r="AD189">
            <v>0</v>
          </cell>
          <cell r="AE189">
            <v>0</v>
          </cell>
          <cell r="AF189">
            <v>0</v>
          </cell>
          <cell r="AG189">
            <v>0</v>
          </cell>
          <cell r="AH189">
            <v>0</v>
          </cell>
          <cell r="AI189">
            <v>0</v>
          </cell>
          <cell r="AJ189">
            <v>3000</v>
          </cell>
          <cell r="AK189">
            <v>0</v>
          </cell>
          <cell r="AL189">
            <v>0</v>
          </cell>
          <cell r="AM189">
            <v>0</v>
          </cell>
          <cell r="AN189">
            <v>0</v>
          </cell>
          <cell r="AO189">
            <v>0</v>
          </cell>
          <cell r="AP189">
            <v>0</v>
          </cell>
          <cell r="AR189">
            <v>0</v>
          </cell>
          <cell r="AS189">
            <v>0</v>
          </cell>
          <cell r="AT189">
            <v>0</v>
          </cell>
        </row>
        <row r="190">
          <cell r="G190">
            <v>44730</v>
          </cell>
          <cell r="J190">
            <v>0</v>
          </cell>
          <cell r="K190">
            <v>0</v>
          </cell>
          <cell r="L190">
            <v>0</v>
          </cell>
          <cell r="M190">
            <v>0</v>
          </cell>
          <cell r="N190">
            <v>0</v>
          </cell>
          <cell r="O190">
            <v>0</v>
          </cell>
          <cell r="P190">
            <v>0</v>
          </cell>
          <cell r="Q190">
            <v>0</v>
          </cell>
          <cell r="R190">
            <v>1</v>
          </cell>
          <cell r="S190">
            <v>0</v>
          </cell>
          <cell r="T190">
            <v>0</v>
          </cell>
          <cell r="U190">
            <v>0</v>
          </cell>
          <cell r="V190">
            <v>0</v>
          </cell>
          <cell r="W190">
            <v>0</v>
          </cell>
          <cell r="X190">
            <v>0</v>
          </cell>
          <cell r="Y190">
            <v>0</v>
          </cell>
          <cell r="Z190">
            <v>0</v>
          </cell>
          <cell r="AA190">
            <v>0</v>
          </cell>
          <cell r="AB190">
            <v>0</v>
          </cell>
          <cell r="AC190">
            <v>0</v>
          </cell>
          <cell r="AD190">
            <v>0</v>
          </cell>
          <cell r="AE190">
            <v>0</v>
          </cell>
          <cell r="AF190">
            <v>0</v>
          </cell>
          <cell r="AG190">
            <v>0</v>
          </cell>
          <cell r="AH190">
            <v>0</v>
          </cell>
          <cell r="AI190">
            <v>0</v>
          </cell>
          <cell r="AJ190">
            <v>3000</v>
          </cell>
          <cell r="AK190">
            <v>0</v>
          </cell>
          <cell r="AL190">
            <v>0</v>
          </cell>
          <cell r="AM190">
            <v>0</v>
          </cell>
          <cell r="AN190">
            <v>0</v>
          </cell>
          <cell r="AO190">
            <v>0</v>
          </cell>
          <cell r="AP190">
            <v>0</v>
          </cell>
          <cell r="AR190">
            <v>0</v>
          </cell>
          <cell r="AS190">
            <v>0</v>
          </cell>
          <cell r="AT190">
            <v>0</v>
          </cell>
        </row>
        <row r="191">
          <cell r="G191">
            <v>44731</v>
          </cell>
          <cell r="J191">
            <v>0</v>
          </cell>
          <cell r="K191">
            <v>0</v>
          </cell>
          <cell r="L191">
            <v>0</v>
          </cell>
          <cell r="M191">
            <v>0</v>
          </cell>
          <cell r="N191">
            <v>0</v>
          </cell>
          <cell r="O191">
            <v>0</v>
          </cell>
          <cell r="P191">
            <v>0</v>
          </cell>
          <cell r="Q191">
            <v>0</v>
          </cell>
          <cell r="R191">
            <v>1</v>
          </cell>
          <cell r="S191">
            <v>0</v>
          </cell>
          <cell r="T191">
            <v>0</v>
          </cell>
          <cell r="U191">
            <v>0</v>
          </cell>
          <cell r="V191">
            <v>0</v>
          </cell>
          <cell r="W191">
            <v>0</v>
          </cell>
          <cell r="X191">
            <v>0</v>
          </cell>
          <cell r="Y191">
            <v>0</v>
          </cell>
          <cell r="Z191">
            <v>0</v>
          </cell>
          <cell r="AA191">
            <v>0</v>
          </cell>
          <cell r="AB191">
            <v>0</v>
          </cell>
          <cell r="AC191">
            <v>0</v>
          </cell>
          <cell r="AD191">
            <v>0</v>
          </cell>
          <cell r="AE191">
            <v>0</v>
          </cell>
          <cell r="AF191">
            <v>0</v>
          </cell>
          <cell r="AG191">
            <v>0</v>
          </cell>
          <cell r="AH191">
            <v>0</v>
          </cell>
          <cell r="AI191">
            <v>0</v>
          </cell>
          <cell r="AJ191">
            <v>3000</v>
          </cell>
          <cell r="AK191">
            <v>0</v>
          </cell>
          <cell r="AL191">
            <v>0</v>
          </cell>
          <cell r="AM191">
            <v>0</v>
          </cell>
          <cell r="AN191">
            <v>0</v>
          </cell>
          <cell r="AO191">
            <v>0</v>
          </cell>
          <cell r="AP191">
            <v>0</v>
          </cell>
          <cell r="AR191">
            <v>0</v>
          </cell>
          <cell r="AS191">
            <v>0</v>
          </cell>
          <cell r="AT191">
            <v>0</v>
          </cell>
        </row>
        <row r="192">
          <cell r="G192">
            <v>44732</v>
          </cell>
          <cell r="J192">
            <v>0</v>
          </cell>
          <cell r="K192">
            <v>0</v>
          </cell>
          <cell r="L192">
            <v>0</v>
          </cell>
          <cell r="M192">
            <v>0</v>
          </cell>
          <cell r="N192">
            <v>0</v>
          </cell>
          <cell r="O192">
            <v>0</v>
          </cell>
          <cell r="P192">
            <v>0</v>
          </cell>
          <cell r="Q192">
            <v>0</v>
          </cell>
          <cell r="R192">
            <v>1</v>
          </cell>
          <cell r="S192">
            <v>0</v>
          </cell>
          <cell r="T192">
            <v>0</v>
          </cell>
          <cell r="U192">
            <v>0</v>
          </cell>
          <cell r="V192">
            <v>0</v>
          </cell>
          <cell r="W192">
            <v>0</v>
          </cell>
          <cell r="X192">
            <v>0</v>
          </cell>
          <cell r="Y192">
            <v>0</v>
          </cell>
          <cell r="Z192">
            <v>0</v>
          </cell>
          <cell r="AA192">
            <v>0</v>
          </cell>
          <cell r="AB192">
            <v>0</v>
          </cell>
          <cell r="AC192">
            <v>0</v>
          </cell>
          <cell r="AD192">
            <v>0</v>
          </cell>
          <cell r="AE192">
            <v>0</v>
          </cell>
          <cell r="AF192">
            <v>0</v>
          </cell>
          <cell r="AG192">
            <v>0</v>
          </cell>
          <cell r="AH192">
            <v>0</v>
          </cell>
          <cell r="AI192">
            <v>0</v>
          </cell>
          <cell r="AJ192">
            <v>3000</v>
          </cell>
          <cell r="AK192">
            <v>0</v>
          </cell>
          <cell r="AL192">
            <v>0</v>
          </cell>
          <cell r="AM192">
            <v>0</v>
          </cell>
          <cell r="AN192">
            <v>0</v>
          </cell>
          <cell r="AO192">
            <v>0</v>
          </cell>
          <cell r="AP192">
            <v>0</v>
          </cell>
          <cell r="AR192">
            <v>0</v>
          </cell>
          <cell r="AS192">
            <v>0</v>
          </cell>
          <cell r="AT192">
            <v>0</v>
          </cell>
        </row>
        <row r="193">
          <cell r="G193">
            <v>44733</v>
          </cell>
          <cell r="J193">
            <v>0</v>
          </cell>
          <cell r="K193">
            <v>0</v>
          </cell>
          <cell r="L193">
            <v>0</v>
          </cell>
          <cell r="M193">
            <v>0</v>
          </cell>
          <cell r="N193">
            <v>0</v>
          </cell>
          <cell r="O193">
            <v>0</v>
          </cell>
          <cell r="P193">
            <v>0</v>
          </cell>
          <cell r="Q193">
            <v>0</v>
          </cell>
          <cell r="R193">
            <v>1</v>
          </cell>
          <cell r="S193">
            <v>0</v>
          </cell>
          <cell r="T193">
            <v>0</v>
          </cell>
          <cell r="U193">
            <v>0</v>
          </cell>
          <cell r="V193">
            <v>0</v>
          </cell>
          <cell r="W193">
            <v>0</v>
          </cell>
          <cell r="X193">
            <v>0</v>
          </cell>
          <cell r="Y193">
            <v>0</v>
          </cell>
          <cell r="Z193">
            <v>0</v>
          </cell>
          <cell r="AA193">
            <v>0</v>
          </cell>
          <cell r="AB193">
            <v>0</v>
          </cell>
          <cell r="AC193">
            <v>0</v>
          </cell>
          <cell r="AD193">
            <v>0</v>
          </cell>
          <cell r="AE193">
            <v>0</v>
          </cell>
          <cell r="AF193">
            <v>0</v>
          </cell>
          <cell r="AG193">
            <v>0</v>
          </cell>
          <cell r="AH193">
            <v>0</v>
          </cell>
          <cell r="AI193">
            <v>0</v>
          </cell>
          <cell r="AJ193">
            <v>3000</v>
          </cell>
          <cell r="AK193">
            <v>0</v>
          </cell>
          <cell r="AL193">
            <v>0</v>
          </cell>
          <cell r="AM193">
            <v>0</v>
          </cell>
          <cell r="AN193">
            <v>0</v>
          </cell>
          <cell r="AO193">
            <v>0</v>
          </cell>
          <cell r="AP193">
            <v>0</v>
          </cell>
          <cell r="AR193">
            <v>0</v>
          </cell>
          <cell r="AS193">
            <v>0</v>
          </cell>
          <cell r="AT193">
            <v>0</v>
          </cell>
        </row>
        <row r="194">
          <cell r="G194">
            <v>44734</v>
          </cell>
          <cell r="J194">
            <v>0</v>
          </cell>
          <cell r="K194">
            <v>0</v>
          </cell>
          <cell r="L194">
            <v>0</v>
          </cell>
          <cell r="M194">
            <v>0</v>
          </cell>
          <cell r="N194">
            <v>0</v>
          </cell>
          <cell r="O194">
            <v>0</v>
          </cell>
          <cell r="P194">
            <v>0</v>
          </cell>
          <cell r="Q194">
            <v>0</v>
          </cell>
          <cell r="R194">
            <v>1</v>
          </cell>
          <cell r="S194">
            <v>0</v>
          </cell>
          <cell r="T194">
            <v>0</v>
          </cell>
          <cell r="U194">
            <v>0</v>
          </cell>
          <cell r="V194">
            <v>0</v>
          </cell>
          <cell r="W194">
            <v>0</v>
          </cell>
          <cell r="X194">
            <v>0</v>
          </cell>
          <cell r="Y194">
            <v>0</v>
          </cell>
          <cell r="Z194">
            <v>0</v>
          </cell>
          <cell r="AA194">
            <v>0</v>
          </cell>
          <cell r="AB194">
            <v>0</v>
          </cell>
          <cell r="AC194">
            <v>0</v>
          </cell>
          <cell r="AD194">
            <v>0</v>
          </cell>
          <cell r="AE194">
            <v>0</v>
          </cell>
          <cell r="AF194">
            <v>0</v>
          </cell>
          <cell r="AG194">
            <v>0</v>
          </cell>
          <cell r="AH194">
            <v>0</v>
          </cell>
          <cell r="AI194">
            <v>0</v>
          </cell>
          <cell r="AJ194">
            <v>3000</v>
          </cell>
          <cell r="AK194">
            <v>0</v>
          </cell>
          <cell r="AL194">
            <v>0</v>
          </cell>
          <cell r="AM194">
            <v>0</v>
          </cell>
          <cell r="AN194">
            <v>0</v>
          </cell>
          <cell r="AO194">
            <v>0</v>
          </cell>
          <cell r="AP194">
            <v>0</v>
          </cell>
          <cell r="AR194">
            <v>0</v>
          </cell>
          <cell r="AS194">
            <v>0</v>
          </cell>
          <cell r="AT194">
            <v>0</v>
          </cell>
        </row>
        <row r="195">
          <cell r="G195">
            <v>44735</v>
          </cell>
          <cell r="J195">
            <v>0</v>
          </cell>
          <cell r="K195">
            <v>0</v>
          </cell>
          <cell r="L195">
            <v>0</v>
          </cell>
          <cell r="M195">
            <v>0</v>
          </cell>
          <cell r="N195">
            <v>0</v>
          </cell>
          <cell r="O195">
            <v>0</v>
          </cell>
          <cell r="P195">
            <v>0</v>
          </cell>
          <cell r="Q195">
            <v>0</v>
          </cell>
          <cell r="R195">
            <v>1</v>
          </cell>
          <cell r="S195">
            <v>0</v>
          </cell>
          <cell r="T195">
            <v>0</v>
          </cell>
          <cell r="U195">
            <v>0</v>
          </cell>
          <cell r="V195">
            <v>0</v>
          </cell>
          <cell r="W195">
            <v>0</v>
          </cell>
          <cell r="X195">
            <v>0</v>
          </cell>
          <cell r="Y195">
            <v>0</v>
          </cell>
          <cell r="Z195">
            <v>0</v>
          </cell>
          <cell r="AA195">
            <v>0</v>
          </cell>
          <cell r="AB195">
            <v>0</v>
          </cell>
          <cell r="AC195">
            <v>0</v>
          </cell>
          <cell r="AD195">
            <v>0</v>
          </cell>
          <cell r="AE195">
            <v>0</v>
          </cell>
          <cell r="AF195">
            <v>0</v>
          </cell>
          <cell r="AG195">
            <v>0</v>
          </cell>
          <cell r="AH195">
            <v>0</v>
          </cell>
          <cell r="AI195">
            <v>0</v>
          </cell>
          <cell r="AJ195">
            <v>3000</v>
          </cell>
          <cell r="AK195">
            <v>0</v>
          </cell>
          <cell r="AL195">
            <v>0</v>
          </cell>
          <cell r="AM195">
            <v>0</v>
          </cell>
          <cell r="AN195">
            <v>0</v>
          </cell>
          <cell r="AO195">
            <v>0</v>
          </cell>
          <cell r="AP195">
            <v>0</v>
          </cell>
          <cell r="AR195">
            <v>0</v>
          </cell>
          <cell r="AS195">
            <v>0</v>
          </cell>
          <cell r="AT195">
            <v>0</v>
          </cell>
        </row>
        <row r="196">
          <cell r="G196">
            <v>44736</v>
          </cell>
          <cell r="J196">
            <v>0</v>
          </cell>
          <cell r="K196">
            <v>0</v>
          </cell>
          <cell r="L196">
            <v>0</v>
          </cell>
          <cell r="M196">
            <v>0</v>
          </cell>
          <cell r="N196">
            <v>0</v>
          </cell>
          <cell r="O196">
            <v>0</v>
          </cell>
          <cell r="P196">
            <v>0</v>
          </cell>
          <cell r="Q196">
            <v>0</v>
          </cell>
          <cell r="R196">
            <v>1</v>
          </cell>
          <cell r="S196">
            <v>0</v>
          </cell>
          <cell r="T196">
            <v>0</v>
          </cell>
          <cell r="U196">
            <v>0</v>
          </cell>
          <cell r="V196">
            <v>0</v>
          </cell>
          <cell r="W196">
            <v>0</v>
          </cell>
          <cell r="X196">
            <v>0</v>
          </cell>
          <cell r="Y196">
            <v>0</v>
          </cell>
          <cell r="Z196">
            <v>0</v>
          </cell>
          <cell r="AA196">
            <v>0</v>
          </cell>
          <cell r="AB196">
            <v>0</v>
          </cell>
          <cell r="AC196">
            <v>0</v>
          </cell>
          <cell r="AD196">
            <v>0</v>
          </cell>
          <cell r="AE196">
            <v>0</v>
          </cell>
          <cell r="AF196">
            <v>0</v>
          </cell>
          <cell r="AG196">
            <v>0</v>
          </cell>
          <cell r="AH196">
            <v>0</v>
          </cell>
          <cell r="AI196">
            <v>0</v>
          </cell>
          <cell r="AJ196">
            <v>3000</v>
          </cell>
          <cell r="AK196">
            <v>0</v>
          </cell>
          <cell r="AL196">
            <v>0</v>
          </cell>
          <cell r="AM196">
            <v>0</v>
          </cell>
          <cell r="AN196">
            <v>0</v>
          </cell>
          <cell r="AO196">
            <v>0</v>
          </cell>
          <cell r="AP196">
            <v>0</v>
          </cell>
          <cell r="AR196">
            <v>0</v>
          </cell>
          <cell r="AS196">
            <v>0</v>
          </cell>
          <cell r="AT196">
            <v>0</v>
          </cell>
        </row>
        <row r="197">
          <cell r="G197">
            <v>44737</v>
          </cell>
          <cell r="J197">
            <v>0</v>
          </cell>
          <cell r="K197">
            <v>0</v>
          </cell>
          <cell r="L197">
            <v>0</v>
          </cell>
          <cell r="M197">
            <v>0</v>
          </cell>
          <cell r="N197">
            <v>0</v>
          </cell>
          <cell r="O197">
            <v>0</v>
          </cell>
          <cell r="P197">
            <v>0</v>
          </cell>
          <cell r="Q197">
            <v>0</v>
          </cell>
          <cell r="R197">
            <v>1</v>
          </cell>
          <cell r="S197">
            <v>0</v>
          </cell>
          <cell r="T197">
            <v>0</v>
          </cell>
          <cell r="U197">
            <v>0</v>
          </cell>
          <cell r="V197">
            <v>0</v>
          </cell>
          <cell r="W197">
            <v>0</v>
          </cell>
          <cell r="X197">
            <v>0</v>
          </cell>
          <cell r="Y197">
            <v>0</v>
          </cell>
          <cell r="Z197">
            <v>0</v>
          </cell>
          <cell r="AA197">
            <v>0</v>
          </cell>
          <cell r="AB197">
            <v>0</v>
          </cell>
          <cell r="AC197">
            <v>0</v>
          </cell>
          <cell r="AD197">
            <v>0</v>
          </cell>
          <cell r="AE197">
            <v>0</v>
          </cell>
          <cell r="AF197">
            <v>0</v>
          </cell>
          <cell r="AG197">
            <v>0</v>
          </cell>
          <cell r="AH197">
            <v>0</v>
          </cell>
          <cell r="AI197">
            <v>0</v>
          </cell>
          <cell r="AJ197">
            <v>3000</v>
          </cell>
          <cell r="AK197">
            <v>0</v>
          </cell>
          <cell r="AL197">
            <v>0</v>
          </cell>
          <cell r="AM197">
            <v>0</v>
          </cell>
          <cell r="AN197">
            <v>0</v>
          </cell>
          <cell r="AO197">
            <v>0</v>
          </cell>
          <cell r="AP197">
            <v>0</v>
          </cell>
          <cell r="AR197">
            <v>0</v>
          </cell>
          <cell r="AS197">
            <v>0</v>
          </cell>
          <cell r="AT197">
            <v>0</v>
          </cell>
        </row>
        <row r="198">
          <cell r="G198">
            <v>44738</v>
          </cell>
          <cell r="J198">
            <v>0</v>
          </cell>
          <cell r="K198">
            <v>0</v>
          </cell>
          <cell r="L198">
            <v>0</v>
          </cell>
          <cell r="M198">
            <v>0</v>
          </cell>
          <cell r="N198">
            <v>0</v>
          </cell>
          <cell r="O198">
            <v>0</v>
          </cell>
          <cell r="P198">
            <v>0</v>
          </cell>
          <cell r="Q198">
            <v>0</v>
          </cell>
          <cell r="R198">
            <v>1</v>
          </cell>
          <cell r="S198">
            <v>0</v>
          </cell>
          <cell r="T198">
            <v>0</v>
          </cell>
          <cell r="U198">
            <v>0</v>
          </cell>
          <cell r="V198">
            <v>0</v>
          </cell>
          <cell r="W198">
            <v>0</v>
          </cell>
          <cell r="X198">
            <v>0</v>
          </cell>
          <cell r="Y198">
            <v>0</v>
          </cell>
          <cell r="Z198">
            <v>0</v>
          </cell>
          <cell r="AA198">
            <v>0</v>
          </cell>
          <cell r="AB198">
            <v>0</v>
          </cell>
          <cell r="AC198">
            <v>0</v>
          </cell>
          <cell r="AD198">
            <v>0</v>
          </cell>
          <cell r="AE198">
            <v>0</v>
          </cell>
          <cell r="AF198">
            <v>0</v>
          </cell>
          <cell r="AG198">
            <v>0</v>
          </cell>
          <cell r="AH198">
            <v>0</v>
          </cell>
          <cell r="AI198">
            <v>0</v>
          </cell>
          <cell r="AJ198">
            <v>3000</v>
          </cell>
          <cell r="AK198">
            <v>0</v>
          </cell>
          <cell r="AL198">
            <v>0</v>
          </cell>
          <cell r="AM198">
            <v>0</v>
          </cell>
          <cell r="AN198">
            <v>0</v>
          </cell>
          <cell r="AO198">
            <v>0</v>
          </cell>
          <cell r="AP198">
            <v>0</v>
          </cell>
          <cell r="AR198">
            <v>0</v>
          </cell>
          <cell r="AS198">
            <v>0</v>
          </cell>
          <cell r="AT198">
            <v>0</v>
          </cell>
        </row>
        <row r="199">
          <cell r="G199">
            <v>44739</v>
          </cell>
          <cell r="J199">
            <v>0</v>
          </cell>
          <cell r="K199">
            <v>0</v>
          </cell>
          <cell r="L199">
            <v>0</v>
          </cell>
          <cell r="M199">
            <v>0</v>
          </cell>
          <cell r="N199">
            <v>0</v>
          </cell>
          <cell r="O199">
            <v>0</v>
          </cell>
          <cell r="P199">
            <v>0</v>
          </cell>
          <cell r="Q199">
            <v>0</v>
          </cell>
          <cell r="R199">
            <v>1</v>
          </cell>
          <cell r="S199">
            <v>0</v>
          </cell>
          <cell r="T199">
            <v>0</v>
          </cell>
          <cell r="U199">
            <v>0</v>
          </cell>
          <cell r="V199">
            <v>0</v>
          </cell>
          <cell r="W199">
            <v>0</v>
          </cell>
          <cell r="X199">
            <v>0</v>
          </cell>
          <cell r="Y199">
            <v>0</v>
          </cell>
          <cell r="Z199">
            <v>0</v>
          </cell>
          <cell r="AA199">
            <v>0</v>
          </cell>
          <cell r="AB199">
            <v>0</v>
          </cell>
          <cell r="AC199">
            <v>0</v>
          </cell>
          <cell r="AD199">
            <v>0</v>
          </cell>
          <cell r="AE199">
            <v>0</v>
          </cell>
          <cell r="AF199">
            <v>0</v>
          </cell>
          <cell r="AG199">
            <v>0</v>
          </cell>
          <cell r="AH199">
            <v>0</v>
          </cell>
          <cell r="AI199">
            <v>0</v>
          </cell>
          <cell r="AJ199">
            <v>3000</v>
          </cell>
          <cell r="AK199">
            <v>0</v>
          </cell>
          <cell r="AL199">
            <v>0</v>
          </cell>
          <cell r="AM199">
            <v>0</v>
          </cell>
          <cell r="AN199">
            <v>0</v>
          </cell>
          <cell r="AO199">
            <v>0</v>
          </cell>
          <cell r="AP199">
            <v>0</v>
          </cell>
          <cell r="AR199">
            <v>0</v>
          </cell>
          <cell r="AS199">
            <v>0</v>
          </cell>
          <cell r="AT199">
            <v>0</v>
          </cell>
        </row>
        <row r="200">
          <cell r="G200">
            <v>44740</v>
          </cell>
          <cell r="J200">
            <v>0</v>
          </cell>
          <cell r="K200">
            <v>0</v>
          </cell>
          <cell r="L200">
            <v>0</v>
          </cell>
          <cell r="M200">
            <v>0</v>
          </cell>
          <cell r="N200">
            <v>0</v>
          </cell>
          <cell r="O200">
            <v>0</v>
          </cell>
          <cell r="P200">
            <v>0</v>
          </cell>
          <cell r="Q200">
            <v>0</v>
          </cell>
          <cell r="R200">
            <v>1</v>
          </cell>
          <cell r="S200">
            <v>0</v>
          </cell>
          <cell r="T200">
            <v>0</v>
          </cell>
          <cell r="U200">
            <v>0</v>
          </cell>
          <cell r="V200">
            <v>0</v>
          </cell>
          <cell r="W200">
            <v>0</v>
          </cell>
          <cell r="X200">
            <v>0</v>
          </cell>
          <cell r="Y200">
            <v>0</v>
          </cell>
          <cell r="Z200">
            <v>0</v>
          </cell>
          <cell r="AA200">
            <v>0</v>
          </cell>
          <cell r="AB200">
            <v>0</v>
          </cell>
          <cell r="AC200">
            <v>0</v>
          </cell>
          <cell r="AD200">
            <v>0</v>
          </cell>
          <cell r="AE200">
            <v>0</v>
          </cell>
          <cell r="AF200">
            <v>0</v>
          </cell>
          <cell r="AG200">
            <v>0</v>
          </cell>
          <cell r="AH200">
            <v>0</v>
          </cell>
          <cell r="AI200">
            <v>0</v>
          </cell>
          <cell r="AJ200">
            <v>3000</v>
          </cell>
          <cell r="AK200">
            <v>0</v>
          </cell>
          <cell r="AL200">
            <v>0</v>
          </cell>
          <cell r="AM200">
            <v>0</v>
          </cell>
          <cell r="AN200">
            <v>0</v>
          </cell>
          <cell r="AO200">
            <v>0</v>
          </cell>
          <cell r="AP200">
            <v>0</v>
          </cell>
          <cell r="AR200">
            <v>0</v>
          </cell>
          <cell r="AS200">
            <v>0</v>
          </cell>
          <cell r="AT200">
            <v>0</v>
          </cell>
        </row>
        <row r="201">
          <cell r="G201">
            <v>44741</v>
          </cell>
          <cell r="J201">
            <v>0</v>
          </cell>
          <cell r="K201">
            <v>0</v>
          </cell>
          <cell r="L201">
            <v>0</v>
          </cell>
          <cell r="M201">
            <v>0</v>
          </cell>
          <cell r="N201">
            <v>0</v>
          </cell>
          <cell r="O201">
            <v>0</v>
          </cell>
          <cell r="P201">
            <v>0</v>
          </cell>
          <cell r="Q201">
            <v>0</v>
          </cell>
          <cell r="R201">
            <v>1</v>
          </cell>
          <cell r="S201">
            <v>0</v>
          </cell>
          <cell r="T201">
            <v>0</v>
          </cell>
          <cell r="U201">
            <v>0</v>
          </cell>
          <cell r="V201">
            <v>0</v>
          </cell>
          <cell r="W201">
            <v>0</v>
          </cell>
          <cell r="X201">
            <v>0</v>
          </cell>
          <cell r="Y201">
            <v>0</v>
          </cell>
          <cell r="Z201">
            <v>0</v>
          </cell>
          <cell r="AA201">
            <v>0</v>
          </cell>
          <cell r="AB201">
            <v>0</v>
          </cell>
          <cell r="AC201">
            <v>0</v>
          </cell>
          <cell r="AD201">
            <v>0</v>
          </cell>
          <cell r="AE201">
            <v>0</v>
          </cell>
          <cell r="AF201">
            <v>0</v>
          </cell>
          <cell r="AG201">
            <v>0</v>
          </cell>
          <cell r="AH201">
            <v>0</v>
          </cell>
          <cell r="AI201">
            <v>0</v>
          </cell>
          <cell r="AJ201">
            <v>3000</v>
          </cell>
          <cell r="AK201">
            <v>0</v>
          </cell>
          <cell r="AL201">
            <v>0</v>
          </cell>
          <cell r="AM201">
            <v>0</v>
          </cell>
          <cell r="AN201">
            <v>0</v>
          </cell>
          <cell r="AO201">
            <v>0</v>
          </cell>
          <cell r="AP201">
            <v>0</v>
          </cell>
          <cell r="AR201">
            <v>0</v>
          </cell>
          <cell r="AS201">
            <v>0</v>
          </cell>
          <cell r="AT201">
            <v>0</v>
          </cell>
        </row>
        <row r="202">
          <cell r="G202">
            <v>44742</v>
          </cell>
          <cell r="J202">
            <v>0</v>
          </cell>
          <cell r="K202">
            <v>0</v>
          </cell>
          <cell r="L202">
            <v>0</v>
          </cell>
          <cell r="M202">
            <v>0</v>
          </cell>
          <cell r="N202">
            <v>0</v>
          </cell>
          <cell r="O202">
            <v>0</v>
          </cell>
          <cell r="P202">
            <v>0</v>
          </cell>
          <cell r="Q202">
            <v>0</v>
          </cell>
          <cell r="R202">
            <v>1</v>
          </cell>
          <cell r="S202">
            <v>0</v>
          </cell>
          <cell r="T202">
            <v>0</v>
          </cell>
          <cell r="U202">
            <v>0</v>
          </cell>
          <cell r="V202">
            <v>0</v>
          </cell>
          <cell r="W202">
            <v>0</v>
          </cell>
          <cell r="X202">
            <v>0</v>
          </cell>
          <cell r="Y202">
            <v>0</v>
          </cell>
          <cell r="Z202">
            <v>0</v>
          </cell>
          <cell r="AA202">
            <v>0</v>
          </cell>
          <cell r="AB202">
            <v>0</v>
          </cell>
          <cell r="AC202">
            <v>0</v>
          </cell>
          <cell r="AD202">
            <v>0</v>
          </cell>
          <cell r="AE202">
            <v>0</v>
          </cell>
          <cell r="AF202">
            <v>0</v>
          </cell>
          <cell r="AG202">
            <v>0</v>
          </cell>
          <cell r="AH202">
            <v>0</v>
          </cell>
          <cell r="AI202">
            <v>0</v>
          </cell>
          <cell r="AJ202">
            <v>3000</v>
          </cell>
          <cell r="AK202">
            <v>0</v>
          </cell>
          <cell r="AL202">
            <v>0</v>
          </cell>
          <cell r="AM202">
            <v>0</v>
          </cell>
          <cell r="AN202">
            <v>0</v>
          </cell>
          <cell r="AO202">
            <v>0</v>
          </cell>
          <cell r="AP202">
            <v>0</v>
          </cell>
          <cell r="AR202">
            <v>0</v>
          </cell>
          <cell r="AS202">
            <v>0</v>
          </cell>
          <cell r="AT202">
            <v>0</v>
          </cell>
        </row>
        <row r="203">
          <cell r="G203">
            <v>44743</v>
          </cell>
          <cell r="J203">
            <v>0</v>
          </cell>
          <cell r="K203">
            <v>0</v>
          </cell>
          <cell r="L203">
            <v>0</v>
          </cell>
          <cell r="M203">
            <v>0</v>
          </cell>
          <cell r="N203">
            <v>0</v>
          </cell>
          <cell r="O203">
            <v>0</v>
          </cell>
          <cell r="P203">
            <v>0</v>
          </cell>
          <cell r="Q203">
            <v>0</v>
          </cell>
          <cell r="R203">
            <v>1</v>
          </cell>
          <cell r="S203">
            <v>0</v>
          </cell>
          <cell r="T203">
            <v>0</v>
          </cell>
          <cell r="U203">
            <v>0</v>
          </cell>
          <cell r="V203">
            <v>0</v>
          </cell>
          <cell r="W203">
            <v>0</v>
          </cell>
          <cell r="X203">
            <v>0</v>
          </cell>
          <cell r="Y203">
            <v>0</v>
          </cell>
          <cell r="Z203">
            <v>0</v>
          </cell>
          <cell r="AA203">
            <v>0</v>
          </cell>
          <cell r="AB203">
            <v>0</v>
          </cell>
          <cell r="AC203">
            <v>0</v>
          </cell>
          <cell r="AD203">
            <v>0</v>
          </cell>
          <cell r="AE203">
            <v>0</v>
          </cell>
          <cell r="AF203">
            <v>0</v>
          </cell>
          <cell r="AG203">
            <v>0</v>
          </cell>
          <cell r="AH203">
            <v>0</v>
          </cell>
          <cell r="AI203">
            <v>0</v>
          </cell>
          <cell r="AJ203">
            <v>3000</v>
          </cell>
          <cell r="AK203">
            <v>0</v>
          </cell>
          <cell r="AL203">
            <v>0</v>
          </cell>
          <cell r="AM203">
            <v>0</v>
          </cell>
          <cell r="AN203">
            <v>0</v>
          </cell>
          <cell r="AO203">
            <v>0</v>
          </cell>
          <cell r="AP203">
            <v>0</v>
          </cell>
          <cell r="AR203">
            <v>0</v>
          </cell>
          <cell r="AS203">
            <v>0</v>
          </cell>
          <cell r="AT203">
            <v>0</v>
          </cell>
        </row>
        <row r="204">
          <cell r="G204">
            <v>44744</v>
          </cell>
          <cell r="J204">
            <v>0</v>
          </cell>
          <cell r="K204">
            <v>0</v>
          </cell>
          <cell r="L204">
            <v>0</v>
          </cell>
          <cell r="M204">
            <v>0</v>
          </cell>
          <cell r="N204">
            <v>0</v>
          </cell>
          <cell r="O204">
            <v>0</v>
          </cell>
          <cell r="P204">
            <v>0</v>
          </cell>
          <cell r="Q204">
            <v>0</v>
          </cell>
          <cell r="R204">
            <v>1</v>
          </cell>
          <cell r="S204">
            <v>0</v>
          </cell>
          <cell r="T204">
            <v>0</v>
          </cell>
          <cell r="U204">
            <v>0</v>
          </cell>
          <cell r="V204">
            <v>0</v>
          </cell>
          <cell r="W204">
            <v>0</v>
          </cell>
          <cell r="X204">
            <v>0</v>
          </cell>
          <cell r="Y204">
            <v>0</v>
          </cell>
          <cell r="Z204">
            <v>0</v>
          </cell>
          <cell r="AA204">
            <v>0</v>
          </cell>
          <cell r="AB204">
            <v>0</v>
          </cell>
          <cell r="AC204">
            <v>0</v>
          </cell>
          <cell r="AD204">
            <v>0</v>
          </cell>
          <cell r="AE204">
            <v>0</v>
          </cell>
          <cell r="AF204">
            <v>0</v>
          </cell>
          <cell r="AG204">
            <v>0</v>
          </cell>
          <cell r="AH204">
            <v>0</v>
          </cell>
          <cell r="AI204">
            <v>0</v>
          </cell>
          <cell r="AJ204">
            <v>3000</v>
          </cell>
          <cell r="AK204">
            <v>0</v>
          </cell>
          <cell r="AL204">
            <v>0</v>
          </cell>
          <cell r="AM204">
            <v>0</v>
          </cell>
          <cell r="AN204">
            <v>0</v>
          </cell>
          <cell r="AO204">
            <v>0</v>
          </cell>
          <cell r="AP204">
            <v>0</v>
          </cell>
          <cell r="AR204">
            <v>0</v>
          </cell>
          <cell r="AS204">
            <v>0</v>
          </cell>
          <cell r="AT204">
            <v>0</v>
          </cell>
        </row>
        <row r="205">
          <cell r="G205">
            <v>44745</v>
          </cell>
          <cell r="J205">
            <v>0</v>
          </cell>
          <cell r="K205">
            <v>0</v>
          </cell>
          <cell r="L205">
            <v>0</v>
          </cell>
          <cell r="M205">
            <v>0</v>
          </cell>
          <cell r="N205">
            <v>0</v>
          </cell>
          <cell r="O205">
            <v>0</v>
          </cell>
          <cell r="P205">
            <v>0</v>
          </cell>
          <cell r="Q205">
            <v>0</v>
          </cell>
          <cell r="R205">
            <v>1</v>
          </cell>
          <cell r="S205">
            <v>0</v>
          </cell>
          <cell r="T205">
            <v>0</v>
          </cell>
          <cell r="U205">
            <v>0</v>
          </cell>
          <cell r="V205">
            <v>0</v>
          </cell>
          <cell r="W205">
            <v>0</v>
          </cell>
          <cell r="X205">
            <v>0</v>
          </cell>
          <cell r="Y205">
            <v>0</v>
          </cell>
          <cell r="Z205">
            <v>0</v>
          </cell>
          <cell r="AA205">
            <v>0</v>
          </cell>
          <cell r="AB205">
            <v>0</v>
          </cell>
          <cell r="AC205">
            <v>0</v>
          </cell>
          <cell r="AD205">
            <v>0</v>
          </cell>
          <cell r="AE205">
            <v>0</v>
          </cell>
          <cell r="AF205">
            <v>0</v>
          </cell>
          <cell r="AG205">
            <v>0</v>
          </cell>
          <cell r="AH205">
            <v>0</v>
          </cell>
          <cell r="AI205">
            <v>0</v>
          </cell>
          <cell r="AJ205">
            <v>3000</v>
          </cell>
          <cell r="AK205">
            <v>0</v>
          </cell>
          <cell r="AL205">
            <v>0</v>
          </cell>
          <cell r="AM205">
            <v>0</v>
          </cell>
          <cell r="AN205">
            <v>0</v>
          </cell>
          <cell r="AO205">
            <v>0</v>
          </cell>
          <cell r="AP205">
            <v>0</v>
          </cell>
          <cell r="AR205">
            <v>0</v>
          </cell>
          <cell r="AS205">
            <v>0</v>
          </cell>
          <cell r="AT205">
            <v>0</v>
          </cell>
        </row>
        <row r="206">
          <cell r="G206">
            <v>44746</v>
          </cell>
          <cell r="J206">
            <v>0</v>
          </cell>
          <cell r="K206">
            <v>0</v>
          </cell>
          <cell r="L206">
            <v>0</v>
          </cell>
          <cell r="M206">
            <v>0</v>
          </cell>
          <cell r="N206">
            <v>0</v>
          </cell>
          <cell r="O206">
            <v>0</v>
          </cell>
          <cell r="P206">
            <v>0</v>
          </cell>
          <cell r="Q206">
            <v>0</v>
          </cell>
          <cell r="R206">
            <v>1</v>
          </cell>
          <cell r="S206">
            <v>0</v>
          </cell>
          <cell r="T206">
            <v>0</v>
          </cell>
          <cell r="U206">
            <v>0</v>
          </cell>
          <cell r="V206">
            <v>0</v>
          </cell>
          <cell r="W206">
            <v>0</v>
          </cell>
          <cell r="X206">
            <v>0</v>
          </cell>
          <cell r="Y206">
            <v>0</v>
          </cell>
          <cell r="Z206">
            <v>0</v>
          </cell>
          <cell r="AA206">
            <v>0</v>
          </cell>
          <cell r="AB206">
            <v>0</v>
          </cell>
          <cell r="AC206">
            <v>0</v>
          </cell>
          <cell r="AD206">
            <v>0</v>
          </cell>
          <cell r="AE206">
            <v>0</v>
          </cell>
          <cell r="AF206">
            <v>0</v>
          </cell>
          <cell r="AG206">
            <v>0</v>
          </cell>
          <cell r="AH206">
            <v>0</v>
          </cell>
          <cell r="AI206">
            <v>0</v>
          </cell>
          <cell r="AJ206">
            <v>3000</v>
          </cell>
          <cell r="AK206">
            <v>0</v>
          </cell>
          <cell r="AL206">
            <v>0</v>
          </cell>
          <cell r="AM206">
            <v>0</v>
          </cell>
          <cell r="AN206">
            <v>0</v>
          </cell>
          <cell r="AO206">
            <v>0</v>
          </cell>
          <cell r="AP206">
            <v>0</v>
          </cell>
          <cell r="AR206">
            <v>0</v>
          </cell>
          <cell r="AS206">
            <v>0</v>
          </cell>
          <cell r="AT206">
            <v>0</v>
          </cell>
        </row>
        <row r="207">
          <cell r="G207">
            <v>44747</v>
          </cell>
          <cell r="J207">
            <v>0</v>
          </cell>
          <cell r="K207">
            <v>0</v>
          </cell>
          <cell r="L207">
            <v>0</v>
          </cell>
          <cell r="M207">
            <v>0</v>
          </cell>
          <cell r="N207">
            <v>0</v>
          </cell>
          <cell r="O207">
            <v>0</v>
          </cell>
          <cell r="P207">
            <v>0</v>
          </cell>
          <cell r="Q207">
            <v>0</v>
          </cell>
          <cell r="R207">
            <v>1</v>
          </cell>
          <cell r="S207">
            <v>0</v>
          </cell>
          <cell r="T207">
            <v>0</v>
          </cell>
          <cell r="U207">
            <v>0</v>
          </cell>
          <cell r="V207">
            <v>0</v>
          </cell>
          <cell r="W207">
            <v>0</v>
          </cell>
          <cell r="X207">
            <v>0</v>
          </cell>
          <cell r="Y207">
            <v>0</v>
          </cell>
          <cell r="Z207">
            <v>0</v>
          </cell>
          <cell r="AA207">
            <v>0</v>
          </cell>
          <cell r="AB207">
            <v>0</v>
          </cell>
          <cell r="AC207">
            <v>0</v>
          </cell>
          <cell r="AD207">
            <v>0</v>
          </cell>
          <cell r="AE207">
            <v>0</v>
          </cell>
          <cell r="AF207">
            <v>0</v>
          </cell>
          <cell r="AG207">
            <v>0</v>
          </cell>
          <cell r="AH207">
            <v>0</v>
          </cell>
          <cell r="AI207">
            <v>0</v>
          </cell>
          <cell r="AJ207">
            <v>3000</v>
          </cell>
          <cell r="AK207">
            <v>0</v>
          </cell>
          <cell r="AL207">
            <v>0</v>
          </cell>
          <cell r="AM207">
            <v>0</v>
          </cell>
          <cell r="AN207">
            <v>0</v>
          </cell>
          <cell r="AO207">
            <v>0</v>
          </cell>
          <cell r="AP207">
            <v>0</v>
          </cell>
          <cell r="AR207">
            <v>0</v>
          </cell>
          <cell r="AS207">
            <v>0</v>
          </cell>
          <cell r="AT207">
            <v>0</v>
          </cell>
        </row>
        <row r="208">
          <cell r="G208">
            <v>44748</v>
          </cell>
          <cell r="J208">
            <v>0</v>
          </cell>
          <cell r="K208">
            <v>0</v>
          </cell>
          <cell r="L208">
            <v>0</v>
          </cell>
          <cell r="M208">
            <v>0</v>
          </cell>
          <cell r="N208">
            <v>0</v>
          </cell>
          <cell r="O208">
            <v>0</v>
          </cell>
          <cell r="P208">
            <v>0</v>
          </cell>
          <cell r="Q208">
            <v>0</v>
          </cell>
          <cell r="R208">
            <v>1</v>
          </cell>
          <cell r="S208">
            <v>0</v>
          </cell>
          <cell r="T208">
            <v>0</v>
          </cell>
          <cell r="U208">
            <v>0</v>
          </cell>
          <cell r="V208">
            <v>0</v>
          </cell>
          <cell r="W208">
            <v>0</v>
          </cell>
          <cell r="X208">
            <v>0</v>
          </cell>
          <cell r="Y208">
            <v>0</v>
          </cell>
          <cell r="Z208">
            <v>0</v>
          </cell>
          <cell r="AA208">
            <v>0</v>
          </cell>
          <cell r="AB208">
            <v>0</v>
          </cell>
          <cell r="AC208">
            <v>0</v>
          </cell>
          <cell r="AD208">
            <v>0</v>
          </cell>
          <cell r="AE208">
            <v>0</v>
          </cell>
          <cell r="AF208">
            <v>0</v>
          </cell>
          <cell r="AG208">
            <v>0</v>
          </cell>
          <cell r="AH208">
            <v>0</v>
          </cell>
          <cell r="AI208">
            <v>0</v>
          </cell>
          <cell r="AJ208">
            <v>3000</v>
          </cell>
          <cell r="AK208">
            <v>0</v>
          </cell>
          <cell r="AL208">
            <v>0</v>
          </cell>
          <cell r="AM208">
            <v>0</v>
          </cell>
          <cell r="AN208">
            <v>0</v>
          </cell>
          <cell r="AO208">
            <v>0</v>
          </cell>
          <cell r="AP208">
            <v>0</v>
          </cell>
          <cell r="AR208">
            <v>0</v>
          </cell>
          <cell r="AS208">
            <v>0</v>
          </cell>
          <cell r="AT208">
            <v>0</v>
          </cell>
        </row>
        <row r="209">
          <cell r="G209">
            <v>44749</v>
          </cell>
          <cell r="J209">
            <v>0</v>
          </cell>
          <cell r="K209">
            <v>0</v>
          </cell>
          <cell r="L209">
            <v>0</v>
          </cell>
          <cell r="M209">
            <v>0</v>
          </cell>
          <cell r="N209">
            <v>0</v>
          </cell>
          <cell r="O209">
            <v>0</v>
          </cell>
          <cell r="P209">
            <v>0</v>
          </cell>
          <cell r="Q209">
            <v>0</v>
          </cell>
          <cell r="R209">
            <v>1</v>
          </cell>
          <cell r="S209">
            <v>0</v>
          </cell>
          <cell r="T209">
            <v>0</v>
          </cell>
          <cell r="U209">
            <v>0</v>
          </cell>
          <cell r="V209">
            <v>0</v>
          </cell>
          <cell r="W209">
            <v>0</v>
          </cell>
          <cell r="X209">
            <v>0</v>
          </cell>
          <cell r="Y209">
            <v>0</v>
          </cell>
          <cell r="Z209">
            <v>0</v>
          </cell>
          <cell r="AA209">
            <v>0</v>
          </cell>
          <cell r="AB209">
            <v>0</v>
          </cell>
          <cell r="AC209">
            <v>0</v>
          </cell>
          <cell r="AD209">
            <v>0</v>
          </cell>
          <cell r="AE209">
            <v>0</v>
          </cell>
          <cell r="AF209">
            <v>0</v>
          </cell>
          <cell r="AG209">
            <v>0</v>
          </cell>
          <cell r="AH209">
            <v>0</v>
          </cell>
          <cell r="AI209">
            <v>0</v>
          </cell>
          <cell r="AJ209">
            <v>3000</v>
          </cell>
          <cell r="AK209">
            <v>0</v>
          </cell>
          <cell r="AL209">
            <v>0</v>
          </cell>
          <cell r="AM209">
            <v>0</v>
          </cell>
          <cell r="AN209">
            <v>0</v>
          </cell>
          <cell r="AO209">
            <v>0</v>
          </cell>
          <cell r="AP209">
            <v>0</v>
          </cell>
          <cell r="AR209">
            <v>0</v>
          </cell>
          <cell r="AS209">
            <v>0</v>
          </cell>
          <cell r="AT209">
            <v>0</v>
          </cell>
        </row>
        <row r="210">
          <cell r="G210">
            <v>44750</v>
          </cell>
          <cell r="J210">
            <v>0</v>
          </cell>
          <cell r="K210">
            <v>0</v>
          </cell>
          <cell r="L210">
            <v>0</v>
          </cell>
          <cell r="M210">
            <v>0</v>
          </cell>
          <cell r="N210">
            <v>0</v>
          </cell>
          <cell r="O210">
            <v>0</v>
          </cell>
          <cell r="P210">
            <v>0</v>
          </cell>
          <cell r="Q210">
            <v>0</v>
          </cell>
          <cell r="R210">
            <v>1</v>
          </cell>
          <cell r="S210">
            <v>0</v>
          </cell>
          <cell r="T210">
            <v>0</v>
          </cell>
          <cell r="U210">
            <v>0</v>
          </cell>
          <cell r="V210">
            <v>0</v>
          </cell>
          <cell r="W210">
            <v>0</v>
          </cell>
          <cell r="X210">
            <v>0</v>
          </cell>
          <cell r="Y210">
            <v>0</v>
          </cell>
          <cell r="Z210">
            <v>0</v>
          </cell>
          <cell r="AA210">
            <v>0</v>
          </cell>
          <cell r="AB210">
            <v>0</v>
          </cell>
          <cell r="AC210">
            <v>0</v>
          </cell>
          <cell r="AD210">
            <v>0</v>
          </cell>
          <cell r="AE210">
            <v>0</v>
          </cell>
          <cell r="AF210">
            <v>0</v>
          </cell>
          <cell r="AG210">
            <v>0</v>
          </cell>
          <cell r="AH210">
            <v>0</v>
          </cell>
          <cell r="AI210">
            <v>0</v>
          </cell>
          <cell r="AJ210">
            <v>3000</v>
          </cell>
          <cell r="AK210">
            <v>0</v>
          </cell>
          <cell r="AL210">
            <v>0</v>
          </cell>
          <cell r="AM210">
            <v>0</v>
          </cell>
          <cell r="AN210">
            <v>0</v>
          </cell>
          <cell r="AO210">
            <v>0</v>
          </cell>
          <cell r="AP210">
            <v>0</v>
          </cell>
          <cell r="AR210">
            <v>0</v>
          </cell>
          <cell r="AS210">
            <v>0</v>
          </cell>
          <cell r="AT210">
            <v>0</v>
          </cell>
        </row>
        <row r="211">
          <cell r="G211">
            <v>44751</v>
          </cell>
          <cell r="J211">
            <v>0</v>
          </cell>
          <cell r="K211">
            <v>0</v>
          </cell>
          <cell r="L211">
            <v>0</v>
          </cell>
          <cell r="M211">
            <v>0</v>
          </cell>
          <cell r="N211">
            <v>0</v>
          </cell>
          <cell r="O211">
            <v>0</v>
          </cell>
          <cell r="P211">
            <v>0</v>
          </cell>
          <cell r="Q211">
            <v>0</v>
          </cell>
          <cell r="R211">
            <v>1</v>
          </cell>
          <cell r="S211">
            <v>0</v>
          </cell>
          <cell r="T211">
            <v>0</v>
          </cell>
          <cell r="U211">
            <v>0</v>
          </cell>
          <cell r="V211">
            <v>0</v>
          </cell>
          <cell r="W211">
            <v>0</v>
          </cell>
          <cell r="X211">
            <v>0</v>
          </cell>
          <cell r="Y211">
            <v>0</v>
          </cell>
          <cell r="Z211">
            <v>0</v>
          </cell>
          <cell r="AA211">
            <v>0</v>
          </cell>
          <cell r="AB211">
            <v>0</v>
          </cell>
          <cell r="AC211">
            <v>0</v>
          </cell>
          <cell r="AD211">
            <v>0</v>
          </cell>
          <cell r="AE211">
            <v>0</v>
          </cell>
          <cell r="AF211">
            <v>0</v>
          </cell>
          <cell r="AG211">
            <v>0</v>
          </cell>
          <cell r="AH211">
            <v>0</v>
          </cell>
          <cell r="AI211">
            <v>0</v>
          </cell>
          <cell r="AJ211">
            <v>3000</v>
          </cell>
          <cell r="AK211">
            <v>0</v>
          </cell>
          <cell r="AL211">
            <v>0</v>
          </cell>
          <cell r="AM211">
            <v>0</v>
          </cell>
          <cell r="AN211">
            <v>0</v>
          </cell>
          <cell r="AO211">
            <v>0</v>
          </cell>
          <cell r="AP211">
            <v>0</v>
          </cell>
          <cell r="AR211">
            <v>0</v>
          </cell>
          <cell r="AS211">
            <v>0</v>
          </cell>
          <cell r="AT211">
            <v>0</v>
          </cell>
        </row>
        <row r="212">
          <cell r="G212">
            <v>44752</v>
          </cell>
          <cell r="J212">
            <v>0</v>
          </cell>
          <cell r="K212">
            <v>0</v>
          </cell>
          <cell r="L212">
            <v>0</v>
          </cell>
          <cell r="M212">
            <v>0</v>
          </cell>
          <cell r="N212">
            <v>0</v>
          </cell>
          <cell r="O212">
            <v>0</v>
          </cell>
          <cell r="P212">
            <v>0</v>
          </cell>
          <cell r="Q212">
            <v>0</v>
          </cell>
          <cell r="R212">
            <v>0</v>
          </cell>
          <cell r="S212">
            <v>0</v>
          </cell>
          <cell r="T212">
            <v>0</v>
          </cell>
          <cell r="U212">
            <v>0</v>
          </cell>
          <cell r="V212">
            <v>0</v>
          </cell>
          <cell r="W212">
            <v>0</v>
          </cell>
          <cell r="X212">
            <v>0</v>
          </cell>
          <cell r="Y212">
            <v>0</v>
          </cell>
          <cell r="Z212">
            <v>0</v>
          </cell>
          <cell r="AA212">
            <v>0</v>
          </cell>
          <cell r="AB212">
            <v>0</v>
          </cell>
          <cell r="AC212">
            <v>0</v>
          </cell>
          <cell r="AD212">
            <v>0</v>
          </cell>
          <cell r="AE212">
            <v>0</v>
          </cell>
          <cell r="AF212">
            <v>0</v>
          </cell>
          <cell r="AG212">
            <v>0</v>
          </cell>
          <cell r="AH212">
            <v>0</v>
          </cell>
          <cell r="AI212">
            <v>0</v>
          </cell>
          <cell r="AJ212">
            <v>0</v>
          </cell>
          <cell r="AK212">
            <v>0</v>
          </cell>
          <cell r="AL212">
            <v>0</v>
          </cell>
          <cell r="AM212">
            <v>0</v>
          </cell>
          <cell r="AN212">
            <v>0</v>
          </cell>
          <cell r="AO212">
            <v>0</v>
          </cell>
          <cell r="AP212">
            <v>0</v>
          </cell>
          <cell r="AR212">
            <v>0</v>
          </cell>
          <cell r="AS212">
            <v>0</v>
          </cell>
          <cell r="AT212">
            <v>0</v>
          </cell>
        </row>
        <row r="213">
          <cell r="G213">
            <v>44753</v>
          </cell>
          <cell r="J213">
            <v>0</v>
          </cell>
          <cell r="K213">
            <v>0</v>
          </cell>
          <cell r="L213">
            <v>0</v>
          </cell>
          <cell r="M213">
            <v>0</v>
          </cell>
          <cell r="N213">
            <v>0</v>
          </cell>
          <cell r="O213">
            <v>0</v>
          </cell>
          <cell r="P213">
            <v>0</v>
          </cell>
          <cell r="Q213">
            <v>0</v>
          </cell>
          <cell r="R213">
            <v>0</v>
          </cell>
          <cell r="S213">
            <v>0</v>
          </cell>
          <cell r="T213">
            <v>0</v>
          </cell>
          <cell r="U213">
            <v>0</v>
          </cell>
          <cell r="V213">
            <v>0</v>
          </cell>
          <cell r="W213">
            <v>0</v>
          </cell>
          <cell r="X213">
            <v>0</v>
          </cell>
          <cell r="Y213">
            <v>0</v>
          </cell>
          <cell r="Z213">
            <v>0</v>
          </cell>
          <cell r="AA213">
            <v>0</v>
          </cell>
          <cell r="AB213">
            <v>0</v>
          </cell>
          <cell r="AC213">
            <v>0</v>
          </cell>
          <cell r="AD213">
            <v>0</v>
          </cell>
          <cell r="AE213">
            <v>0</v>
          </cell>
          <cell r="AF213">
            <v>0</v>
          </cell>
          <cell r="AG213">
            <v>0</v>
          </cell>
          <cell r="AH213">
            <v>0</v>
          </cell>
          <cell r="AI213">
            <v>0</v>
          </cell>
          <cell r="AJ213">
            <v>0</v>
          </cell>
          <cell r="AK213">
            <v>0</v>
          </cell>
          <cell r="AL213">
            <v>0</v>
          </cell>
          <cell r="AM213">
            <v>0</v>
          </cell>
          <cell r="AN213">
            <v>0</v>
          </cell>
          <cell r="AO213">
            <v>0</v>
          </cell>
          <cell r="AP213">
            <v>0</v>
          </cell>
          <cell r="AR213">
            <v>0</v>
          </cell>
          <cell r="AS213">
            <v>0</v>
          </cell>
          <cell r="AT213">
            <v>0</v>
          </cell>
        </row>
        <row r="214">
          <cell r="G214">
            <v>44754</v>
          </cell>
          <cell r="J214">
            <v>0</v>
          </cell>
          <cell r="K214">
            <v>0</v>
          </cell>
          <cell r="L214">
            <v>0</v>
          </cell>
          <cell r="M214">
            <v>0</v>
          </cell>
          <cell r="N214">
            <v>0</v>
          </cell>
          <cell r="O214">
            <v>0</v>
          </cell>
          <cell r="P214">
            <v>0</v>
          </cell>
          <cell r="Q214">
            <v>0</v>
          </cell>
          <cell r="R214">
            <v>0</v>
          </cell>
          <cell r="S214">
            <v>0</v>
          </cell>
          <cell r="T214">
            <v>0</v>
          </cell>
          <cell r="U214">
            <v>0</v>
          </cell>
          <cell r="V214">
            <v>0</v>
          </cell>
          <cell r="W214">
            <v>0</v>
          </cell>
          <cell r="X214">
            <v>0</v>
          </cell>
          <cell r="Y214">
            <v>0</v>
          </cell>
          <cell r="Z214">
            <v>0</v>
          </cell>
          <cell r="AA214">
            <v>0</v>
          </cell>
          <cell r="AB214">
            <v>0</v>
          </cell>
          <cell r="AC214">
            <v>0</v>
          </cell>
          <cell r="AD214">
            <v>0</v>
          </cell>
          <cell r="AE214">
            <v>0</v>
          </cell>
          <cell r="AF214">
            <v>0</v>
          </cell>
          <cell r="AG214">
            <v>0</v>
          </cell>
          <cell r="AH214">
            <v>0</v>
          </cell>
          <cell r="AI214">
            <v>0</v>
          </cell>
          <cell r="AJ214">
            <v>0</v>
          </cell>
          <cell r="AK214">
            <v>0</v>
          </cell>
          <cell r="AL214">
            <v>0</v>
          </cell>
          <cell r="AM214">
            <v>0</v>
          </cell>
          <cell r="AN214">
            <v>0</v>
          </cell>
          <cell r="AO214">
            <v>0</v>
          </cell>
          <cell r="AP214">
            <v>0</v>
          </cell>
          <cell r="AR214">
            <v>0</v>
          </cell>
          <cell r="AS214">
            <v>0</v>
          </cell>
          <cell r="AT214">
            <v>0</v>
          </cell>
        </row>
        <row r="215">
          <cell r="G215">
            <v>44755</v>
          </cell>
          <cell r="J215">
            <v>0</v>
          </cell>
          <cell r="K215">
            <v>0</v>
          </cell>
          <cell r="L215">
            <v>0</v>
          </cell>
          <cell r="M215">
            <v>0</v>
          </cell>
          <cell r="N215">
            <v>0</v>
          </cell>
          <cell r="O215">
            <v>0</v>
          </cell>
          <cell r="P215">
            <v>0</v>
          </cell>
          <cell r="Q215">
            <v>0</v>
          </cell>
          <cell r="R215">
            <v>0</v>
          </cell>
          <cell r="S215">
            <v>0</v>
          </cell>
          <cell r="T215">
            <v>0</v>
          </cell>
          <cell r="U215">
            <v>0</v>
          </cell>
          <cell r="V215">
            <v>0</v>
          </cell>
          <cell r="W215">
            <v>0</v>
          </cell>
          <cell r="X215">
            <v>0</v>
          </cell>
          <cell r="Y215">
            <v>0</v>
          </cell>
          <cell r="Z215">
            <v>0</v>
          </cell>
          <cell r="AA215">
            <v>0</v>
          </cell>
          <cell r="AB215">
            <v>0</v>
          </cell>
          <cell r="AC215">
            <v>0</v>
          </cell>
          <cell r="AD215">
            <v>0</v>
          </cell>
          <cell r="AE215">
            <v>0</v>
          </cell>
          <cell r="AF215">
            <v>0</v>
          </cell>
          <cell r="AG215">
            <v>0</v>
          </cell>
          <cell r="AH215">
            <v>0</v>
          </cell>
          <cell r="AI215">
            <v>0</v>
          </cell>
          <cell r="AJ215">
            <v>0</v>
          </cell>
          <cell r="AK215">
            <v>0</v>
          </cell>
          <cell r="AL215">
            <v>0</v>
          </cell>
          <cell r="AM215">
            <v>0</v>
          </cell>
          <cell r="AN215">
            <v>0</v>
          </cell>
          <cell r="AO215">
            <v>0</v>
          </cell>
          <cell r="AP215">
            <v>0</v>
          </cell>
          <cell r="AR215">
            <v>0</v>
          </cell>
          <cell r="AS215">
            <v>0</v>
          </cell>
          <cell r="AT215">
            <v>0</v>
          </cell>
        </row>
        <row r="216">
          <cell r="G216">
            <v>44756</v>
          </cell>
          <cell r="J216">
            <v>0</v>
          </cell>
          <cell r="K216">
            <v>0</v>
          </cell>
          <cell r="L216">
            <v>0</v>
          </cell>
          <cell r="M216">
            <v>0</v>
          </cell>
          <cell r="N216">
            <v>0</v>
          </cell>
          <cell r="O216">
            <v>0</v>
          </cell>
          <cell r="P216">
            <v>0</v>
          </cell>
          <cell r="Q216">
            <v>0</v>
          </cell>
          <cell r="R216">
            <v>0</v>
          </cell>
          <cell r="S216">
            <v>0</v>
          </cell>
          <cell r="T216">
            <v>0</v>
          </cell>
          <cell r="U216">
            <v>0</v>
          </cell>
          <cell r="V216">
            <v>0</v>
          </cell>
          <cell r="W216">
            <v>0</v>
          </cell>
          <cell r="X216">
            <v>0</v>
          </cell>
          <cell r="Y216">
            <v>0</v>
          </cell>
          <cell r="Z216">
            <v>0</v>
          </cell>
          <cell r="AA216">
            <v>0</v>
          </cell>
          <cell r="AB216">
            <v>0</v>
          </cell>
          <cell r="AC216">
            <v>0</v>
          </cell>
          <cell r="AD216">
            <v>0</v>
          </cell>
          <cell r="AE216">
            <v>0</v>
          </cell>
          <cell r="AF216">
            <v>0</v>
          </cell>
          <cell r="AG216">
            <v>0</v>
          </cell>
          <cell r="AH216">
            <v>0</v>
          </cell>
          <cell r="AI216">
            <v>0</v>
          </cell>
          <cell r="AJ216">
            <v>0</v>
          </cell>
          <cell r="AK216">
            <v>0</v>
          </cell>
          <cell r="AL216">
            <v>0</v>
          </cell>
          <cell r="AM216">
            <v>0</v>
          </cell>
          <cell r="AN216">
            <v>0</v>
          </cell>
          <cell r="AO216">
            <v>0</v>
          </cell>
          <cell r="AP216">
            <v>0</v>
          </cell>
          <cell r="AR216">
            <v>0</v>
          </cell>
          <cell r="AS216">
            <v>0</v>
          </cell>
          <cell r="AT216">
            <v>0</v>
          </cell>
        </row>
        <row r="217">
          <cell r="G217">
            <v>44757</v>
          </cell>
          <cell r="J217">
            <v>0</v>
          </cell>
          <cell r="K217">
            <v>0</v>
          </cell>
          <cell r="L217">
            <v>0</v>
          </cell>
          <cell r="M217">
            <v>0</v>
          </cell>
          <cell r="N217">
            <v>0</v>
          </cell>
          <cell r="O217">
            <v>0</v>
          </cell>
          <cell r="P217">
            <v>0</v>
          </cell>
          <cell r="Q217">
            <v>0</v>
          </cell>
          <cell r="R217">
            <v>0</v>
          </cell>
          <cell r="S217">
            <v>0</v>
          </cell>
          <cell r="T217">
            <v>0</v>
          </cell>
          <cell r="U217">
            <v>0</v>
          </cell>
          <cell r="V217">
            <v>0</v>
          </cell>
          <cell r="W217">
            <v>0</v>
          </cell>
          <cell r="X217">
            <v>0</v>
          </cell>
          <cell r="Y217">
            <v>0</v>
          </cell>
          <cell r="Z217">
            <v>0</v>
          </cell>
          <cell r="AA217">
            <v>0</v>
          </cell>
          <cell r="AB217">
            <v>0</v>
          </cell>
          <cell r="AC217">
            <v>0</v>
          </cell>
          <cell r="AD217">
            <v>0</v>
          </cell>
          <cell r="AE217">
            <v>0</v>
          </cell>
          <cell r="AF217">
            <v>0</v>
          </cell>
          <cell r="AG217">
            <v>0</v>
          </cell>
          <cell r="AH217">
            <v>0</v>
          </cell>
          <cell r="AI217">
            <v>0</v>
          </cell>
          <cell r="AJ217">
            <v>0</v>
          </cell>
          <cell r="AK217">
            <v>0</v>
          </cell>
          <cell r="AL217">
            <v>0</v>
          </cell>
          <cell r="AM217">
            <v>0</v>
          </cell>
          <cell r="AN217">
            <v>0</v>
          </cell>
          <cell r="AO217">
            <v>0</v>
          </cell>
          <cell r="AP217">
            <v>0</v>
          </cell>
          <cell r="AR217">
            <v>0</v>
          </cell>
          <cell r="AS217">
            <v>0</v>
          </cell>
          <cell r="AT217">
            <v>0</v>
          </cell>
        </row>
        <row r="218">
          <cell r="G218">
            <v>44758</v>
          </cell>
          <cell r="J218">
            <v>0</v>
          </cell>
          <cell r="K218">
            <v>0</v>
          </cell>
          <cell r="L218">
            <v>0</v>
          </cell>
          <cell r="M218">
            <v>0</v>
          </cell>
          <cell r="N218">
            <v>0</v>
          </cell>
          <cell r="O218">
            <v>0</v>
          </cell>
          <cell r="P218">
            <v>0</v>
          </cell>
          <cell r="Q218">
            <v>0</v>
          </cell>
          <cell r="R218">
            <v>0</v>
          </cell>
          <cell r="S218">
            <v>0</v>
          </cell>
          <cell r="T218">
            <v>0</v>
          </cell>
          <cell r="U218">
            <v>0</v>
          </cell>
          <cell r="V218">
            <v>0</v>
          </cell>
          <cell r="W218">
            <v>0</v>
          </cell>
          <cell r="X218">
            <v>0</v>
          </cell>
          <cell r="Y218">
            <v>0</v>
          </cell>
          <cell r="Z218">
            <v>0</v>
          </cell>
          <cell r="AA218">
            <v>0</v>
          </cell>
          <cell r="AB218">
            <v>0</v>
          </cell>
          <cell r="AC218">
            <v>0</v>
          </cell>
          <cell r="AD218">
            <v>0</v>
          </cell>
          <cell r="AE218">
            <v>0</v>
          </cell>
          <cell r="AF218">
            <v>0</v>
          </cell>
          <cell r="AG218">
            <v>0</v>
          </cell>
          <cell r="AH218">
            <v>0</v>
          </cell>
          <cell r="AI218">
            <v>0</v>
          </cell>
          <cell r="AJ218">
            <v>0</v>
          </cell>
          <cell r="AK218">
            <v>0</v>
          </cell>
          <cell r="AL218">
            <v>0</v>
          </cell>
          <cell r="AM218">
            <v>0</v>
          </cell>
          <cell r="AN218">
            <v>0</v>
          </cell>
          <cell r="AO218">
            <v>0</v>
          </cell>
          <cell r="AP218">
            <v>0</v>
          </cell>
          <cell r="AR218">
            <v>0</v>
          </cell>
          <cell r="AS218">
            <v>0</v>
          </cell>
          <cell r="AT218">
            <v>0</v>
          </cell>
        </row>
        <row r="219">
          <cell r="G219">
            <v>44759</v>
          </cell>
          <cell r="J219">
            <v>0</v>
          </cell>
          <cell r="K219">
            <v>0</v>
          </cell>
          <cell r="L219">
            <v>0</v>
          </cell>
          <cell r="M219">
            <v>0</v>
          </cell>
          <cell r="N219">
            <v>0</v>
          </cell>
          <cell r="O219">
            <v>0</v>
          </cell>
          <cell r="P219">
            <v>0</v>
          </cell>
          <cell r="Q219">
            <v>0</v>
          </cell>
          <cell r="R219">
            <v>0</v>
          </cell>
          <cell r="S219">
            <v>0</v>
          </cell>
          <cell r="T219">
            <v>0</v>
          </cell>
          <cell r="U219">
            <v>0</v>
          </cell>
          <cell r="V219">
            <v>0</v>
          </cell>
          <cell r="W219">
            <v>0</v>
          </cell>
          <cell r="X219">
            <v>0</v>
          </cell>
          <cell r="Y219">
            <v>0</v>
          </cell>
          <cell r="Z219">
            <v>0</v>
          </cell>
          <cell r="AA219">
            <v>0</v>
          </cell>
          <cell r="AB219">
            <v>0</v>
          </cell>
          <cell r="AC219">
            <v>0</v>
          </cell>
          <cell r="AD219">
            <v>0</v>
          </cell>
          <cell r="AE219">
            <v>0</v>
          </cell>
          <cell r="AF219">
            <v>0</v>
          </cell>
          <cell r="AG219">
            <v>0</v>
          </cell>
          <cell r="AH219">
            <v>0</v>
          </cell>
          <cell r="AI219">
            <v>0</v>
          </cell>
          <cell r="AJ219">
            <v>0</v>
          </cell>
          <cell r="AK219">
            <v>0</v>
          </cell>
          <cell r="AL219">
            <v>0</v>
          </cell>
          <cell r="AM219">
            <v>0</v>
          </cell>
          <cell r="AN219">
            <v>0</v>
          </cell>
          <cell r="AO219">
            <v>0</v>
          </cell>
          <cell r="AP219">
            <v>0</v>
          </cell>
          <cell r="AR219">
            <v>0</v>
          </cell>
          <cell r="AS219">
            <v>0</v>
          </cell>
          <cell r="AT219">
            <v>0</v>
          </cell>
        </row>
        <row r="220">
          <cell r="G220">
            <v>44760</v>
          </cell>
          <cell r="J220">
            <v>0</v>
          </cell>
          <cell r="K220">
            <v>0</v>
          </cell>
          <cell r="L220">
            <v>0</v>
          </cell>
          <cell r="M220">
            <v>0</v>
          </cell>
          <cell r="N220">
            <v>0</v>
          </cell>
          <cell r="O220">
            <v>0</v>
          </cell>
          <cell r="P220">
            <v>0</v>
          </cell>
          <cell r="Q220">
            <v>0</v>
          </cell>
          <cell r="R220">
            <v>0</v>
          </cell>
          <cell r="S220">
            <v>0</v>
          </cell>
          <cell r="T220">
            <v>0</v>
          </cell>
          <cell r="U220">
            <v>0</v>
          </cell>
          <cell r="V220">
            <v>0</v>
          </cell>
          <cell r="W220">
            <v>0</v>
          </cell>
          <cell r="X220">
            <v>0</v>
          </cell>
          <cell r="Y220">
            <v>0</v>
          </cell>
          <cell r="Z220">
            <v>0</v>
          </cell>
          <cell r="AA220">
            <v>0</v>
          </cell>
          <cell r="AB220">
            <v>0</v>
          </cell>
          <cell r="AC220">
            <v>0</v>
          </cell>
          <cell r="AD220">
            <v>0</v>
          </cell>
          <cell r="AE220">
            <v>0</v>
          </cell>
          <cell r="AF220">
            <v>0</v>
          </cell>
          <cell r="AG220">
            <v>0</v>
          </cell>
          <cell r="AH220">
            <v>0</v>
          </cell>
          <cell r="AI220">
            <v>0</v>
          </cell>
          <cell r="AJ220">
            <v>0</v>
          </cell>
          <cell r="AK220">
            <v>0</v>
          </cell>
          <cell r="AL220">
            <v>0</v>
          </cell>
          <cell r="AM220">
            <v>0</v>
          </cell>
          <cell r="AN220">
            <v>0</v>
          </cell>
          <cell r="AO220">
            <v>0</v>
          </cell>
          <cell r="AP220">
            <v>0</v>
          </cell>
          <cell r="AR220">
            <v>0</v>
          </cell>
          <cell r="AS220">
            <v>0</v>
          </cell>
          <cell r="AT220">
            <v>0</v>
          </cell>
        </row>
        <row r="221">
          <cell r="G221">
            <v>44761</v>
          </cell>
          <cell r="J221">
            <v>0</v>
          </cell>
          <cell r="K221">
            <v>0</v>
          </cell>
          <cell r="L221">
            <v>0</v>
          </cell>
          <cell r="M221">
            <v>0</v>
          </cell>
          <cell r="N221">
            <v>0</v>
          </cell>
          <cell r="O221">
            <v>0</v>
          </cell>
          <cell r="P221">
            <v>0</v>
          </cell>
          <cell r="Q221">
            <v>0</v>
          </cell>
          <cell r="R221">
            <v>0</v>
          </cell>
          <cell r="S221">
            <v>0</v>
          </cell>
          <cell r="T221">
            <v>0</v>
          </cell>
          <cell r="U221">
            <v>0</v>
          </cell>
          <cell r="V221">
            <v>0</v>
          </cell>
          <cell r="W221">
            <v>0</v>
          </cell>
          <cell r="X221">
            <v>0</v>
          </cell>
          <cell r="Y221">
            <v>0</v>
          </cell>
          <cell r="Z221">
            <v>0</v>
          </cell>
          <cell r="AA221">
            <v>0</v>
          </cell>
          <cell r="AB221">
            <v>0</v>
          </cell>
          <cell r="AC221">
            <v>0</v>
          </cell>
          <cell r="AD221">
            <v>0</v>
          </cell>
          <cell r="AE221">
            <v>0</v>
          </cell>
          <cell r="AF221">
            <v>0</v>
          </cell>
          <cell r="AG221">
            <v>0</v>
          </cell>
          <cell r="AH221">
            <v>0</v>
          </cell>
          <cell r="AI221">
            <v>0</v>
          </cell>
          <cell r="AJ221">
            <v>0</v>
          </cell>
          <cell r="AK221">
            <v>0</v>
          </cell>
          <cell r="AL221">
            <v>0</v>
          </cell>
          <cell r="AM221">
            <v>0</v>
          </cell>
          <cell r="AN221">
            <v>0</v>
          </cell>
          <cell r="AO221">
            <v>0</v>
          </cell>
          <cell r="AP221">
            <v>0</v>
          </cell>
          <cell r="AR221">
            <v>0</v>
          </cell>
          <cell r="AS221">
            <v>0</v>
          </cell>
          <cell r="AT221">
            <v>0</v>
          </cell>
        </row>
        <row r="222">
          <cell r="G222">
            <v>44762</v>
          </cell>
          <cell r="J222">
            <v>0</v>
          </cell>
          <cell r="K222">
            <v>0</v>
          </cell>
          <cell r="L222">
            <v>0</v>
          </cell>
          <cell r="M222">
            <v>0</v>
          </cell>
          <cell r="N222">
            <v>0</v>
          </cell>
          <cell r="O222">
            <v>0</v>
          </cell>
          <cell r="P222">
            <v>0</v>
          </cell>
          <cell r="Q222">
            <v>0</v>
          </cell>
          <cell r="R222">
            <v>0</v>
          </cell>
          <cell r="S222">
            <v>0</v>
          </cell>
          <cell r="T222">
            <v>0</v>
          </cell>
          <cell r="U222">
            <v>0</v>
          </cell>
          <cell r="V222">
            <v>0</v>
          </cell>
          <cell r="W222">
            <v>0</v>
          </cell>
          <cell r="X222">
            <v>0</v>
          </cell>
          <cell r="Y222">
            <v>0</v>
          </cell>
          <cell r="Z222">
            <v>0</v>
          </cell>
          <cell r="AA222">
            <v>0</v>
          </cell>
          <cell r="AB222">
            <v>0</v>
          </cell>
          <cell r="AC222">
            <v>0</v>
          </cell>
          <cell r="AD222">
            <v>0</v>
          </cell>
          <cell r="AE222">
            <v>0</v>
          </cell>
          <cell r="AF222">
            <v>0</v>
          </cell>
          <cell r="AG222">
            <v>0</v>
          </cell>
          <cell r="AH222">
            <v>0</v>
          </cell>
          <cell r="AI222">
            <v>0</v>
          </cell>
          <cell r="AJ222">
            <v>0</v>
          </cell>
          <cell r="AK222">
            <v>0</v>
          </cell>
          <cell r="AL222">
            <v>0</v>
          </cell>
          <cell r="AM222">
            <v>0</v>
          </cell>
          <cell r="AN222">
            <v>0</v>
          </cell>
          <cell r="AO222">
            <v>0</v>
          </cell>
          <cell r="AP222">
            <v>0</v>
          </cell>
          <cell r="AR222">
            <v>0</v>
          </cell>
          <cell r="AS222">
            <v>0</v>
          </cell>
          <cell r="AT222">
            <v>0</v>
          </cell>
        </row>
        <row r="223">
          <cell r="G223">
            <v>44763</v>
          </cell>
          <cell r="J223">
            <v>0</v>
          </cell>
          <cell r="K223">
            <v>0</v>
          </cell>
          <cell r="L223">
            <v>0</v>
          </cell>
          <cell r="M223">
            <v>0</v>
          </cell>
          <cell r="N223">
            <v>0</v>
          </cell>
          <cell r="O223">
            <v>0</v>
          </cell>
          <cell r="P223">
            <v>0</v>
          </cell>
          <cell r="Q223">
            <v>0</v>
          </cell>
          <cell r="R223">
            <v>0</v>
          </cell>
          <cell r="S223">
            <v>0</v>
          </cell>
          <cell r="T223">
            <v>0</v>
          </cell>
          <cell r="U223">
            <v>0</v>
          </cell>
          <cell r="V223">
            <v>0</v>
          </cell>
          <cell r="W223">
            <v>0</v>
          </cell>
          <cell r="X223">
            <v>0</v>
          </cell>
          <cell r="Y223">
            <v>0</v>
          </cell>
          <cell r="Z223">
            <v>0</v>
          </cell>
          <cell r="AA223">
            <v>0</v>
          </cell>
          <cell r="AB223">
            <v>0</v>
          </cell>
          <cell r="AC223">
            <v>0</v>
          </cell>
          <cell r="AD223">
            <v>0</v>
          </cell>
          <cell r="AE223">
            <v>0</v>
          </cell>
          <cell r="AF223">
            <v>0</v>
          </cell>
          <cell r="AG223">
            <v>0</v>
          </cell>
          <cell r="AH223">
            <v>0</v>
          </cell>
          <cell r="AI223">
            <v>0</v>
          </cell>
          <cell r="AJ223">
            <v>0</v>
          </cell>
          <cell r="AK223">
            <v>0</v>
          </cell>
          <cell r="AL223">
            <v>0</v>
          </cell>
          <cell r="AM223">
            <v>0</v>
          </cell>
          <cell r="AN223">
            <v>0</v>
          </cell>
          <cell r="AO223">
            <v>0</v>
          </cell>
          <cell r="AP223">
            <v>0</v>
          </cell>
          <cell r="AR223">
            <v>0</v>
          </cell>
          <cell r="AS223">
            <v>0</v>
          </cell>
          <cell r="AT223">
            <v>0</v>
          </cell>
        </row>
        <row r="224">
          <cell r="G224">
            <v>44764</v>
          </cell>
          <cell r="J224">
            <v>0</v>
          </cell>
          <cell r="K224">
            <v>0</v>
          </cell>
          <cell r="L224">
            <v>0</v>
          </cell>
          <cell r="M224">
            <v>0</v>
          </cell>
          <cell r="N224">
            <v>0</v>
          </cell>
          <cell r="O224">
            <v>0</v>
          </cell>
          <cell r="P224">
            <v>0</v>
          </cell>
          <cell r="Q224">
            <v>0</v>
          </cell>
          <cell r="R224">
            <v>0</v>
          </cell>
          <cell r="S224">
            <v>0</v>
          </cell>
          <cell r="T224">
            <v>0</v>
          </cell>
          <cell r="U224">
            <v>0</v>
          </cell>
          <cell r="V224">
            <v>0</v>
          </cell>
          <cell r="W224">
            <v>0</v>
          </cell>
          <cell r="X224">
            <v>0</v>
          </cell>
          <cell r="Y224">
            <v>0</v>
          </cell>
          <cell r="Z224">
            <v>0</v>
          </cell>
          <cell r="AA224">
            <v>0</v>
          </cell>
          <cell r="AB224">
            <v>0</v>
          </cell>
          <cell r="AC224">
            <v>0</v>
          </cell>
          <cell r="AD224">
            <v>0</v>
          </cell>
          <cell r="AE224">
            <v>0</v>
          </cell>
          <cell r="AF224">
            <v>0</v>
          </cell>
          <cell r="AG224">
            <v>0</v>
          </cell>
          <cell r="AH224">
            <v>0</v>
          </cell>
          <cell r="AI224">
            <v>0</v>
          </cell>
          <cell r="AJ224">
            <v>0</v>
          </cell>
          <cell r="AK224">
            <v>0</v>
          </cell>
          <cell r="AL224">
            <v>0</v>
          </cell>
          <cell r="AM224">
            <v>0</v>
          </cell>
          <cell r="AN224">
            <v>0</v>
          </cell>
          <cell r="AO224">
            <v>0</v>
          </cell>
          <cell r="AP224">
            <v>0</v>
          </cell>
          <cell r="AR224">
            <v>0</v>
          </cell>
          <cell r="AS224">
            <v>0</v>
          </cell>
          <cell r="AT224">
            <v>0</v>
          </cell>
        </row>
        <row r="225">
          <cell r="G225">
            <v>44765</v>
          </cell>
          <cell r="J225">
            <v>0</v>
          </cell>
          <cell r="K225">
            <v>0</v>
          </cell>
          <cell r="L225">
            <v>0</v>
          </cell>
          <cell r="M225">
            <v>0</v>
          </cell>
          <cell r="N225">
            <v>0</v>
          </cell>
          <cell r="O225">
            <v>0</v>
          </cell>
          <cell r="P225">
            <v>0</v>
          </cell>
          <cell r="Q225">
            <v>0</v>
          </cell>
          <cell r="R225">
            <v>0</v>
          </cell>
          <cell r="S225">
            <v>0</v>
          </cell>
          <cell r="T225">
            <v>0</v>
          </cell>
          <cell r="U225">
            <v>0</v>
          </cell>
          <cell r="V225">
            <v>0</v>
          </cell>
          <cell r="W225">
            <v>0</v>
          </cell>
          <cell r="X225">
            <v>0</v>
          </cell>
          <cell r="Y225">
            <v>0</v>
          </cell>
          <cell r="Z225">
            <v>0</v>
          </cell>
          <cell r="AA225">
            <v>0</v>
          </cell>
          <cell r="AB225">
            <v>0</v>
          </cell>
          <cell r="AC225">
            <v>0</v>
          </cell>
          <cell r="AD225">
            <v>0</v>
          </cell>
          <cell r="AE225">
            <v>0</v>
          </cell>
          <cell r="AF225">
            <v>0</v>
          </cell>
          <cell r="AG225">
            <v>0</v>
          </cell>
          <cell r="AH225">
            <v>0</v>
          </cell>
          <cell r="AI225">
            <v>0</v>
          </cell>
          <cell r="AJ225">
            <v>0</v>
          </cell>
          <cell r="AK225">
            <v>0</v>
          </cell>
          <cell r="AL225">
            <v>0</v>
          </cell>
          <cell r="AM225">
            <v>0</v>
          </cell>
          <cell r="AN225">
            <v>0</v>
          </cell>
          <cell r="AO225">
            <v>0</v>
          </cell>
          <cell r="AP225">
            <v>0</v>
          </cell>
          <cell r="AR225">
            <v>0</v>
          </cell>
          <cell r="AS225">
            <v>0</v>
          </cell>
          <cell r="AT225">
            <v>0</v>
          </cell>
        </row>
        <row r="226">
          <cell r="G226">
            <v>44766</v>
          </cell>
          <cell r="J226">
            <v>0</v>
          </cell>
          <cell r="K226">
            <v>0</v>
          </cell>
          <cell r="L226">
            <v>0</v>
          </cell>
          <cell r="M226">
            <v>0</v>
          </cell>
          <cell r="N226">
            <v>0</v>
          </cell>
          <cell r="O226">
            <v>0</v>
          </cell>
          <cell r="P226">
            <v>0</v>
          </cell>
          <cell r="Q226">
            <v>0</v>
          </cell>
          <cell r="R226">
            <v>0</v>
          </cell>
          <cell r="S226">
            <v>0</v>
          </cell>
          <cell r="T226">
            <v>0</v>
          </cell>
          <cell r="U226">
            <v>0</v>
          </cell>
          <cell r="V226">
            <v>0</v>
          </cell>
          <cell r="W226">
            <v>0</v>
          </cell>
          <cell r="X226">
            <v>0</v>
          </cell>
          <cell r="Y226">
            <v>0</v>
          </cell>
          <cell r="Z226">
            <v>0</v>
          </cell>
          <cell r="AA226">
            <v>0</v>
          </cell>
          <cell r="AB226">
            <v>0</v>
          </cell>
          <cell r="AC226">
            <v>0</v>
          </cell>
          <cell r="AD226">
            <v>0</v>
          </cell>
          <cell r="AE226">
            <v>0</v>
          </cell>
          <cell r="AF226">
            <v>0</v>
          </cell>
          <cell r="AG226">
            <v>0</v>
          </cell>
          <cell r="AH226">
            <v>0</v>
          </cell>
          <cell r="AI226">
            <v>0</v>
          </cell>
          <cell r="AJ226">
            <v>0</v>
          </cell>
          <cell r="AK226">
            <v>0</v>
          </cell>
          <cell r="AL226">
            <v>0</v>
          </cell>
          <cell r="AM226">
            <v>0</v>
          </cell>
          <cell r="AN226">
            <v>0</v>
          </cell>
          <cell r="AO226">
            <v>0</v>
          </cell>
          <cell r="AP226">
            <v>0</v>
          </cell>
          <cell r="AR226">
            <v>0</v>
          </cell>
          <cell r="AS226">
            <v>0</v>
          </cell>
          <cell r="AT226">
            <v>0</v>
          </cell>
        </row>
        <row r="227">
          <cell r="G227">
            <v>44767</v>
          </cell>
          <cell r="J227">
            <v>0</v>
          </cell>
          <cell r="K227">
            <v>0</v>
          </cell>
          <cell r="L227">
            <v>0</v>
          </cell>
          <cell r="M227">
            <v>0</v>
          </cell>
          <cell r="N227">
            <v>0</v>
          </cell>
          <cell r="O227">
            <v>0</v>
          </cell>
          <cell r="P227">
            <v>0</v>
          </cell>
          <cell r="Q227">
            <v>0</v>
          </cell>
          <cell r="R227">
            <v>0</v>
          </cell>
          <cell r="S227">
            <v>0</v>
          </cell>
          <cell r="T227">
            <v>0</v>
          </cell>
          <cell r="U227">
            <v>0</v>
          </cell>
          <cell r="V227">
            <v>0</v>
          </cell>
          <cell r="W227">
            <v>0</v>
          </cell>
          <cell r="X227">
            <v>0</v>
          </cell>
          <cell r="Y227">
            <v>0</v>
          </cell>
          <cell r="Z227">
            <v>0</v>
          </cell>
          <cell r="AA227">
            <v>0</v>
          </cell>
          <cell r="AB227">
            <v>0</v>
          </cell>
          <cell r="AC227">
            <v>0</v>
          </cell>
          <cell r="AD227">
            <v>0</v>
          </cell>
          <cell r="AE227">
            <v>0</v>
          </cell>
          <cell r="AF227">
            <v>0</v>
          </cell>
          <cell r="AG227">
            <v>0</v>
          </cell>
          <cell r="AH227">
            <v>0</v>
          </cell>
          <cell r="AI227">
            <v>0</v>
          </cell>
          <cell r="AJ227">
            <v>0</v>
          </cell>
          <cell r="AK227">
            <v>0</v>
          </cell>
          <cell r="AL227">
            <v>0</v>
          </cell>
          <cell r="AM227">
            <v>0</v>
          </cell>
          <cell r="AN227">
            <v>0</v>
          </cell>
          <cell r="AO227">
            <v>0</v>
          </cell>
          <cell r="AP227">
            <v>0</v>
          </cell>
          <cell r="AR227">
            <v>0</v>
          </cell>
          <cell r="AS227">
            <v>0</v>
          </cell>
          <cell r="AT227">
            <v>0</v>
          </cell>
        </row>
        <row r="228">
          <cell r="G228">
            <v>44768</v>
          </cell>
          <cell r="J228">
            <v>0</v>
          </cell>
          <cell r="K228">
            <v>0</v>
          </cell>
          <cell r="L228">
            <v>0</v>
          </cell>
          <cell r="M228">
            <v>0</v>
          </cell>
          <cell r="N228">
            <v>0</v>
          </cell>
          <cell r="O228">
            <v>0</v>
          </cell>
          <cell r="P228">
            <v>0</v>
          </cell>
          <cell r="Q228">
            <v>0</v>
          </cell>
          <cell r="R228">
            <v>0</v>
          </cell>
          <cell r="S228">
            <v>0</v>
          </cell>
          <cell r="T228">
            <v>0</v>
          </cell>
          <cell r="U228">
            <v>0</v>
          </cell>
          <cell r="V228">
            <v>0</v>
          </cell>
          <cell r="W228">
            <v>0</v>
          </cell>
          <cell r="X228">
            <v>0</v>
          </cell>
          <cell r="Y228">
            <v>0</v>
          </cell>
          <cell r="Z228">
            <v>0</v>
          </cell>
          <cell r="AA228">
            <v>0</v>
          </cell>
          <cell r="AB228">
            <v>0</v>
          </cell>
          <cell r="AC228">
            <v>0</v>
          </cell>
          <cell r="AD228">
            <v>0</v>
          </cell>
          <cell r="AE228">
            <v>0</v>
          </cell>
          <cell r="AF228">
            <v>0</v>
          </cell>
          <cell r="AG228">
            <v>0</v>
          </cell>
          <cell r="AH228">
            <v>0</v>
          </cell>
          <cell r="AI228">
            <v>0</v>
          </cell>
          <cell r="AJ228">
            <v>0</v>
          </cell>
          <cell r="AK228">
            <v>0</v>
          </cell>
          <cell r="AL228">
            <v>0</v>
          </cell>
          <cell r="AM228">
            <v>0</v>
          </cell>
          <cell r="AN228">
            <v>0</v>
          </cell>
          <cell r="AO228">
            <v>0</v>
          </cell>
          <cell r="AP228">
            <v>0</v>
          </cell>
          <cell r="AR228">
            <v>0</v>
          </cell>
          <cell r="AS228">
            <v>0</v>
          </cell>
          <cell r="AT228">
            <v>0</v>
          </cell>
        </row>
        <row r="229">
          <cell r="G229">
            <v>44769</v>
          </cell>
          <cell r="J229">
            <v>0</v>
          </cell>
          <cell r="K229">
            <v>0</v>
          </cell>
          <cell r="L229">
            <v>0</v>
          </cell>
          <cell r="M229">
            <v>0</v>
          </cell>
          <cell r="N229">
            <v>0</v>
          </cell>
          <cell r="O229">
            <v>0</v>
          </cell>
          <cell r="P229">
            <v>0</v>
          </cell>
          <cell r="Q229">
            <v>0</v>
          </cell>
          <cell r="R229">
            <v>0</v>
          </cell>
          <cell r="S229">
            <v>0</v>
          </cell>
          <cell r="T229">
            <v>0</v>
          </cell>
          <cell r="U229">
            <v>0</v>
          </cell>
          <cell r="V229">
            <v>0</v>
          </cell>
          <cell r="W229">
            <v>0</v>
          </cell>
          <cell r="X229">
            <v>0</v>
          </cell>
          <cell r="Y229">
            <v>0</v>
          </cell>
          <cell r="Z229">
            <v>0</v>
          </cell>
          <cell r="AA229">
            <v>0</v>
          </cell>
          <cell r="AB229">
            <v>0</v>
          </cell>
          <cell r="AC229">
            <v>0</v>
          </cell>
          <cell r="AD229">
            <v>0</v>
          </cell>
          <cell r="AE229">
            <v>0</v>
          </cell>
          <cell r="AF229">
            <v>0</v>
          </cell>
          <cell r="AG229">
            <v>0</v>
          </cell>
          <cell r="AH229">
            <v>0</v>
          </cell>
          <cell r="AI229">
            <v>0</v>
          </cell>
          <cell r="AJ229">
            <v>0</v>
          </cell>
          <cell r="AK229">
            <v>0</v>
          </cell>
          <cell r="AL229">
            <v>0</v>
          </cell>
          <cell r="AM229">
            <v>0</v>
          </cell>
          <cell r="AN229">
            <v>0</v>
          </cell>
          <cell r="AO229">
            <v>0</v>
          </cell>
          <cell r="AP229">
            <v>0</v>
          </cell>
          <cell r="AR229">
            <v>0</v>
          </cell>
          <cell r="AS229">
            <v>0</v>
          </cell>
          <cell r="AT229">
            <v>0</v>
          </cell>
        </row>
        <row r="230">
          <cell r="G230">
            <v>44770</v>
          </cell>
          <cell r="J230">
            <v>0</v>
          </cell>
          <cell r="K230">
            <v>0</v>
          </cell>
          <cell r="L230">
            <v>0</v>
          </cell>
          <cell r="M230">
            <v>0</v>
          </cell>
          <cell r="N230">
            <v>0</v>
          </cell>
          <cell r="O230">
            <v>0</v>
          </cell>
          <cell r="P230">
            <v>0</v>
          </cell>
          <cell r="Q230">
            <v>0</v>
          </cell>
          <cell r="R230">
            <v>0</v>
          </cell>
          <cell r="S230">
            <v>0</v>
          </cell>
          <cell r="T230">
            <v>0</v>
          </cell>
          <cell r="U230">
            <v>0</v>
          </cell>
          <cell r="V230">
            <v>0</v>
          </cell>
          <cell r="W230">
            <v>0</v>
          </cell>
          <cell r="X230">
            <v>0</v>
          </cell>
          <cell r="Y230">
            <v>0</v>
          </cell>
          <cell r="Z230">
            <v>0</v>
          </cell>
          <cell r="AA230">
            <v>0</v>
          </cell>
          <cell r="AB230">
            <v>0</v>
          </cell>
          <cell r="AC230">
            <v>0</v>
          </cell>
          <cell r="AD230">
            <v>0</v>
          </cell>
          <cell r="AE230">
            <v>0</v>
          </cell>
          <cell r="AF230">
            <v>0</v>
          </cell>
          <cell r="AG230">
            <v>0</v>
          </cell>
          <cell r="AH230">
            <v>0</v>
          </cell>
          <cell r="AI230">
            <v>0</v>
          </cell>
          <cell r="AJ230">
            <v>0</v>
          </cell>
          <cell r="AK230">
            <v>0</v>
          </cell>
          <cell r="AL230">
            <v>0</v>
          </cell>
          <cell r="AM230">
            <v>0</v>
          </cell>
          <cell r="AN230">
            <v>0</v>
          </cell>
          <cell r="AO230">
            <v>0</v>
          </cell>
          <cell r="AP230">
            <v>0</v>
          </cell>
          <cell r="AR230">
            <v>0</v>
          </cell>
          <cell r="AS230">
            <v>0</v>
          </cell>
          <cell r="AT230">
            <v>0</v>
          </cell>
        </row>
        <row r="231">
          <cell r="G231">
            <v>44771</v>
          </cell>
          <cell r="J231">
            <v>0</v>
          </cell>
          <cell r="K231">
            <v>0</v>
          </cell>
          <cell r="L231">
            <v>0</v>
          </cell>
          <cell r="M231">
            <v>0</v>
          </cell>
          <cell r="N231">
            <v>0</v>
          </cell>
          <cell r="O231">
            <v>0</v>
          </cell>
          <cell r="P231">
            <v>0</v>
          </cell>
          <cell r="Q231">
            <v>0</v>
          </cell>
          <cell r="R231">
            <v>0</v>
          </cell>
          <cell r="S231">
            <v>0</v>
          </cell>
          <cell r="T231">
            <v>0</v>
          </cell>
          <cell r="U231">
            <v>0</v>
          </cell>
          <cell r="V231">
            <v>0</v>
          </cell>
          <cell r="W231">
            <v>0</v>
          </cell>
          <cell r="X231">
            <v>0</v>
          </cell>
          <cell r="Y231">
            <v>0</v>
          </cell>
          <cell r="Z231">
            <v>0</v>
          </cell>
          <cell r="AA231">
            <v>0</v>
          </cell>
          <cell r="AB231">
            <v>0</v>
          </cell>
          <cell r="AC231">
            <v>0</v>
          </cell>
          <cell r="AD231">
            <v>0</v>
          </cell>
          <cell r="AE231">
            <v>0</v>
          </cell>
          <cell r="AF231">
            <v>0</v>
          </cell>
          <cell r="AG231">
            <v>0</v>
          </cell>
          <cell r="AH231">
            <v>0</v>
          </cell>
          <cell r="AI231">
            <v>0</v>
          </cell>
          <cell r="AJ231">
            <v>0</v>
          </cell>
          <cell r="AK231">
            <v>0</v>
          </cell>
          <cell r="AL231">
            <v>0</v>
          </cell>
          <cell r="AM231">
            <v>0</v>
          </cell>
          <cell r="AN231">
            <v>0</v>
          </cell>
          <cell r="AO231">
            <v>0</v>
          </cell>
          <cell r="AP231">
            <v>0</v>
          </cell>
          <cell r="AR231">
            <v>0</v>
          </cell>
          <cell r="AS231">
            <v>0</v>
          </cell>
          <cell r="AT231">
            <v>0</v>
          </cell>
        </row>
        <row r="232">
          <cell r="G232">
            <v>44772</v>
          </cell>
          <cell r="J232">
            <v>0</v>
          </cell>
          <cell r="K232">
            <v>0</v>
          </cell>
          <cell r="L232">
            <v>0</v>
          </cell>
          <cell r="M232">
            <v>0</v>
          </cell>
          <cell r="N232">
            <v>0</v>
          </cell>
          <cell r="O232">
            <v>0</v>
          </cell>
          <cell r="P232">
            <v>0</v>
          </cell>
          <cell r="Q232">
            <v>0</v>
          </cell>
          <cell r="R232">
            <v>0</v>
          </cell>
          <cell r="S232">
            <v>0</v>
          </cell>
          <cell r="T232">
            <v>0</v>
          </cell>
          <cell r="U232">
            <v>0</v>
          </cell>
          <cell r="V232">
            <v>0</v>
          </cell>
          <cell r="W232">
            <v>0</v>
          </cell>
          <cell r="X232">
            <v>0</v>
          </cell>
          <cell r="Y232">
            <v>0</v>
          </cell>
          <cell r="Z232">
            <v>0</v>
          </cell>
          <cell r="AA232">
            <v>0</v>
          </cell>
          <cell r="AB232">
            <v>0</v>
          </cell>
          <cell r="AC232">
            <v>0</v>
          </cell>
          <cell r="AD232">
            <v>0</v>
          </cell>
          <cell r="AE232">
            <v>0</v>
          </cell>
          <cell r="AF232">
            <v>0</v>
          </cell>
          <cell r="AG232">
            <v>0</v>
          </cell>
          <cell r="AH232">
            <v>0</v>
          </cell>
          <cell r="AI232">
            <v>0</v>
          </cell>
          <cell r="AJ232">
            <v>0</v>
          </cell>
          <cell r="AK232">
            <v>0</v>
          </cell>
          <cell r="AL232">
            <v>0</v>
          </cell>
          <cell r="AM232">
            <v>0</v>
          </cell>
          <cell r="AN232">
            <v>0</v>
          </cell>
          <cell r="AO232">
            <v>0</v>
          </cell>
          <cell r="AP232">
            <v>0</v>
          </cell>
          <cell r="AR232">
            <v>0</v>
          </cell>
          <cell r="AS232">
            <v>0</v>
          </cell>
          <cell r="AT232">
            <v>0</v>
          </cell>
        </row>
        <row r="233">
          <cell r="G233">
            <v>44773</v>
          </cell>
          <cell r="J233">
            <v>0</v>
          </cell>
          <cell r="K233">
            <v>0</v>
          </cell>
          <cell r="L233">
            <v>0</v>
          </cell>
          <cell r="M233">
            <v>0</v>
          </cell>
          <cell r="N233">
            <v>0</v>
          </cell>
          <cell r="O233">
            <v>0</v>
          </cell>
          <cell r="P233">
            <v>0</v>
          </cell>
          <cell r="Q233">
            <v>0</v>
          </cell>
          <cell r="R233">
            <v>0</v>
          </cell>
          <cell r="S233">
            <v>0</v>
          </cell>
          <cell r="T233">
            <v>0</v>
          </cell>
          <cell r="U233">
            <v>0</v>
          </cell>
          <cell r="V233">
            <v>0</v>
          </cell>
          <cell r="W233">
            <v>0</v>
          </cell>
          <cell r="X233">
            <v>0</v>
          </cell>
          <cell r="Y233">
            <v>0</v>
          </cell>
          <cell r="Z233">
            <v>0</v>
          </cell>
          <cell r="AA233">
            <v>0</v>
          </cell>
          <cell r="AB233">
            <v>0</v>
          </cell>
          <cell r="AC233">
            <v>0</v>
          </cell>
          <cell r="AD233">
            <v>0</v>
          </cell>
          <cell r="AE233">
            <v>0</v>
          </cell>
          <cell r="AF233">
            <v>0</v>
          </cell>
          <cell r="AG233">
            <v>0</v>
          </cell>
          <cell r="AH233">
            <v>0</v>
          </cell>
          <cell r="AI233">
            <v>0</v>
          </cell>
          <cell r="AJ233">
            <v>0</v>
          </cell>
          <cell r="AK233">
            <v>0</v>
          </cell>
          <cell r="AL233">
            <v>0</v>
          </cell>
          <cell r="AM233">
            <v>0</v>
          </cell>
          <cell r="AN233">
            <v>0</v>
          </cell>
          <cell r="AO233">
            <v>0</v>
          </cell>
          <cell r="AP233">
            <v>0</v>
          </cell>
          <cell r="AR233">
            <v>0</v>
          </cell>
          <cell r="AS233">
            <v>0</v>
          </cell>
          <cell r="AT233">
            <v>0</v>
          </cell>
        </row>
        <row r="234">
          <cell r="G234">
            <v>44774</v>
          </cell>
          <cell r="J234">
            <v>0</v>
          </cell>
          <cell r="K234">
            <v>0</v>
          </cell>
          <cell r="L234">
            <v>0</v>
          </cell>
          <cell r="M234">
            <v>0</v>
          </cell>
          <cell r="N234">
            <v>0</v>
          </cell>
          <cell r="O234">
            <v>0</v>
          </cell>
          <cell r="P234">
            <v>0</v>
          </cell>
          <cell r="Q234">
            <v>0</v>
          </cell>
          <cell r="R234">
            <v>0</v>
          </cell>
          <cell r="S234">
            <v>0</v>
          </cell>
          <cell r="T234">
            <v>0</v>
          </cell>
          <cell r="U234">
            <v>0</v>
          </cell>
          <cell r="V234">
            <v>0</v>
          </cell>
          <cell r="W234">
            <v>0</v>
          </cell>
          <cell r="X234">
            <v>0</v>
          </cell>
          <cell r="Y234">
            <v>0</v>
          </cell>
          <cell r="Z234">
            <v>0</v>
          </cell>
          <cell r="AA234">
            <v>0</v>
          </cell>
          <cell r="AB234">
            <v>0</v>
          </cell>
          <cell r="AC234">
            <v>0</v>
          </cell>
          <cell r="AD234">
            <v>0</v>
          </cell>
          <cell r="AE234">
            <v>0</v>
          </cell>
          <cell r="AF234">
            <v>0</v>
          </cell>
          <cell r="AG234">
            <v>0</v>
          </cell>
          <cell r="AH234">
            <v>0</v>
          </cell>
          <cell r="AI234">
            <v>0</v>
          </cell>
          <cell r="AJ234">
            <v>0</v>
          </cell>
          <cell r="AK234">
            <v>0</v>
          </cell>
          <cell r="AL234">
            <v>0</v>
          </cell>
          <cell r="AM234">
            <v>0</v>
          </cell>
          <cell r="AN234">
            <v>0</v>
          </cell>
          <cell r="AO234">
            <v>0</v>
          </cell>
          <cell r="AP234">
            <v>0</v>
          </cell>
          <cell r="AR234">
            <v>0</v>
          </cell>
          <cell r="AS234">
            <v>0</v>
          </cell>
          <cell r="AT234">
            <v>0</v>
          </cell>
        </row>
        <row r="235">
          <cell r="G235">
            <v>44775</v>
          </cell>
          <cell r="J235">
            <v>0</v>
          </cell>
          <cell r="K235">
            <v>0</v>
          </cell>
          <cell r="L235">
            <v>0</v>
          </cell>
          <cell r="M235">
            <v>0</v>
          </cell>
          <cell r="N235">
            <v>0</v>
          </cell>
          <cell r="O235">
            <v>0</v>
          </cell>
          <cell r="P235">
            <v>0</v>
          </cell>
          <cell r="Q235">
            <v>0</v>
          </cell>
          <cell r="R235">
            <v>0</v>
          </cell>
          <cell r="S235">
            <v>0</v>
          </cell>
          <cell r="T235">
            <v>0</v>
          </cell>
          <cell r="U235">
            <v>0</v>
          </cell>
          <cell r="V235">
            <v>0</v>
          </cell>
          <cell r="W235">
            <v>0</v>
          </cell>
          <cell r="X235">
            <v>0</v>
          </cell>
          <cell r="Y235">
            <v>0</v>
          </cell>
          <cell r="Z235">
            <v>0</v>
          </cell>
          <cell r="AA235">
            <v>0</v>
          </cell>
          <cell r="AB235">
            <v>0</v>
          </cell>
          <cell r="AC235">
            <v>0</v>
          </cell>
          <cell r="AD235">
            <v>0</v>
          </cell>
          <cell r="AE235">
            <v>0</v>
          </cell>
          <cell r="AF235">
            <v>0</v>
          </cell>
          <cell r="AG235">
            <v>0</v>
          </cell>
          <cell r="AH235">
            <v>0</v>
          </cell>
          <cell r="AI235">
            <v>0</v>
          </cell>
          <cell r="AJ235">
            <v>0</v>
          </cell>
          <cell r="AK235">
            <v>0</v>
          </cell>
          <cell r="AL235">
            <v>0</v>
          </cell>
          <cell r="AM235">
            <v>0</v>
          </cell>
          <cell r="AN235">
            <v>0</v>
          </cell>
          <cell r="AO235">
            <v>0</v>
          </cell>
          <cell r="AP235">
            <v>0</v>
          </cell>
          <cell r="AR235">
            <v>0</v>
          </cell>
          <cell r="AS235">
            <v>0</v>
          </cell>
          <cell r="AT235">
            <v>0</v>
          </cell>
        </row>
        <row r="236">
          <cell r="G236">
            <v>44776</v>
          </cell>
          <cell r="J236">
            <v>0</v>
          </cell>
          <cell r="K236">
            <v>0</v>
          </cell>
          <cell r="L236">
            <v>0</v>
          </cell>
          <cell r="M236">
            <v>0</v>
          </cell>
          <cell r="N236">
            <v>0</v>
          </cell>
          <cell r="O236">
            <v>0</v>
          </cell>
          <cell r="P236">
            <v>0</v>
          </cell>
          <cell r="Q236">
            <v>0</v>
          </cell>
          <cell r="R236">
            <v>0</v>
          </cell>
          <cell r="S236">
            <v>0</v>
          </cell>
          <cell r="T236">
            <v>0</v>
          </cell>
          <cell r="U236">
            <v>0</v>
          </cell>
          <cell r="V236">
            <v>0</v>
          </cell>
          <cell r="W236">
            <v>0</v>
          </cell>
          <cell r="X236">
            <v>0</v>
          </cell>
          <cell r="Y236">
            <v>0</v>
          </cell>
          <cell r="Z236">
            <v>0</v>
          </cell>
          <cell r="AA236">
            <v>0</v>
          </cell>
          <cell r="AB236">
            <v>0</v>
          </cell>
          <cell r="AC236">
            <v>0</v>
          </cell>
          <cell r="AD236">
            <v>0</v>
          </cell>
          <cell r="AE236">
            <v>0</v>
          </cell>
          <cell r="AF236">
            <v>0</v>
          </cell>
          <cell r="AG236">
            <v>0</v>
          </cell>
          <cell r="AH236">
            <v>0</v>
          </cell>
          <cell r="AI236">
            <v>0</v>
          </cell>
          <cell r="AJ236">
            <v>0</v>
          </cell>
          <cell r="AK236">
            <v>0</v>
          </cell>
          <cell r="AL236">
            <v>0</v>
          </cell>
          <cell r="AM236">
            <v>0</v>
          </cell>
          <cell r="AN236">
            <v>0</v>
          </cell>
          <cell r="AO236">
            <v>0</v>
          </cell>
          <cell r="AP236">
            <v>0</v>
          </cell>
          <cell r="AR236">
            <v>0</v>
          </cell>
          <cell r="AS236">
            <v>0</v>
          </cell>
          <cell r="AT236">
            <v>0</v>
          </cell>
        </row>
        <row r="237">
          <cell r="G237">
            <v>44777</v>
          </cell>
          <cell r="J237">
            <v>0</v>
          </cell>
          <cell r="K237">
            <v>0</v>
          </cell>
          <cell r="L237">
            <v>0</v>
          </cell>
          <cell r="M237">
            <v>0</v>
          </cell>
          <cell r="N237">
            <v>0</v>
          </cell>
          <cell r="O237">
            <v>0</v>
          </cell>
          <cell r="P237">
            <v>0</v>
          </cell>
          <cell r="Q237">
            <v>0</v>
          </cell>
          <cell r="R237">
            <v>0</v>
          </cell>
          <cell r="S237">
            <v>0</v>
          </cell>
          <cell r="T237">
            <v>0</v>
          </cell>
          <cell r="U237">
            <v>0</v>
          </cell>
          <cell r="V237">
            <v>0</v>
          </cell>
          <cell r="W237">
            <v>0</v>
          </cell>
          <cell r="X237">
            <v>0</v>
          </cell>
          <cell r="Y237">
            <v>0</v>
          </cell>
          <cell r="Z237">
            <v>0</v>
          </cell>
          <cell r="AA237">
            <v>0</v>
          </cell>
          <cell r="AB237">
            <v>0</v>
          </cell>
          <cell r="AC237">
            <v>0</v>
          </cell>
          <cell r="AD237">
            <v>0</v>
          </cell>
          <cell r="AE237">
            <v>0</v>
          </cell>
          <cell r="AF237">
            <v>0</v>
          </cell>
          <cell r="AG237">
            <v>0</v>
          </cell>
          <cell r="AH237">
            <v>0</v>
          </cell>
          <cell r="AI237">
            <v>0</v>
          </cell>
          <cell r="AJ237">
            <v>0</v>
          </cell>
          <cell r="AK237">
            <v>0</v>
          </cell>
          <cell r="AL237">
            <v>0</v>
          </cell>
          <cell r="AM237">
            <v>0</v>
          </cell>
          <cell r="AN237">
            <v>0</v>
          </cell>
          <cell r="AO237">
            <v>0</v>
          </cell>
          <cell r="AP237">
            <v>0</v>
          </cell>
          <cell r="AR237">
            <v>0</v>
          </cell>
          <cell r="AS237">
            <v>0</v>
          </cell>
          <cell r="AT237">
            <v>0</v>
          </cell>
        </row>
        <row r="238">
          <cell r="G238">
            <v>44778</v>
          </cell>
          <cell r="J238">
            <v>0</v>
          </cell>
          <cell r="K238">
            <v>0</v>
          </cell>
          <cell r="L238">
            <v>0</v>
          </cell>
          <cell r="M238">
            <v>0</v>
          </cell>
          <cell r="N238">
            <v>0</v>
          </cell>
          <cell r="O238">
            <v>0</v>
          </cell>
          <cell r="P238">
            <v>0</v>
          </cell>
          <cell r="Q238">
            <v>0</v>
          </cell>
          <cell r="R238">
            <v>0</v>
          </cell>
          <cell r="S238">
            <v>0</v>
          </cell>
          <cell r="T238">
            <v>0</v>
          </cell>
          <cell r="U238">
            <v>0</v>
          </cell>
          <cell r="V238">
            <v>0</v>
          </cell>
          <cell r="W238">
            <v>0</v>
          </cell>
          <cell r="X238">
            <v>0</v>
          </cell>
          <cell r="Y238">
            <v>0</v>
          </cell>
          <cell r="Z238">
            <v>0</v>
          </cell>
          <cell r="AA238">
            <v>0</v>
          </cell>
          <cell r="AB238">
            <v>0</v>
          </cell>
          <cell r="AC238">
            <v>0</v>
          </cell>
          <cell r="AD238">
            <v>0</v>
          </cell>
          <cell r="AE238">
            <v>0</v>
          </cell>
          <cell r="AF238">
            <v>0</v>
          </cell>
          <cell r="AG238">
            <v>0</v>
          </cell>
          <cell r="AH238">
            <v>0</v>
          </cell>
          <cell r="AI238">
            <v>0</v>
          </cell>
          <cell r="AJ238">
            <v>0</v>
          </cell>
          <cell r="AK238">
            <v>0</v>
          </cell>
          <cell r="AL238">
            <v>0</v>
          </cell>
          <cell r="AM238">
            <v>0</v>
          </cell>
          <cell r="AN238">
            <v>0</v>
          </cell>
          <cell r="AO238">
            <v>0</v>
          </cell>
          <cell r="AP238">
            <v>0</v>
          </cell>
          <cell r="AR238">
            <v>0</v>
          </cell>
          <cell r="AS238">
            <v>0</v>
          </cell>
          <cell r="AT238">
            <v>0</v>
          </cell>
        </row>
        <row r="239">
          <cell r="G239">
            <v>44779</v>
          </cell>
          <cell r="J239">
            <v>0</v>
          </cell>
          <cell r="K239">
            <v>0</v>
          </cell>
          <cell r="L239">
            <v>0</v>
          </cell>
          <cell r="M239">
            <v>0</v>
          </cell>
          <cell r="N239">
            <v>0</v>
          </cell>
          <cell r="O239">
            <v>0</v>
          </cell>
          <cell r="P239">
            <v>0</v>
          </cell>
          <cell r="Q239">
            <v>0</v>
          </cell>
          <cell r="R239">
            <v>0</v>
          </cell>
          <cell r="S239">
            <v>0</v>
          </cell>
          <cell r="T239">
            <v>0</v>
          </cell>
          <cell r="U239">
            <v>0</v>
          </cell>
          <cell r="V239">
            <v>0</v>
          </cell>
          <cell r="W239">
            <v>0</v>
          </cell>
          <cell r="X239">
            <v>0</v>
          </cell>
          <cell r="Y239">
            <v>0</v>
          </cell>
          <cell r="Z239">
            <v>0</v>
          </cell>
          <cell r="AA239">
            <v>0</v>
          </cell>
          <cell r="AB239">
            <v>0</v>
          </cell>
          <cell r="AC239">
            <v>0</v>
          </cell>
          <cell r="AD239">
            <v>0</v>
          </cell>
          <cell r="AE239">
            <v>0</v>
          </cell>
          <cell r="AF239">
            <v>0</v>
          </cell>
          <cell r="AG239">
            <v>0</v>
          </cell>
          <cell r="AH239">
            <v>0</v>
          </cell>
          <cell r="AI239">
            <v>0</v>
          </cell>
          <cell r="AJ239">
            <v>0</v>
          </cell>
          <cell r="AK239">
            <v>0</v>
          </cell>
          <cell r="AL239">
            <v>0</v>
          </cell>
          <cell r="AM239">
            <v>0</v>
          </cell>
          <cell r="AN239">
            <v>0</v>
          </cell>
          <cell r="AO239">
            <v>0</v>
          </cell>
          <cell r="AP239">
            <v>0</v>
          </cell>
          <cell r="AR239">
            <v>0</v>
          </cell>
          <cell r="AS239">
            <v>0</v>
          </cell>
          <cell r="AT239">
            <v>0</v>
          </cell>
        </row>
        <row r="240">
          <cell r="G240">
            <v>44780</v>
          </cell>
          <cell r="J240">
            <v>0</v>
          </cell>
          <cell r="K240">
            <v>0</v>
          </cell>
          <cell r="L240">
            <v>0</v>
          </cell>
          <cell r="M240">
            <v>0</v>
          </cell>
          <cell r="N240">
            <v>0</v>
          </cell>
          <cell r="O240">
            <v>0</v>
          </cell>
          <cell r="P240">
            <v>0</v>
          </cell>
          <cell r="Q240">
            <v>0</v>
          </cell>
          <cell r="R240">
            <v>0</v>
          </cell>
          <cell r="S240">
            <v>0</v>
          </cell>
          <cell r="T240">
            <v>0</v>
          </cell>
          <cell r="U240">
            <v>0</v>
          </cell>
          <cell r="V240">
            <v>0</v>
          </cell>
          <cell r="W240">
            <v>0</v>
          </cell>
          <cell r="X240">
            <v>0</v>
          </cell>
          <cell r="Y240">
            <v>0</v>
          </cell>
          <cell r="Z240">
            <v>0</v>
          </cell>
          <cell r="AA240">
            <v>0</v>
          </cell>
          <cell r="AB240">
            <v>0</v>
          </cell>
          <cell r="AC240">
            <v>0</v>
          </cell>
          <cell r="AD240">
            <v>0</v>
          </cell>
          <cell r="AE240">
            <v>0</v>
          </cell>
          <cell r="AF240">
            <v>0</v>
          </cell>
          <cell r="AG240">
            <v>0</v>
          </cell>
          <cell r="AH240">
            <v>0</v>
          </cell>
          <cell r="AI240">
            <v>0</v>
          </cell>
          <cell r="AJ240">
            <v>0</v>
          </cell>
          <cell r="AK240">
            <v>0</v>
          </cell>
          <cell r="AL240">
            <v>0</v>
          </cell>
          <cell r="AM240">
            <v>0</v>
          </cell>
          <cell r="AN240">
            <v>0</v>
          </cell>
          <cell r="AO240">
            <v>0</v>
          </cell>
          <cell r="AP240">
            <v>0</v>
          </cell>
          <cell r="AR240">
            <v>0</v>
          </cell>
          <cell r="AS240">
            <v>0</v>
          </cell>
          <cell r="AT240">
            <v>0</v>
          </cell>
        </row>
        <row r="241">
          <cell r="G241">
            <v>44781</v>
          </cell>
          <cell r="J241">
            <v>0</v>
          </cell>
          <cell r="K241">
            <v>0</v>
          </cell>
          <cell r="L241">
            <v>0</v>
          </cell>
          <cell r="M241">
            <v>0</v>
          </cell>
          <cell r="N241">
            <v>0</v>
          </cell>
          <cell r="O241">
            <v>0</v>
          </cell>
          <cell r="P241">
            <v>0</v>
          </cell>
          <cell r="Q241">
            <v>0</v>
          </cell>
          <cell r="R241">
            <v>0</v>
          </cell>
          <cell r="S241">
            <v>0</v>
          </cell>
          <cell r="T241">
            <v>0</v>
          </cell>
          <cell r="U241">
            <v>0</v>
          </cell>
          <cell r="V241">
            <v>0</v>
          </cell>
          <cell r="W241">
            <v>0</v>
          </cell>
          <cell r="X241">
            <v>0</v>
          </cell>
          <cell r="Y241">
            <v>0</v>
          </cell>
          <cell r="Z241">
            <v>0</v>
          </cell>
          <cell r="AA241">
            <v>0</v>
          </cell>
          <cell r="AB241">
            <v>0</v>
          </cell>
          <cell r="AC241">
            <v>0</v>
          </cell>
          <cell r="AD241">
            <v>0</v>
          </cell>
          <cell r="AE241">
            <v>0</v>
          </cell>
          <cell r="AF241">
            <v>0</v>
          </cell>
          <cell r="AG241">
            <v>0</v>
          </cell>
          <cell r="AH241">
            <v>0</v>
          </cell>
          <cell r="AI241">
            <v>0</v>
          </cell>
          <cell r="AJ241">
            <v>0</v>
          </cell>
          <cell r="AK241">
            <v>0</v>
          </cell>
          <cell r="AL241">
            <v>0</v>
          </cell>
          <cell r="AM241">
            <v>0</v>
          </cell>
          <cell r="AN241">
            <v>0</v>
          </cell>
          <cell r="AO241">
            <v>0</v>
          </cell>
          <cell r="AP241">
            <v>0</v>
          </cell>
          <cell r="AR241">
            <v>0</v>
          </cell>
          <cell r="AS241">
            <v>0</v>
          </cell>
          <cell r="AT241">
            <v>0</v>
          </cell>
        </row>
        <row r="242">
          <cell r="G242">
            <v>44782</v>
          </cell>
          <cell r="J242">
            <v>0</v>
          </cell>
          <cell r="K242">
            <v>0</v>
          </cell>
          <cell r="L242">
            <v>0</v>
          </cell>
          <cell r="M242">
            <v>0</v>
          </cell>
          <cell r="N242">
            <v>0</v>
          </cell>
          <cell r="O242">
            <v>0</v>
          </cell>
          <cell r="P242">
            <v>0</v>
          </cell>
          <cell r="Q242">
            <v>0</v>
          </cell>
          <cell r="R242">
            <v>0</v>
          </cell>
          <cell r="S242">
            <v>0</v>
          </cell>
          <cell r="T242">
            <v>0</v>
          </cell>
          <cell r="U242">
            <v>0</v>
          </cell>
          <cell r="V242">
            <v>0</v>
          </cell>
          <cell r="W242">
            <v>0</v>
          </cell>
          <cell r="X242">
            <v>0</v>
          </cell>
          <cell r="Y242">
            <v>0</v>
          </cell>
          <cell r="Z242">
            <v>0</v>
          </cell>
          <cell r="AA242">
            <v>0</v>
          </cell>
          <cell r="AB242">
            <v>0</v>
          </cell>
          <cell r="AC242">
            <v>0</v>
          </cell>
          <cell r="AD242">
            <v>0</v>
          </cell>
          <cell r="AE242">
            <v>0</v>
          </cell>
          <cell r="AF242">
            <v>0</v>
          </cell>
          <cell r="AG242">
            <v>0</v>
          </cell>
          <cell r="AH242">
            <v>0</v>
          </cell>
          <cell r="AI242">
            <v>0</v>
          </cell>
          <cell r="AJ242">
            <v>0</v>
          </cell>
          <cell r="AK242">
            <v>0</v>
          </cell>
          <cell r="AL242">
            <v>0</v>
          </cell>
          <cell r="AM242">
            <v>0</v>
          </cell>
          <cell r="AN242">
            <v>0</v>
          </cell>
          <cell r="AO242">
            <v>0</v>
          </cell>
          <cell r="AP242">
            <v>0</v>
          </cell>
          <cell r="AR242">
            <v>0</v>
          </cell>
          <cell r="AS242">
            <v>0</v>
          </cell>
          <cell r="AT242">
            <v>0</v>
          </cell>
        </row>
        <row r="243">
          <cell r="G243">
            <v>44783</v>
          </cell>
          <cell r="J243">
            <v>0</v>
          </cell>
          <cell r="K243">
            <v>0</v>
          </cell>
          <cell r="L243">
            <v>0</v>
          </cell>
          <cell r="M243">
            <v>0</v>
          </cell>
          <cell r="N243">
            <v>0</v>
          </cell>
          <cell r="O243">
            <v>0</v>
          </cell>
          <cell r="P243">
            <v>0</v>
          </cell>
          <cell r="Q243">
            <v>0</v>
          </cell>
          <cell r="R243">
            <v>0</v>
          </cell>
          <cell r="S243">
            <v>0</v>
          </cell>
          <cell r="T243">
            <v>0</v>
          </cell>
          <cell r="U243">
            <v>0</v>
          </cell>
          <cell r="V243">
            <v>0</v>
          </cell>
          <cell r="W243">
            <v>0</v>
          </cell>
          <cell r="X243">
            <v>0</v>
          </cell>
          <cell r="Y243">
            <v>0</v>
          </cell>
          <cell r="Z243">
            <v>0</v>
          </cell>
          <cell r="AA243">
            <v>0</v>
          </cell>
          <cell r="AB243">
            <v>0</v>
          </cell>
          <cell r="AC243">
            <v>0</v>
          </cell>
          <cell r="AD243">
            <v>0</v>
          </cell>
          <cell r="AE243">
            <v>0</v>
          </cell>
          <cell r="AF243">
            <v>0</v>
          </cell>
          <cell r="AG243">
            <v>0</v>
          </cell>
          <cell r="AH243">
            <v>0</v>
          </cell>
          <cell r="AI243">
            <v>0</v>
          </cell>
          <cell r="AJ243">
            <v>0</v>
          </cell>
          <cell r="AK243">
            <v>0</v>
          </cell>
          <cell r="AL243">
            <v>0</v>
          </cell>
          <cell r="AM243">
            <v>0</v>
          </cell>
          <cell r="AN243">
            <v>0</v>
          </cell>
          <cell r="AO243">
            <v>0</v>
          </cell>
          <cell r="AP243">
            <v>0</v>
          </cell>
          <cell r="AR243">
            <v>0</v>
          </cell>
          <cell r="AS243">
            <v>0</v>
          </cell>
          <cell r="AT243">
            <v>0</v>
          </cell>
        </row>
        <row r="244">
          <cell r="G244">
            <v>44784</v>
          </cell>
          <cell r="J244">
            <v>0</v>
          </cell>
          <cell r="K244">
            <v>0</v>
          </cell>
          <cell r="L244">
            <v>0</v>
          </cell>
          <cell r="M244">
            <v>0</v>
          </cell>
          <cell r="N244">
            <v>0</v>
          </cell>
          <cell r="O244">
            <v>0</v>
          </cell>
          <cell r="P244">
            <v>0</v>
          </cell>
          <cell r="Q244">
            <v>0</v>
          </cell>
          <cell r="R244">
            <v>0</v>
          </cell>
          <cell r="S244">
            <v>0</v>
          </cell>
          <cell r="T244">
            <v>0</v>
          </cell>
          <cell r="U244">
            <v>0</v>
          </cell>
          <cell r="V244">
            <v>0</v>
          </cell>
          <cell r="W244">
            <v>0</v>
          </cell>
          <cell r="X244">
            <v>0</v>
          </cell>
          <cell r="Y244">
            <v>0</v>
          </cell>
          <cell r="Z244">
            <v>0</v>
          </cell>
          <cell r="AA244">
            <v>0</v>
          </cell>
          <cell r="AB244">
            <v>0</v>
          </cell>
          <cell r="AC244">
            <v>0</v>
          </cell>
          <cell r="AD244">
            <v>0</v>
          </cell>
          <cell r="AE244">
            <v>0</v>
          </cell>
          <cell r="AF244">
            <v>0</v>
          </cell>
          <cell r="AG244">
            <v>0</v>
          </cell>
          <cell r="AH244">
            <v>0</v>
          </cell>
          <cell r="AI244">
            <v>0</v>
          </cell>
          <cell r="AJ244">
            <v>0</v>
          </cell>
          <cell r="AK244">
            <v>0</v>
          </cell>
          <cell r="AL244">
            <v>0</v>
          </cell>
          <cell r="AM244">
            <v>0</v>
          </cell>
          <cell r="AN244">
            <v>0</v>
          </cell>
          <cell r="AO244">
            <v>0</v>
          </cell>
          <cell r="AP244">
            <v>0</v>
          </cell>
          <cell r="AR244">
            <v>0</v>
          </cell>
          <cell r="AS244">
            <v>0</v>
          </cell>
          <cell r="AT244">
            <v>0</v>
          </cell>
        </row>
        <row r="245">
          <cell r="G245">
            <v>44785</v>
          </cell>
          <cell r="J245">
            <v>0</v>
          </cell>
          <cell r="K245">
            <v>0</v>
          </cell>
          <cell r="L245">
            <v>0</v>
          </cell>
          <cell r="M245">
            <v>0</v>
          </cell>
          <cell r="N245">
            <v>0</v>
          </cell>
          <cell r="O245">
            <v>0</v>
          </cell>
          <cell r="P245">
            <v>0</v>
          </cell>
          <cell r="Q245">
            <v>0</v>
          </cell>
          <cell r="R245">
            <v>0</v>
          </cell>
          <cell r="S245">
            <v>0</v>
          </cell>
          <cell r="T245">
            <v>0</v>
          </cell>
          <cell r="U245">
            <v>0</v>
          </cell>
          <cell r="V245">
            <v>0</v>
          </cell>
          <cell r="W245">
            <v>0</v>
          </cell>
          <cell r="X245">
            <v>0</v>
          </cell>
          <cell r="Y245">
            <v>0</v>
          </cell>
          <cell r="Z245">
            <v>0</v>
          </cell>
          <cell r="AA245">
            <v>0</v>
          </cell>
          <cell r="AB245">
            <v>0</v>
          </cell>
          <cell r="AC245">
            <v>0</v>
          </cell>
          <cell r="AD245">
            <v>0</v>
          </cell>
          <cell r="AE245">
            <v>0</v>
          </cell>
          <cell r="AF245">
            <v>0</v>
          </cell>
          <cell r="AG245">
            <v>0</v>
          </cell>
          <cell r="AH245">
            <v>0</v>
          </cell>
          <cell r="AI245">
            <v>0</v>
          </cell>
          <cell r="AJ245">
            <v>0</v>
          </cell>
          <cell r="AK245">
            <v>0</v>
          </cell>
          <cell r="AL245">
            <v>0</v>
          </cell>
          <cell r="AM245">
            <v>0</v>
          </cell>
          <cell r="AN245">
            <v>0</v>
          </cell>
          <cell r="AO245">
            <v>0</v>
          </cell>
          <cell r="AP245">
            <v>0</v>
          </cell>
          <cell r="AR245">
            <v>0</v>
          </cell>
          <cell r="AS245">
            <v>0</v>
          </cell>
          <cell r="AT245">
            <v>0</v>
          </cell>
        </row>
        <row r="246">
          <cell r="G246">
            <v>44786</v>
          </cell>
          <cell r="J246">
            <v>0</v>
          </cell>
          <cell r="K246">
            <v>0</v>
          </cell>
          <cell r="L246">
            <v>0</v>
          </cell>
          <cell r="M246">
            <v>0</v>
          </cell>
          <cell r="N246">
            <v>0</v>
          </cell>
          <cell r="O246">
            <v>0</v>
          </cell>
          <cell r="P246">
            <v>0</v>
          </cell>
          <cell r="Q246">
            <v>0</v>
          </cell>
          <cell r="R246">
            <v>0</v>
          </cell>
          <cell r="S246">
            <v>0</v>
          </cell>
          <cell r="T246">
            <v>0</v>
          </cell>
          <cell r="U246">
            <v>0</v>
          </cell>
          <cell r="V246">
            <v>0</v>
          </cell>
          <cell r="W246">
            <v>0</v>
          </cell>
          <cell r="X246">
            <v>0</v>
          </cell>
          <cell r="Y246">
            <v>0</v>
          </cell>
          <cell r="Z246">
            <v>0</v>
          </cell>
          <cell r="AA246">
            <v>0</v>
          </cell>
          <cell r="AB246">
            <v>0</v>
          </cell>
          <cell r="AC246">
            <v>0</v>
          </cell>
          <cell r="AD246">
            <v>0</v>
          </cell>
          <cell r="AE246">
            <v>0</v>
          </cell>
          <cell r="AF246">
            <v>0</v>
          </cell>
          <cell r="AG246">
            <v>0</v>
          </cell>
          <cell r="AH246">
            <v>0</v>
          </cell>
          <cell r="AI246">
            <v>0</v>
          </cell>
          <cell r="AJ246">
            <v>0</v>
          </cell>
          <cell r="AK246">
            <v>0</v>
          </cell>
          <cell r="AL246">
            <v>0</v>
          </cell>
          <cell r="AM246">
            <v>0</v>
          </cell>
          <cell r="AN246">
            <v>0</v>
          </cell>
          <cell r="AO246">
            <v>0</v>
          </cell>
          <cell r="AP246">
            <v>0</v>
          </cell>
          <cell r="AR246">
            <v>0</v>
          </cell>
          <cell r="AS246">
            <v>0</v>
          </cell>
          <cell r="AT246">
            <v>0</v>
          </cell>
        </row>
        <row r="247">
          <cell r="G247">
            <v>44787</v>
          </cell>
          <cell r="J247">
            <v>0</v>
          </cell>
          <cell r="K247">
            <v>0</v>
          </cell>
          <cell r="L247">
            <v>0</v>
          </cell>
          <cell r="M247">
            <v>0</v>
          </cell>
          <cell r="N247">
            <v>0</v>
          </cell>
          <cell r="O247">
            <v>0</v>
          </cell>
          <cell r="P247">
            <v>0</v>
          </cell>
          <cell r="Q247">
            <v>0</v>
          </cell>
          <cell r="R247">
            <v>0</v>
          </cell>
          <cell r="S247">
            <v>0</v>
          </cell>
          <cell r="T247">
            <v>0</v>
          </cell>
          <cell r="U247">
            <v>0</v>
          </cell>
          <cell r="V247">
            <v>0</v>
          </cell>
          <cell r="W247">
            <v>0</v>
          </cell>
          <cell r="X247">
            <v>0</v>
          </cell>
          <cell r="Y247">
            <v>0</v>
          </cell>
          <cell r="Z247">
            <v>0</v>
          </cell>
          <cell r="AA247">
            <v>0</v>
          </cell>
          <cell r="AB247">
            <v>0</v>
          </cell>
          <cell r="AC247">
            <v>0</v>
          </cell>
          <cell r="AD247">
            <v>0</v>
          </cell>
          <cell r="AE247">
            <v>0</v>
          </cell>
          <cell r="AF247">
            <v>0</v>
          </cell>
          <cell r="AG247">
            <v>0</v>
          </cell>
          <cell r="AH247">
            <v>0</v>
          </cell>
          <cell r="AI247">
            <v>0</v>
          </cell>
          <cell r="AJ247">
            <v>0</v>
          </cell>
          <cell r="AK247">
            <v>0</v>
          </cell>
          <cell r="AL247">
            <v>0</v>
          </cell>
          <cell r="AM247">
            <v>0</v>
          </cell>
          <cell r="AN247">
            <v>0</v>
          </cell>
          <cell r="AO247">
            <v>0</v>
          </cell>
          <cell r="AP247">
            <v>0</v>
          </cell>
          <cell r="AR247">
            <v>0</v>
          </cell>
          <cell r="AS247">
            <v>0</v>
          </cell>
          <cell r="AT247">
            <v>0</v>
          </cell>
        </row>
        <row r="248">
          <cell r="G248">
            <v>44788</v>
          </cell>
          <cell r="J248">
            <v>0</v>
          </cell>
          <cell r="K248">
            <v>0</v>
          </cell>
          <cell r="L248">
            <v>0</v>
          </cell>
          <cell r="M248">
            <v>0</v>
          </cell>
          <cell r="N248">
            <v>0</v>
          </cell>
          <cell r="O248">
            <v>0</v>
          </cell>
          <cell r="P248">
            <v>0</v>
          </cell>
          <cell r="Q248">
            <v>0</v>
          </cell>
          <cell r="R248">
            <v>0</v>
          </cell>
          <cell r="S248">
            <v>0</v>
          </cell>
          <cell r="T248">
            <v>0</v>
          </cell>
          <cell r="U248">
            <v>0</v>
          </cell>
          <cell r="V248">
            <v>0</v>
          </cell>
          <cell r="W248">
            <v>0</v>
          </cell>
          <cell r="X248">
            <v>0</v>
          </cell>
          <cell r="Y248">
            <v>0</v>
          </cell>
          <cell r="Z248">
            <v>0</v>
          </cell>
          <cell r="AA248">
            <v>0</v>
          </cell>
          <cell r="AB248">
            <v>0</v>
          </cell>
          <cell r="AC248">
            <v>0</v>
          </cell>
          <cell r="AD248">
            <v>0</v>
          </cell>
          <cell r="AE248">
            <v>0</v>
          </cell>
          <cell r="AF248">
            <v>0</v>
          </cell>
          <cell r="AG248">
            <v>0</v>
          </cell>
          <cell r="AH248">
            <v>0</v>
          </cell>
          <cell r="AI248">
            <v>0</v>
          </cell>
          <cell r="AJ248">
            <v>0</v>
          </cell>
          <cell r="AK248">
            <v>0</v>
          </cell>
          <cell r="AL248">
            <v>0</v>
          </cell>
          <cell r="AM248">
            <v>0</v>
          </cell>
          <cell r="AN248">
            <v>0</v>
          </cell>
          <cell r="AO248">
            <v>0</v>
          </cell>
          <cell r="AP248">
            <v>0</v>
          </cell>
          <cell r="AR248">
            <v>0</v>
          </cell>
          <cell r="AS248">
            <v>0</v>
          </cell>
          <cell r="AT248">
            <v>0</v>
          </cell>
        </row>
        <row r="249">
          <cell r="G249">
            <v>44789</v>
          </cell>
          <cell r="J249">
            <v>0</v>
          </cell>
          <cell r="K249">
            <v>0</v>
          </cell>
          <cell r="L249">
            <v>0</v>
          </cell>
          <cell r="M249">
            <v>0</v>
          </cell>
          <cell r="N249">
            <v>0</v>
          </cell>
          <cell r="O249">
            <v>0</v>
          </cell>
          <cell r="P249">
            <v>0</v>
          </cell>
          <cell r="Q249">
            <v>0</v>
          </cell>
          <cell r="R249">
            <v>0</v>
          </cell>
          <cell r="S249">
            <v>0</v>
          </cell>
          <cell r="T249">
            <v>0</v>
          </cell>
          <cell r="U249">
            <v>0</v>
          </cell>
          <cell r="V249">
            <v>0</v>
          </cell>
          <cell r="W249">
            <v>0</v>
          </cell>
          <cell r="X249">
            <v>0</v>
          </cell>
          <cell r="Y249">
            <v>0</v>
          </cell>
          <cell r="Z249">
            <v>0</v>
          </cell>
          <cell r="AA249">
            <v>0</v>
          </cell>
          <cell r="AB249">
            <v>0</v>
          </cell>
          <cell r="AC249">
            <v>0</v>
          </cell>
          <cell r="AD249">
            <v>0</v>
          </cell>
          <cell r="AE249">
            <v>0</v>
          </cell>
          <cell r="AF249">
            <v>0</v>
          </cell>
          <cell r="AG249">
            <v>0</v>
          </cell>
          <cell r="AH249">
            <v>0</v>
          </cell>
          <cell r="AI249">
            <v>0</v>
          </cell>
          <cell r="AJ249">
            <v>0</v>
          </cell>
          <cell r="AK249">
            <v>0</v>
          </cell>
          <cell r="AL249">
            <v>0</v>
          </cell>
          <cell r="AM249">
            <v>0</v>
          </cell>
          <cell r="AN249">
            <v>0</v>
          </cell>
          <cell r="AO249">
            <v>0</v>
          </cell>
          <cell r="AP249">
            <v>0</v>
          </cell>
          <cell r="AR249">
            <v>0</v>
          </cell>
          <cell r="AS249">
            <v>0</v>
          </cell>
          <cell r="AT249">
            <v>0</v>
          </cell>
        </row>
        <row r="250">
          <cell r="G250">
            <v>44790</v>
          </cell>
          <cell r="J250">
            <v>0</v>
          </cell>
          <cell r="K250">
            <v>0</v>
          </cell>
          <cell r="L250">
            <v>0</v>
          </cell>
          <cell r="M250">
            <v>0</v>
          </cell>
          <cell r="N250">
            <v>0</v>
          </cell>
          <cell r="O250">
            <v>0</v>
          </cell>
          <cell r="P250">
            <v>0</v>
          </cell>
          <cell r="Q250">
            <v>0</v>
          </cell>
          <cell r="R250">
            <v>0</v>
          </cell>
          <cell r="S250">
            <v>0</v>
          </cell>
          <cell r="T250">
            <v>0</v>
          </cell>
          <cell r="U250">
            <v>0</v>
          </cell>
          <cell r="V250">
            <v>0</v>
          </cell>
          <cell r="W250">
            <v>0</v>
          </cell>
          <cell r="X250">
            <v>0</v>
          </cell>
          <cell r="Y250">
            <v>0</v>
          </cell>
          <cell r="Z250">
            <v>0</v>
          </cell>
          <cell r="AA250">
            <v>0</v>
          </cell>
          <cell r="AB250">
            <v>0</v>
          </cell>
          <cell r="AC250">
            <v>0</v>
          </cell>
          <cell r="AD250">
            <v>0</v>
          </cell>
          <cell r="AE250">
            <v>0</v>
          </cell>
          <cell r="AF250">
            <v>0</v>
          </cell>
          <cell r="AG250">
            <v>0</v>
          </cell>
          <cell r="AH250">
            <v>0</v>
          </cell>
          <cell r="AI250">
            <v>0</v>
          </cell>
          <cell r="AJ250">
            <v>0</v>
          </cell>
          <cell r="AK250">
            <v>0</v>
          </cell>
          <cell r="AL250">
            <v>0</v>
          </cell>
          <cell r="AM250">
            <v>0</v>
          </cell>
          <cell r="AN250">
            <v>0</v>
          </cell>
          <cell r="AO250">
            <v>0</v>
          </cell>
          <cell r="AP250">
            <v>0</v>
          </cell>
          <cell r="AR250">
            <v>0</v>
          </cell>
          <cell r="AS250">
            <v>0</v>
          </cell>
          <cell r="AT250">
            <v>0</v>
          </cell>
        </row>
        <row r="251">
          <cell r="G251">
            <v>44791</v>
          </cell>
          <cell r="J251">
            <v>0</v>
          </cell>
          <cell r="K251">
            <v>0</v>
          </cell>
          <cell r="L251">
            <v>0</v>
          </cell>
          <cell r="M251">
            <v>0</v>
          </cell>
          <cell r="N251">
            <v>0</v>
          </cell>
          <cell r="O251">
            <v>0</v>
          </cell>
          <cell r="P251">
            <v>0</v>
          </cell>
          <cell r="Q251">
            <v>0</v>
          </cell>
          <cell r="R251">
            <v>0</v>
          </cell>
          <cell r="S251">
            <v>0</v>
          </cell>
          <cell r="T251">
            <v>0</v>
          </cell>
          <cell r="U251">
            <v>0</v>
          </cell>
          <cell r="V251">
            <v>0</v>
          </cell>
          <cell r="W251">
            <v>0</v>
          </cell>
          <cell r="X251">
            <v>0</v>
          </cell>
          <cell r="Y251">
            <v>0</v>
          </cell>
          <cell r="Z251">
            <v>0</v>
          </cell>
          <cell r="AA251">
            <v>0</v>
          </cell>
          <cell r="AB251">
            <v>0</v>
          </cell>
          <cell r="AC251">
            <v>0</v>
          </cell>
          <cell r="AD251">
            <v>0</v>
          </cell>
          <cell r="AE251">
            <v>0</v>
          </cell>
          <cell r="AF251">
            <v>0</v>
          </cell>
          <cell r="AG251">
            <v>0</v>
          </cell>
          <cell r="AH251">
            <v>0</v>
          </cell>
          <cell r="AI251">
            <v>0</v>
          </cell>
          <cell r="AJ251">
            <v>0</v>
          </cell>
          <cell r="AK251">
            <v>0</v>
          </cell>
          <cell r="AL251">
            <v>0</v>
          </cell>
          <cell r="AM251">
            <v>0</v>
          </cell>
          <cell r="AN251">
            <v>0</v>
          </cell>
          <cell r="AO251">
            <v>0</v>
          </cell>
          <cell r="AP251">
            <v>0</v>
          </cell>
          <cell r="AR251">
            <v>0</v>
          </cell>
          <cell r="AS251">
            <v>0</v>
          </cell>
          <cell r="AT251">
            <v>0</v>
          </cell>
        </row>
        <row r="252">
          <cell r="G252">
            <v>44792</v>
          </cell>
          <cell r="J252">
            <v>0</v>
          </cell>
          <cell r="K252">
            <v>0</v>
          </cell>
          <cell r="L252">
            <v>0</v>
          </cell>
          <cell r="M252">
            <v>0</v>
          </cell>
          <cell r="N252">
            <v>0</v>
          </cell>
          <cell r="O252">
            <v>0</v>
          </cell>
          <cell r="P252">
            <v>0</v>
          </cell>
          <cell r="Q252">
            <v>0</v>
          </cell>
          <cell r="R252">
            <v>0</v>
          </cell>
          <cell r="S252">
            <v>0</v>
          </cell>
          <cell r="T252">
            <v>0</v>
          </cell>
          <cell r="U252">
            <v>0</v>
          </cell>
          <cell r="V252">
            <v>0</v>
          </cell>
          <cell r="W252">
            <v>0</v>
          </cell>
          <cell r="X252">
            <v>0</v>
          </cell>
          <cell r="Y252">
            <v>0</v>
          </cell>
          <cell r="Z252">
            <v>0</v>
          </cell>
          <cell r="AA252">
            <v>0</v>
          </cell>
          <cell r="AB252">
            <v>0</v>
          </cell>
          <cell r="AC252">
            <v>0</v>
          </cell>
          <cell r="AD252">
            <v>0</v>
          </cell>
          <cell r="AE252">
            <v>0</v>
          </cell>
          <cell r="AF252">
            <v>0</v>
          </cell>
          <cell r="AG252">
            <v>0</v>
          </cell>
          <cell r="AH252">
            <v>0</v>
          </cell>
          <cell r="AI252">
            <v>0</v>
          </cell>
          <cell r="AJ252">
            <v>0</v>
          </cell>
          <cell r="AK252">
            <v>0</v>
          </cell>
          <cell r="AL252">
            <v>0</v>
          </cell>
          <cell r="AM252">
            <v>0</v>
          </cell>
          <cell r="AN252">
            <v>0</v>
          </cell>
          <cell r="AO252">
            <v>0</v>
          </cell>
          <cell r="AP252">
            <v>0</v>
          </cell>
          <cell r="AR252">
            <v>0</v>
          </cell>
          <cell r="AS252">
            <v>0</v>
          </cell>
          <cell r="AT252">
            <v>0</v>
          </cell>
        </row>
        <row r="253">
          <cell r="G253">
            <v>44793</v>
          </cell>
          <cell r="J253">
            <v>0</v>
          </cell>
          <cell r="K253">
            <v>0</v>
          </cell>
          <cell r="L253">
            <v>0</v>
          </cell>
          <cell r="M253">
            <v>0</v>
          </cell>
          <cell r="N253">
            <v>0</v>
          </cell>
          <cell r="O253">
            <v>0</v>
          </cell>
          <cell r="P253">
            <v>0</v>
          </cell>
          <cell r="Q253">
            <v>0</v>
          </cell>
          <cell r="R253">
            <v>0</v>
          </cell>
          <cell r="S253">
            <v>0</v>
          </cell>
          <cell r="T253">
            <v>0</v>
          </cell>
          <cell r="U253">
            <v>0</v>
          </cell>
          <cell r="V253">
            <v>0</v>
          </cell>
          <cell r="W253">
            <v>0</v>
          </cell>
          <cell r="X253">
            <v>0</v>
          </cell>
          <cell r="Y253">
            <v>0</v>
          </cell>
          <cell r="Z253">
            <v>0</v>
          </cell>
          <cell r="AA253">
            <v>0</v>
          </cell>
          <cell r="AB253">
            <v>0</v>
          </cell>
          <cell r="AC253">
            <v>0</v>
          </cell>
          <cell r="AD253">
            <v>0</v>
          </cell>
          <cell r="AE253">
            <v>0</v>
          </cell>
          <cell r="AF253">
            <v>0</v>
          </cell>
          <cell r="AG253">
            <v>0</v>
          </cell>
          <cell r="AH253">
            <v>0</v>
          </cell>
          <cell r="AI253">
            <v>0</v>
          </cell>
          <cell r="AJ253">
            <v>0</v>
          </cell>
          <cell r="AK253">
            <v>0</v>
          </cell>
          <cell r="AL253">
            <v>0</v>
          </cell>
          <cell r="AM253">
            <v>0</v>
          </cell>
          <cell r="AN253">
            <v>0</v>
          </cell>
          <cell r="AO253">
            <v>0</v>
          </cell>
          <cell r="AP253">
            <v>0</v>
          </cell>
          <cell r="AR253">
            <v>0</v>
          </cell>
          <cell r="AS253">
            <v>0</v>
          </cell>
          <cell r="AT253">
            <v>0</v>
          </cell>
        </row>
        <row r="254">
          <cell r="G254">
            <v>44794</v>
          </cell>
          <cell r="J254">
            <v>0</v>
          </cell>
          <cell r="K254">
            <v>0</v>
          </cell>
          <cell r="L254">
            <v>0</v>
          </cell>
          <cell r="M254">
            <v>0</v>
          </cell>
          <cell r="N254">
            <v>0</v>
          </cell>
          <cell r="O254">
            <v>0</v>
          </cell>
          <cell r="P254">
            <v>0</v>
          </cell>
          <cell r="Q254">
            <v>0</v>
          </cell>
          <cell r="R254">
            <v>0</v>
          </cell>
          <cell r="S254">
            <v>0</v>
          </cell>
          <cell r="T254">
            <v>0</v>
          </cell>
          <cell r="U254">
            <v>0</v>
          </cell>
          <cell r="V254">
            <v>0</v>
          </cell>
          <cell r="W254">
            <v>0</v>
          </cell>
          <cell r="X254">
            <v>0</v>
          </cell>
          <cell r="Y254">
            <v>0</v>
          </cell>
          <cell r="Z254">
            <v>0</v>
          </cell>
          <cell r="AA254">
            <v>0</v>
          </cell>
          <cell r="AB254">
            <v>0</v>
          </cell>
          <cell r="AC254">
            <v>0</v>
          </cell>
          <cell r="AD254">
            <v>0</v>
          </cell>
          <cell r="AE254">
            <v>0</v>
          </cell>
          <cell r="AF254">
            <v>0</v>
          </cell>
          <cell r="AG254">
            <v>0</v>
          </cell>
          <cell r="AH254">
            <v>0</v>
          </cell>
          <cell r="AI254">
            <v>0</v>
          </cell>
          <cell r="AJ254">
            <v>0</v>
          </cell>
          <cell r="AK254">
            <v>0</v>
          </cell>
          <cell r="AL254">
            <v>0</v>
          </cell>
          <cell r="AM254">
            <v>0</v>
          </cell>
          <cell r="AN254">
            <v>0</v>
          </cell>
          <cell r="AO254">
            <v>0</v>
          </cell>
          <cell r="AP254">
            <v>0</v>
          </cell>
          <cell r="AR254">
            <v>0</v>
          </cell>
          <cell r="AS254">
            <v>0</v>
          </cell>
          <cell r="AT254">
            <v>0</v>
          </cell>
        </row>
        <row r="255">
          <cell r="G255">
            <v>44795</v>
          </cell>
          <cell r="J255">
            <v>0</v>
          </cell>
          <cell r="K255">
            <v>0</v>
          </cell>
          <cell r="L255">
            <v>0</v>
          </cell>
          <cell r="M255">
            <v>0</v>
          </cell>
          <cell r="N255">
            <v>0</v>
          </cell>
          <cell r="O255">
            <v>0</v>
          </cell>
          <cell r="P255">
            <v>0</v>
          </cell>
          <cell r="Q255">
            <v>0</v>
          </cell>
          <cell r="R255">
            <v>0</v>
          </cell>
          <cell r="S255">
            <v>0</v>
          </cell>
          <cell r="T255">
            <v>0</v>
          </cell>
          <cell r="U255">
            <v>0</v>
          </cell>
          <cell r="V255">
            <v>0</v>
          </cell>
          <cell r="W255">
            <v>0</v>
          </cell>
          <cell r="X255">
            <v>0</v>
          </cell>
          <cell r="Y255">
            <v>0</v>
          </cell>
          <cell r="Z255">
            <v>0</v>
          </cell>
          <cell r="AA255">
            <v>0</v>
          </cell>
          <cell r="AB255">
            <v>0</v>
          </cell>
          <cell r="AC255">
            <v>0</v>
          </cell>
          <cell r="AD255">
            <v>0</v>
          </cell>
          <cell r="AE255">
            <v>0</v>
          </cell>
          <cell r="AF255">
            <v>0</v>
          </cell>
          <cell r="AG255">
            <v>0</v>
          </cell>
          <cell r="AH255">
            <v>0</v>
          </cell>
          <cell r="AI255">
            <v>0</v>
          </cell>
          <cell r="AJ255">
            <v>0</v>
          </cell>
          <cell r="AK255">
            <v>0</v>
          </cell>
          <cell r="AL255">
            <v>0</v>
          </cell>
          <cell r="AM255">
            <v>0</v>
          </cell>
          <cell r="AN255">
            <v>0</v>
          </cell>
          <cell r="AO255">
            <v>0</v>
          </cell>
          <cell r="AP255">
            <v>0</v>
          </cell>
          <cell r="AR255">
            <v>0</v>
          </cell>
          <cell r="AS255">
            <v>0</v>
          </cell>
          <cell r="AT255">
            <v>0</v>
          </cell>
        </row>
        <row r="256">
          <cell r="G256">
            <v>44796</v>
          </cell>
          <cell r="J256">
            <v>0</v>
          </cell>
          <cell r="K256">
            <v>0</v>
          </cell>
          <cell r="L256">
            <v>0</v>
          </cell>
          <cell r="M256">
            <v>0</v>
          </cell>
          <cell r="N256">
            <v>0</v>
          </cell>
          <cell r="O256">
            <v>0</v>
          </cell>
          <cell r="P256">
            <v>0</v>
          </cell>
          <cell r="Q256">
            <v>0</v>
          </cell>
          <cell r="R256">
            <v>0</v>
          </cell>
          <cell r="S256">
            <v>0</v>
          </cell>
          <cell r="T256">
            <v>0</v>
          </cell>
          <cell r="U256">
            <v>0</v>
          </cell>
          <cell r="V256">
            <v>0</v>
          </cell>
          <cell r="W256">
            <v>0</v>
          </cell>
          <cell r="X256">
            <v>0</v>
          </cell>
          <cell r="Y256">
            <v>0</v>
          </cell>
          <cell r="Z256">
            <v>0</v>
          </cell>
          <cell r="AA256">
            <v>0</v>
          </cell>
          <cell r="AB256">
            <v>0</v>
          </cell>
          <cell r="AC256">
            <v>0</v>
          </cell>
          <cell r="AD256">
            <v>0</v>
          </cell>
          <cell r="AE256">
            <v>0</v>
          </cell>
          <cell r="AF256">
            <v>0</v>
          </cell>
          <cell r="AG256">
            <v>0</v>
          </cell>
          <cell r="AH256">
            <v>0</v>
          </cell>
          <cell r="AI256">
            <v>0</v>
          </cell>
          <cell r="AJ256">
            <v>0</v>
          </cell>
          <cell r="AK256">
            <v>0</v>
          </cell>
          <cell r="AL256">
            <v>0</v>
          </cell>
          <cell r="AM256">
            <v>0</v>
          </cell>
          <cell r="AN256">
            <v>0</v>
          </cell>
          <cell r="AO256">
            <v>0</v>
          </cell>
          <cell r="AP256">
            <v>0</v>
          </cell>
          <cell r="AR256">
            <v>0</v>
          </cell>
          <cell r="AS256">
            <v>0</v>
          </cell>
          <cell r="AT256">
            <v>0</v>
          </cell>
        </row>
        <row r="257">
          <cell r="G257">
            <v>44797</v>
          </cell>
          <cell r="J257">
            <v>0</v>
          </cell>
          <cell r="K257">
            <v>0</v>
          </cell>
          <cell r="L257">
            <v>0</v>
          </cell>
          <cell r="M257">
            <v>0</v>
          </cell>
          <cell r="N257">
            <v>0</v>
          </cell>
          <cell r="O257">
            <v>0</v>
          </cell>
          <cell r="P257">
            <v>0</v>
          </cell>
          <cell r="Q257">
            <v>0</v>
          </cell>
          <cell r="R257">
            <v>0</v>
          </cell>
          <cell r="S257">
            <v>0</v>
          </cell>
          <cell r="T257">
            <v>0</v>
          </cell>
          <cell r="U257">
            <v>0</v>
          </cell>
          <cell r="V257">
            <v>0</v>
          </cell>
          <cell r="W257">
            <v>0</v>
          </cell>
          <cell r="X257">
            <v>0</v>
          </cell>
          <cell r="Y257">
            <v>0</v>
          </cell>
          <cell r="Z257">
            <v>0</v>
          </cell>
          <cell r="AA257">
            <v>0</v>
          </cell>
          <cell r="AB257">
            <v>0</v>
          </cell>
          <cell r="AC257">
            <v>0</v>
          </cell>
          <cell r="AD257">
            <v>0</v>
          </cell>
          <cell r="AE257">
            <v>0</v>
          </cell>
          <cell r="AF257">
            <v>0</v>
          </cell>
          <cell r="AG257">
            <v>0</v>
          </cell>
          <cell r="AH257">
            <v>0</v>
          </cell>
          <cell r="AI257">
            <v>0</v>
          </cell>
          <cell r="AJ257">
            <v>0</v>
          </cell>
          <cell r="AK257">
            <v>0</v>
          </cell>
          <cell r="AL257">
            <v>0</v>
          </cell>
          <cell r="AM257">
            <v>0</v>
          </cell>
          <cell r="AN257">
            <v>0</v>
          </cell>
          <cell r="AO257">
            <v>0</v>
          </cell>
          <cell r="AP257">
            <v>0</v>
          </cell>
          <cell r="AR257">
            <v>0</v>
          </cell>
          <cell r="AS257">
            <v>0</v>
          </cell>
          <cell r="AT257">
            <v>0</v>
          </cell>
        </row>
        <row r="258">
          <cell r="G258">
            <v>44798</v>
          </cell>
          <cell r="J258">
            <v>0</v>
          </cell>
          <cell r="K258">
            <v>0</v>
          </cell>
          <cell r="L258">
            <v>0</v>
          </cell>
          <cell r="M258">
            <v>0</v>
          </cell>
          <cell r="N258">
            <v>0</v>
          </cell>
          <cell r="O258">
            <v>0</v>
          </cell>
          <cell r="P258">
            <v>0</v>
          </cell>
          <cell r="Q258">
            <v>0</v>
          </cell>
          <cell r="R258">
            <v>0</v>
          </cell>
          <cell r="S258">
            <v>0</v>
          </cell>
          <cell r="T258">
            <v>0</v>
          </cell>
          <cell r="U258">
            <v>0</v>
          </cell>
          <cell r="V258">
            <v>0</v>
          </cell>
          <cell r="W258">
            <v>0</v>
          </cell>
          <cell r="X258">
            <v>0</v>
          </cell>
          <cell r="Y258">
            <v>0</v>
          </cell>
          <cell r="Z258">
            <v>0</v>
          </cell>
          <cell r="AA258">
            <v>0</v>
          </cell>
          <cell r="AB258">
            <v>0</v>
          </cell>
          <cell r="AC258">
            <v>0</v>
          </cell>
          <cell r="AD258">
            <v>0</v>
          </cell>
          <cell r="AE258">
            <v>0</v>
          </cell>
          <cell r="AF258">
            <v>0</v>
          </cell>
          <cell r="AG258">
            <v>0</v>
          </cell>
          <cell r="AH258">
            <v>0</v>
          </cell>
          <cell r="AI258">
            <v>0</v>
          </cell>
          <cell r="AJ258">
            <v>0</v>
          </cell>
          <cell r="AK258">
            <v>0</v>
          </cell>
          <cell r="AL258">
            <v>0</v>
          </cell>
          <cell r="AM258">
            <v>0</v>
          </cell>
          <cell r="AN258">
            <v>0</v>
          </cell>
          <cell r="AO258">
            <v>0</v>
          </cell>
          <cell r="AP258">
            <v>0</v>
          </cell>
          <cell r="AR258">
            <v>0</v>
          </cell>
          <cell r="AS258">
            <v>0</v>
          </cell>
          <cell r="AT258">
            <v>0</v>
          </cell>
        </row>
        <row r="259">
          <cell r="G259">
            <v>44799</v>
          </cell>
          <cell r="J259">
            <v>0</v>
          </cell>
          <cell r="K259">
            <v>0</v>
          </cell>
          <cell r="L259">
            <v>0</v>
          </cell>
          <cell r="M259">
            <v>0</v>
          </cell>
          <cell r="N259">
            <v>0</v>
          </cell>
          <cell r="O259">
            <v>0</v>
          </cell>
          <cell r="P259">
            <v>0</v>
          </cell>
          <cell r="Q259">
            <v>0</v>
          </cell>
          <cell r="R259">
            <v>0</v>
          </cell>
          <cell r="S259">
            <v>0</v>
          </cell>
          <cell r="T259">
            <v>0</v>
          </cell>
          <cell r="U259">
            <v>0</v>
          </cell>
          <cell r="V259">
            <v>0</v>
          </cell>
          <cell r="W259">
            <v>0</v>
          </cell>
          <cell r="X259">
            <v>0</v>
          </cell>
          <cell r="Y259">
            <v>0</v>
          </cell>
          <cell r="Z259">
            <v>0</v>
          </cell>
          <cell r="AA259">
            <v>0</v>
          </cell>
          <cell r="AB259">
            <v>0</v>
          </cell>
          <cell r="AC259">
            <v>0</v>
          </cell>
          <cell r="AD259">
            <v>0</v>
          </cell>
          <cell r="AE259">
            <v>0</v>
          </cell>
          <cell r="AF259">
            <v>0</v>
          </cell>
          <cell r="AG259">
            <v>0</v>
          </cell>
          <cell r="AH259">
            <v>0</v>
          </cell>
          <cell r="AI259">
            <v>0</v>
          </cell>
          <cell r="AJ259">
            <v>0</v>
          </cell>
          <cell r="AK259">
            <v>0</v>
          </cell>
          <cell r="AL259">
            <v>0</v>
          </cell>
          <cell r="AM259">
            <v>0</v>
          </cell>
          <cell r="AN259">
            <v>0</v>
          </cell>
          <cell r="AO259">
            <v>0</v>
          </cell>
          <cell r="AP259">
            <v>0</v>
          </cell>
          <cell r="AR259">
            <v>0</v>
          </cell>
          <cell r="AS259">
            <v>0</v>
          </cell>
          <cell r="AT259">
            <v>0</v>
          </cell>
        </row>
        <row r="260">
          <cell r="G260">
            <v>44800</v>
          </cell>
          <cell r="J260">
            <v>0</v>
          </cell>
          <cell r="K260">
            <v>0</v>
          </cell>
          <cell r="L260">
            <v>0</v>
          </cell>
          <cell r="M260">
            <v>0</v>
          </cell>
          <cell r="N260">
            <v>0</v>
          </cell>
          <cell r="O260">
            <v>0</v>
          </cell>
          <cell r="P260">
            <v>0</v>
          </cell>
          <cell r="Q260">
            <v>0</v>
          </cell>
          <cell r="R260">
            <v>0</v>
          </cell>
          <cell r="S260">
            <v>0</v>
          </cell>
          <cell r="T260">
            <v>0</v>
          </cell>
          <cell r="U260">
            <v>0</v>
          </cell>
          <cell r="V260">
            <v>0</v>
          </cell>
          <cell r="W260">
            <v>0</v>
          </cell>
          <cell r="X260">
            <v>0</v>
          </cell>
          <cell r="Y260">
            <v>0</v>
          </cell>
          <cell r="Z260">
            <v>0</v>
          </cell>
          <cell r="AA260">
            <v>0</v>
          </cell>
          <cell r="AB260">
            <v>0</v>
          </cell>
          <cell r="AC260">
            <v>0</v>
          </cell>
          <cell r="AD260">
            <v>0</v>
          </cell>
          <cell r="AE260">
            <v>0</v>
          </cell>
          <cell r="AF260">
            <v>0</v>
          </cell>
          <cell r="AG260">
            <v>0</v>
          </cell>
          <cell r="AH260">
            <v>0</v>
          </cell>
          <cell r="AI260">
            <v>0</v>
          </cell>
          <cell r="AJ260">
            <v>0</v>
          </cell>
          <cell r="AK260">
            <v>0</v>
          </cell>
          <cell r="AL260">
            <v>0</v>
          </cell>
          <cell r="AM260">
            <v>0</v>
          </cell>
          <cell r="AN260">
            <v>0</v>
          </cell>
          <cell r="AO260">
            <v>0</v>
          </cell>
          <cell r="AP260">
            <v>0</v>
          </cell>
          <cell r="AR260">
            <v>0</v>
          </cell>
          <cell r="AS260">
            <v>0</v>
          </cell>
          <cell r="AT260">
            <v>0</v>
          </cell>
        </row>
        <row r="261">
          <cell r="G261">
            <v>44801</v>
          </cell>
          <cell r="J261">
            <v>0</v>
          </cell>
          <cell r="K261">
            <v>0</v>
          </cell>
          <cell r="L261">
            <v>0</v>
          </cell>
          <cell r="M261">
            <v>0</v>
          </cell>
          <cell r="N261">
            <v>0</v>
          </cell>
          <cell r="O261">
            <v>0</v>
          </cell>
          <cell r="P261">
            <v>0</v>
          </cell>
          <cell r="Q261">
            <v>0</v>
          </cell>
          <cell r="R261">
            <v>0</v>
          </cell>
          <cell r="S261">
            <v>0</v>
          </cell>
          <cell r="T261">
            <v>0</v>
          </cell>
          <cell r="U261">
            <v>0</v>
          </cell>
          <cell r="V261">
            <v>0</v>
          </cell>
          <cell r="W261">
            <v>0</v>
          </cell>
          <cell r="X261">
            <v>0</v>
          </cell>
          <cell r="Y261">
            <v>0</v>
          </cell>
          <cell r="Z261">
            <v>0</v>
          </cell>
          <cell r="AA261">
            <v>0</v>
          </cell>
          <cell r="AB261">
            <v>0</v>
          </cell>
          <cell r="AC261">
            <v>0</v>
          </cell>
          <cell r="AD261">
            <v>0</v>
          </cell>
          <cell r="AE261">
            <v>0</v>
          </cell>
          <cell r="AF261">
            <v>0</v>
          </cell>
          <cell r="AG261">
            <v>0</v>
          </cell>
          <cell r="AH261">
            <v>0</v>
          </cell>
          <cell r="AI261">
            <v>0</v>
          </cell>
          <cell r="AJ261">
            <v>0</v>
          </cell>
          <cell r="AK261">
            <v>0</v>
          </cell>
          <cell r="AL261">
            <v>0</v>
          </cell>
          <cell r="AM261">
            <v>0</v>
          </cell>
          <cell r="AN261">
            <v>0</v>
          </cell>
          <cell r="AO261">
            <v>0</v>
          </cell>
          <cell r="AP261">
            <v>0</v>
          </cell>
          <cell r="AR261">
            <v>0</v>
          </cell>
          <cell r="AS261">
            <v>0</v>
          </cell>
          <cell r="AT261">
            <v>0</v>
          </cell>
        </row>
        <row r="262">
          <cell r="G262">
            <v>44802</v>
          </cell>
          <cell r="J262">
            <v>0</v>
          </cell>
          <cell r="K262">
            <v>0</v>
          </cell>
          <cell r="L262">
            <v>0</v>
          </cell>
          <cell r="M262">
            <v>0</v>
          </cell>
          <cell r="N262">
            <v>0</v>
          </cell>
          <cell r="O262">
            <v>0</v>
          </cell>
          <cell r="P262">
            <v>0</v>
          </cell>
          <cell r="Q262">
            <v>0</v>
          </cell>
          <cell r="R262">
            <v>0</v>
          </cell>
          <cell r="S262">
            <v>0</v>
          </cell>
          <cell r="T262">
            <v>0</v>
          </cell>
          <cell r="U262">
            <v>0</v>
          </cell>
          <cell r="V262">
            <v>0</v>
          </cell>
          <cell r="W262">
            <v>0</v>
          </cell>
          <cell r="X262">
            <v>0</v>
          </cell>
          <cell r="Y262">
            <v>0</v>
          </cell>
          <cell r="Z262">
            <v>0</v>
          </cell>
          <cell r="AA262">
            <v>0</v>
          </cell>
          <cell r="AB262">
            <v>0</v>
          </cell>
          <cell r="AC262">
            <v>0</v>
          </cell>
          <cell r="AD262">
            <v>0</v>
          </cell>
          <cell r="AE262">
            <v>0</v>
          </cell>
          <cell r="AF262">
            <v>0</v>
          </cell>
          <cell r="AG262">
            <v>0</v>
          </cell>
          <cell r="AH262">
            <v>0</v>
          </cell>
          <cell r="AI262">
            <v>0</v>
          </cell>
          <cell r="AJ262">
            <v>0</v>
          </cell>
          <cell r="AK262">
            <v>0</v>
          </cell>
          <cell r="AL262">
            <v>0</v>
          </cell>
          <cell r="AM262">
            <v>0</v>
          </cell>
          <cell r="AN262">
            <v>0</v>
          </cell>
          <cell r="AO262">
            <v>0</v>
          </cell>
          <cell r="AP262">
            <v>0</v>
          </cell>
          <cell r="AR262">
            <v>0</v>
          </cell>
          <cell r="AS262">
            <v>0</v>
          </cell>
          <cell r="AT262">
            <v>0</v>
          </cell>
        </row>
        <row r="263">
          <cell r="G263">
            <v>44803</v>
          </cell>
          <cell r="J263">
            <v>0</v>
          </cell>
          <cell r="K263">
            <v>0</v>
          </cell>
          <cell r="L263">
            <v>0</v>
          </cell>
          <cell r="M263">
            <v>0</v>
          </cell>
          <cell r="N263">
            <v>0</v>
          </cell>
          <cell r="O263">
            <v>0</v>
          </cell>
          <cell r="P263">
            <v>0</v>
          </cell>
          <cell r="Q263">
            <v>0</v>
          </cell>
          <cell r="R263">
            <v>0</v>
          </cell>
          <cell r="S263">
            <v>0</v>
          </cell>
          <cell r="T263">
            <v>0</v>
          </cell>
          <cell r="U263">
            <v>0</v>
          </cell>
          <cell r="V263">
            <v>0</v>
          </cell>
          <cell r="W263">
            <v>0</v>
          </cell>
          <cell r="X263">
            <v>0</v>
          </cell>
          <cell r="Y263">
            <v>0</v>
          </cell>
          <cell r="Z263">
            <v>0</v>
          </cell>
          <cell r="AA263">
            <v>0</v>
          </cell>
          <cell r="AB263">
            <v>0</v>
          </cell>
          <cell r="AC263">
            <v>0</v>
          </cell>
          <cell r="AD263">
            <v>0</v>
          </cell>
          <cell r="AE263">
            <v>0</v>
          </cell>
          <cell r="AF263">
            <v>0</v>
          </cell>
          <cell r="AG263">
            <v>0</v>
          </cell>
          <cell r="AH263">
            <v>0</v>
          </cell>
          <cell r="AI263">
            <v>0</v>
          </cell>
          <cell r="AJ263">
            <v>0</v>
          </cell>
          <cell r="AK263">
            <v>0</v>
          </cell>
          <cell r="AL263">
            <v>0</v>
          </cell>
          <cell r="AM263">
            <v>0</v>
          </cell>
          <cell r="AN263">
            <v>0</v>
          </cell>
          <cell r="AO263">
            <v>0</v>
          </cell>
          <cell r="AP263">
            <v>0</v>
          </cell>
          <cell r="AR263">
            <v>0</v>
          </cell>
          <cell r="AS263">
            <v>0</v>
          </cell>
          <cell r="AT263">
            <v>0</v>
          </cell>
        </row>
        <row r="264">
          <cell r="G264">
            <v>44804</v>
          </cell>
          <cell r="J264">
            <v>0</v>
          </cell>
          <cell r="K264">
            <v>0</v>
          </cell>
          <cell r="L264">
            <v>0</v>
          </cell>
          <cell r="M264">
            <v>0</v>
          </cell>
          <cell r="N264">
            <v>0</v>
          </cell>
          <cell r="O264">
            <v>0</v>
          </cell>
          <cell r="P264">
            <v>0</v>
          </cell>
          <cell r="Q264">
            <v>0</v>
          </cell>
          <cell r="R264">
            <v>0</v>
          </cell>
          <cell r="S264">
            <v>0</v>
          </cell>
          <cell r="T264">
            <v>0</v>
          </cell>
          <cell r="U264">
            <v>0</v>
          </cell>
          <cell r="V264">
            <v>0</v>
          </cell>
          <cell r="W264">
            <v>0</v>
          </cell>
          <cell r="X264">
            <v>0</v>
          </cell>
          <cell r="Y264">
            <v>0</v>
          </cell>
          <cell r="Z264">
            <v>0</v>
          </cell>
          <cell r="AA264">
            <v>0</v>
          </cell>
          <cell r="AB264">
            <v>0</v>
          </cell>
          <cell r="AC264">
            <v>0</v>
          </cell>
          <cell r="AD264">
            <v>0</v>
          </cell>
          <cell r="AE264">
            <v>0</v>
          </cell>
          <cell r="AF264">
            <v>0</v>
          </cell>
          <cell r="AG264">
            <v>0</v>
          </cell>
          <cell r="AH264">
            <v>0</v>
          </cell>
          <cell r="AI264">
            <v>0</v>
          </cell>
          <cell r="AJ264">
            <v>0</v>
          </cell>
          <cell r="AK264">
            <v>0</v>
          </cell>
          <cell r="AL264">
            <v>0</v>
          </cell>
          <cell r="AM264">
            <v>0</v>
          </cell>
          <cell r="AN264">
            <v>0</v>
          </cell>
          <cell r="AO264">
            <v>0</v>
          </cell>
          <cell r="AP264">
            <v>0</v>
          </cell>
          <cell r="AR264">
            <v>0</v>
          </cell>
          <cell r="AS264">
            <v>0</v>
          </cell>
          <cell r="AT264">
            <v>0</v>
          </cell>
        </row>
        <row r="265">
          <cell r="G265">
            <v>44805</v>
          </cell>
          <cell r="J265">
            <v>0</v>
          </cell>
          <cell r="K265">
            <v>0</v>
          </cell>
          <cell r="L265">
            <v>0</v>
          </cell>
          <cell r="M265">
            <v>0</v>
          </cell>
          <cell r="N265">
            <v>0</v>
          </cell>
          <cell r="O265">
            <v>0</v>
          </cell>
          <cell r="P265">
            <v>0</v>
          </cell>
          <cell r="Q265">
            <v>0</v>
          </cell>
          <cell r="R265">
            <v>0</v>
          </cell>
          <cell r="S265">
            <v>0</v>
          </cell>
          <cell r="T265">
            <v>0</v>
          </cell>
          <cell r="U265">
            <v>0</v>
          </cell>
          <cell r="V265">
            <v>0</v>
          </cell>
          <cell r="W265">
            <v>0</v>
          </cell>
          <cell r="X265">
            <v>0</v>
          </cell>
          <cell r="Y265">
            <v>0</v>
          </cell>
          <cell r="Z265">
            <v>0</v>
          </cell>
          <cell r="AA265">
            <v>0</v>
          </cell>
          <cell r="AB265">
            <v>0</v>
          </cell>
          <cell r="AC265">
            <v>0</v>
          </cell>
          <cell r="AD265">
            <v>0</v>
          </cell>
          <cell r="AE265">
            <v>0</v>
          </cell>
          <cell r="AF265">
            <v>0</v>
          </cell>
          <cell r="AG265">
            <v>0</v>
          </cell>
          <cell r="AH265">
            <v>0</v>
          </cell>
          <cell r="AI265">
            <v>0</v>
          </cell>
          <cell r="AJ265">
            <v>0</v>
          </cell>
          <cell r="AK265">
            <v>0</v>
          </cell>
          <cell r="AL265">
            <v>0</v>
          </cell>
          <cell r="AM265">
            <v>0</v>
          </cell>
          <cell r="AN265">
            <v>0</v>
          </cell>
          <cell r="AO265">
            <v>0</v>
          </cell>
          <cell r="AP265">
            <v>0</v>
          </cell>
          <cell r="AR265">
            <v>0</v>
          </cell>
          <cell r="AS265">
            <v>0</v>
          </cell>
          <cell r="AT265">
            <v>0</v>
          </cell>
        </row>
        <row r="266">
          <cell r="G266">
            <v>44806</v>
          </cell>
          <cell r="J266">
            <v>0</v>
          </cell>
          <cell r="K266">
            <v>0</v>
          </cell>
          <cell r="L266">
            <v>0</v>
          </cell>
          <cell r="M266">
            <v>0</v>
          </cell>
          <cell r="N266">
            <v>0</v>
          </cell>
          <cell r="O266">
            <v>0</v>
          </cell>
          <cell r="P266">
            <v>0</v>
          </cell>
          <cell r="Q266">
            <v>0</v>
          </cell>
          <cell r="R266">
            <v>0</v>
          </cell>
          <cell r="S266">
            <v>0</v>
          </cell>
          <cell r="T266">
            <v>0</v>
          </cell>
          <cell r="U266">
            <v>0</v>
          </cell>
          <cell r="V266">
            <v>0</v>
          </cell>
          <cell r="W266">
            <v>0</v>
          </cell>
          <cell r="X266">
            <v>0</v>
          </cell>
          <cell r="Y266">
            <v>0</v>
          </cell>
          <cell r="Z266">
            <v>0</v>
          </cell>
          <cell r="AA266">
            <v>0</v>
          </cell>
          <cell r="AB266">
            <v>0</v>
          </cell>
          <cell r="AC266">
            <v>0</v>
          </cell>
          <cell r="AD266">
            <v>0</v>
          </cell>
          <cell r="AE266">
            <v>0</v>
          </cell>
          <cell r="AF266">
            <v>0</v>
          </cell>
          <cell r="AG266">
            <v>0</v>
          </cell>
          <cell r="AH266">
            <v>0</v>
          </cell>
          <cell r="AI266">
            <v>0</v>
          </cell>
          <cell r="AJ266">
            <v>0</v>
          </cell>
          <cell r="AK266">
            <v>0</v>
          </cell>
          <cell r="AL266">
            <v>0</v>
          </cell>
          <cell r="AM266">
            <v>0</v>
          </cell>
          <cell r="AN266">
            <v>0</v>
          </cell>
          <cell r="AO266">
            <v>0</v>
          </cell>
          <cell r="AP266">
            <v>0</v>
          </cell>
          <cell r="AR266">
            <v>0</v>
          </cell>
          <cell r="AS266">
            <v>0</v>
          </cell>
          <cell r="AT266">
            <v>0</v>
          </cell>
        </row>
        <row r="267">
          <cell r="G267">
            <v>44807</v>
          </cell>
          <cell r="J267">
            <v>0</v>
          </cell>
          <cell r="K267">
            <v>0</v>
          </cell>
          <cell r="L267">
            <v>0</v>
          </cell>
          <cell r="M267">
            <v>0</v>
          </cell>
          <cell r="N267">
            <v>0</v>
          </cell>
          <cell r="O267">
            <v>0</v>
          </cell>
          <cell r="P267">
            <v>0</v>
          </cell>
          <cell r="Q267">
            <v>0</v>
          </cell>
          <cell r="R267">
            <v>0</v>
          </cell>
          <cell r="S267">
            <v>0</v>
          </cell>
          <cell r="T267">
            <v>0</v>
          </cell>
          <cell r="U267">
            <v>0</v>
          </cell>
          <cell r="V267">
            <v>0</v>
          </cell>
          <cell r="W267">
            <v>0</v>
          </cell>
          <cell r="X267">
            <v>0</v>
          </cell>
          <cell r="Y267">
            <v>0</v>
          </cell>
          <cell r="Z267">
            <v>0</v>
          </cell>
          <cell r="AA267">
            <v>0</v>
          </cell>
          <cell r="AB267">
            <v>0</v>
          </cell>
          <cell r="AC267">
            <v>0</v>
          </cell>
          <cell r="AD267">
            <v>0</v>
          </cell>
          <cell r="AE267">
            <v>0</v>
          </cell>
          <cell r="AF267">
            <v>0</v>
          </cell>
          <cell r="AG267">
            <v>0</v>
          </cell>
          <cell r="AH267">
            <v>0</v>
          </cell>
          <cell r="AI267">
            <v>0</v>
          </cell>
          <cell r="AJ267">
            <v>0</v>
          </cell>
          <cell r="AK267">
            <v>0</v>
          </cell>
          <cell r="AL267">
            <v>0</v>
          </cell>
          <cell r="AM267">
            <v>0</v>
          </cell>
          <cell r="AN267">
            <v>0</v>
          </cell>
          <cell r="AO267">
            <v>0</v>
          </cell>
          <cell r="AP267">
            <v>0</v>
          </cell>
          <cell r="AR267">
            <v>0</v>
          </cell>
          <cell r="AS267">
            <v>0</v>
          </cell>
          <cell r="AT267">
            <v>0</v>
          </cell>
        </row>
        <row r="268">
          <cell r="G268">
            <v>44808</v>
          </cell>
          <cell r="J268">
            <v>0</v>
          </cell>
          <cell r="K268">
            <v>0</v>
          </cell>
          <cell r="L268">
            <v>0</v>
          </cell>
          <cell r="M268">
            <v>0</v>
          </cell>
          <cell r="N268">
            <v>0</v>
          </cell>
          <cell r="O268">
            <v>0</v>
          </cell>
          <cell r="P268">
            <v>0</v>
          </cell>
          <cell r="Q268">
            <v>0</v>
          </cell>
          <cell r="R268">
            <v>0</v>
          </cell>
          <cell r="S268">
            <v>0</v>
          </cell>
          <cell r="T268">
            <v>0</v>
          </cell>
          <cell r="U268">
            <v>0</v>
          </cell>
          <cell r="V268">
            <v>0</v>
          </cell>
          <cell r="W268">
            <v>0</v>
          </cell>
          <cell r="X268">
            <v>0</v>
          </cell>
          <cell r="Y268">
            <v>0</v>
          </cell>
          <cell r="Z268">
            <v>0</v>
          </cell>
          <cell r="AA268">
            <v>0</v>
          </cell>
          <cell r="AB268">
            <v>0</v>
          </cell>
          <cell r="AC268">
            <v>0</v>
          </cell>
          <cell r="AD268">
            <v>0</v>
          </cell>
          <cell r="AE268">
            <v>0</v>
          </cell>
          <cell r="AF268">
            <v>0</v>
          </cell>
          <cell r="AG268">
            <v>0</v>
          </cell>
          <cell r="AH268">
            <v>0</v>
          </cell>
          <cell r="AI268">
            <v>0</v>
          </cell>
          <cell r="AJ268">
            <v>0</v>
          </cell>
          <cell r="AK268">
            <v>0</v>
          </cell>
          <cell r="AL268">
            <v>0</v>
          </cell>
          <cell r="AM268">
            <v>0</v>
          </cell>
          <cell r="AN268">
            <v>0</v>
          </cell>
          <cell r="AO268">
            <v>0</v>
          </cell>
          <cell r="AP268">
            <v>0</v>
          </cell>
          <cell r="AR268">
            <v>0</v>
          </cell>
          <cell r="AS268">
            <v>0</v>
          </cell>
          <cell r="AT268">
            <v>0</v>
          </cell>
        </row>
        <row r="269">
          <cell r="G269">
            <v>44809</v>
          </cell>
          <cell r="J269">
            <v>0</v>
          </cell>
          <cell r="K269">
            <v>0</v>
          </cell>
          <cell r="L269">
            <v>0</v>
          </cell>
          <cell r="M269">
            <v>0</v>
          </cell>
          <cell r="N269">
            <v>0</v>
          </cell>
          <cell r="O269">
            <v>0</v>
          </cell>
          <cell r="P269">
            <v>0</v>
          </cell>
          <cell r="Q269">
            <v>0</v>
          </cell>
          <cell r="R269">
            <v>0</v>
          </cell>
          <cell r="S269">
            <v>0</v>
          </cell>
          <cell r="T269">
            <v>0</v>
          </cell>
          <cell r="U269">
            <v>0</v>
          </cell>
          <cell r="V269">
            <v>0</v>
          </cell>
          <cell r="W269">
            <v>0</v>
          </cell>
          <cell r="X269">
            <v>0</v>
          </cell>
          <cell r="Y269">
            <v>0</v>
          </cell>
          <cell r="Z269">
            <v>0</v>
          </cell>
          <cell r="AA269">
            <v>0</v>
          </cell>
          <cell r="AB269">
            <v>0</v>
          </cell>
          <cell r="AC269">
            <v>0</v>
          </cell>
          <cell r="AD269">
            <v>0</v>
          </cell>
          <cell r="AE269">
            <v>0</v>
          </cell>
          <cell r="AF269">
            <v>0</v>
          </cell>
          <cell r="AG269">
            <v>0</v>
          </cell>
          <cell r="AH269">
            <v>0</v>
          </cell>
          <cell r="AI269">
            <v>0</v>
          </cell>
          <cell r="AJ269">
            <v>0</v>
          </cell>
          <cell r="AK269">
            <v>0</v>
          </cell>
          <cell r="AL269">
            <v>0</v>
          </cell>
          <cell r="AM269">
            <v>0</v>
          </cell>
          <cell r="AN269">
            <v>0</v>
          </cell>
          <cell r="AO269">
            <v>0</v>
          </cell>
          <cell r="AP269">
            <v>0</v>
          </cell>
          <cell r="AR269">
            <v>0</v>
          </cell>
          <cell r="AS269">
            <v>0</v>
          </cell>
          <cell r="AT269">
            <v>0</v>
          </cell>
        </row>
        <row r="270">
          <cell r="G270">
            <v>44810</v>
          </cell>
          <cell r="J270">
            <v>0</v>
          </cell>
          <cell r="K270">
            <v>0</v>
          </cell>
          <cell r="L270">
            <v>0</v>
          </cell>
          <cell r="M270">
            <v>0</v>
          </cell>
          <cell r="N270">
            <v>0</v>
          </cell>
          <cell r="O270">
            <v>0</v>
          </cell>
          <cell r="P270">
            <v>0</v>
          </cell>
          <cell r="Q270">
            <v>0</v>
          </cell>
          <cell r="R270">
            <v>0</v>
          </cell>
          <cell r="S270">
            <v>0</v>
          </cell>
          <cell r="T270">
            <v>0</v>
          </cell>
          <cell r="U270">
            <v>0</v>
          </cell>
          <cell r="V270">
            <v>0</v>
          </cell>
          <cell r="W270">
            <v>0</v>
          </cell>
          <cell r="X270">
            <v>0</v>
          </cell>
          <cell r="Y270">
            <v>0</v>
          </cell>
          <cell r="Z270">
            <v>0</v>
          </cell>
          <cell r="AA270">
            <v>0</v>
          </cell>
          <cell r="AB270">
            <v>0</v>
          </cell>
          <cell r="AC270">
            <v>0</v>
          </cell>
          <cell r="AD270">
            <v>0</v>
          </cell>
          <cell r="AE270">
            <v>0</v>
          </cell>
          <cell r="AF270">
            <v>0</v>
          </cell>
          <cell r="AG270">
            <v>0</v>
          </cell>
          <cell r="AH270">
            <v>0</v>
          </cell>
          <cell r="AI270">
            <v>0</v>
          </cell>
          <cell r="AJ270">
            <v>0</v>
          </cell>
          <cell r="AK270">
            <v>0</v>
          </cell>
          <cell r="AL270">
            <v>0</v>
          </cell>
          <cell r="AM270">
            <v>0</v>
          </cell>
          <cell r="AN270">
            <v>0</v>
          </cell>
          <cell r="AO270">
            <v>0</v>
          </cell>
          <cell r="AP270">
            <v>0</v>
          </cell>
          <cell r="AR270">
            <v>0</v>
          </cell>
          <cell r="AS270">
            <v>0</v>
          </cell>
          <cell r="AT270">
            <v>0</v>
          </cell>
        </row>
        <row r="271">
          <cell r="G271">
            <v>44811</v>
          </cell>
          <cell r="J271">
            <v>0</v>
          </cell>
          <cell r="K271">
            <v>0</v>
          </cell>
          <cell r="L271">
            <v>0</v>
          </cell>
          <cell r="M271">
            <v>0</v>
          </cell>
          <cell r="N271">
            <v>0</v>
          </cell>
          <cell r="O271">
            <v>0</v>
          </cell>
          <cell r="P271">
            <v>0</v>
          </cell>
          <cell r="Q271">
            <v>0</v>
          </cell>
          <cell r="R271">
            <v>0</v>
          </cell>
          <cell r="S271">
            <v>0</v>
          </cell>
          <cell r="T271">
            <v>0</v>
          </cell>
          <cell r="U271">
            <v>0</v>
          </cell>
          <cell r="V271">
            <v>0</v>
          </cell>
          <cell r="W271">
            <v>0</v>
          </cell>
          <cell r="X271">
            <v>0</v>
          </cell>
          <cell r="Y271">
            <v>0</v>
          </cell>
          <cell r="Z271">
            <v>0</v>
          </cell>
          <cell r="AA271">
            <v>0</v>
          </cell>
          <cell r="AB271">
            <v>0</v>
          </cell>
          <cell r="AC271">
            <v>0</v>
          </cell>
          <cell r="AD271">
            <v>0</v>
          </cell>
          <cell r="AE271">
            <v>0</v>
          </cell>
          <cell r="AF271">
            <v>0</v>
          </cell>
          <cell r="AG271">
            <v>0</v>
          </cell>
          <cell r="AH271">
            <v>0</v>
          </cell>
          <cell r="AI271">
            <v>0</v>
          </cell>
          <cell r="AJ271">
            <v>0</v>
          </cell>
          <cell r="AK271">
            <v>0</v>
          </cell>
          <cell r="AL271">
            <v>0</v>
          </cell>
          <cell r="AM271">
            <v>0</v>
          </cell>
          <cell r="AN271">
            <v>0</v>
          </cell>
          <cell r="AO271">
            <v>0</v>
          </cell>
          <cell r="AP271">
            <v>0</v>
          </cell>
          <cell r="AR271">
            <v>0</v>
          </cell>
          <cell r="AS271">
            <v>0</v>
          </cell>
          <cell r="AT271">
            <v>0</v>
          </cell>
        </row>
        <row r="272">
          <cell r="G272">
            <v>44812</v>
          </cell>
          <cell r="J272">
            <v>0</v>
          </cell>
          <cell r="K272">
            <v>0</v>
          </cell>
          <cell r="L272">
            <v>0</v>
          </cell>
          <cell r="M272">
            <v>0</v>
          </cell>
          <cell r="N272">
            <v>0</v>
          </cell>
          <cell r="O272">
            <v>0</v>
          </cell>
          <cell r="P272">
            <v>0</v>
          </cell>
          <cell r="Q272">
            <v>0</v>
          </cell>
          <cell r="R272">
            <v>0</v>
          </cell>
          <cell r="S272">
            <v>0</v>
          </cell>
          <cell r="T272">
            <v>0</v>
          </cell>
          <cell r="U272">
            <v>0</v>
          </cell>
          <cell r="V272">
            <v>0</v>
          </cell>
          <cell r="W272">
            <v>0</v>
          </cell>
          <cell r="X272">
            <v>0</v>
          </cell>
          <cell r="Y272">
            <v>0</v>
          </cell>
          <cell r="Z272">
            <v>0</v>
          </cell>
          <cell r="AA272">
            <v>0</v>
          </cell>
          <cell r="AB272">
            <v>0</v>
          </cell>
          <cell r="AC272">
            <v>0</v>
          </cell>
          <cell r="AD272">
            <v>0</v>
          </cell>
          <cell r="AE272">
            <v>0</v>
          </cell>
          <cell r="AF272">
            <v>0</v>
          </cell>
          <cell r="AG272">
            <v>0</v>
          </cell>
          <cell r="AH272">
            <v>0</v>
          </cell>
          <cell r="AI272">
            <v>0</v>
          </cell>
          <cell r="AJ272">
            <v>0</v>
          </cell>
          <cell r="AK272">
            <v>0</v>
          </cell>
          <cell r="AL272">
            <v>0</v>
          </cell>
          <cell r="AM272">
            <v>0</v>
          </cell>
          <cell r="AN272">
            <v>0</v>
          </cell>
          <cell r="AO272">
            <v>0</v>
          </cell>
          <cell r="AP272">
            <v>0</v>
          </cell>
          <cell r="AR272">
            <v>0</v>
          </cell>
          <cell r="AS272">
            <v>0</v>
          </cell>
          <cell r="AT272">
            <v>0</v>
          </cell>
        </row>
        <row r="273">
          <cell r="G273">
            <v>44813</v>
          </cell>
          <cell r="J273">
            <v>0</v>
          </cell>
          <cell r="K273">
            <v>0</v>
          </cell>
          <cell r="L273">
            <v>0</v>
          </cell>
          <cell r="M273">
            <v>0</v>
          </cell>
          <cell r="N273">
            <v>0</v>
          </cell>
          <cell r="O273">
            <v>0</v>
          </cell>
          <cell r="P273">
            <v>0</v>
          </cell>
          <cell r="Q273">
            <v>0</v>
          </cell>
          <cell r="R273">
            <v>0</v>
          </cell>
          <cell r="S273">
            <v>0</v>
          </cell>
          <cell r="T273">
            <v>0</v>
          </cell>
          <cell r="U273">
            <v>0</v>
          </cell>
          <cell r="V273">
            <v>0</v>
          </cell>
          <cell r="W273">
            <v>0</v>
          </cell>
          <cell r="X273">
            <v>0</v>
          </cell>
          <cell r="Y273">
            <v>0</v>
          </cell>
          <cell r="Z273">
            <v>0</v>
          </cell>
          <cell r="AA273">
            <v>0</v>
          </cell>
          <cell r="AB273">
            <v>0</v>
          </cell>
          <cell r="AC273">
            <v>0</v>
          </cell>
          <cell r="AD273">
            <v>0</v>
          </cell>
          <cell r="AE273">
            <v>0</v>
          </cell>
          <cell r="AF273">
            <v>0</v>
          </cell>
          <cell r="AG273">
            <v>0</v>
          </cell>
          <cell r="AH273">
            <v>0</v>
          </cell>
          <cell r="AI273">
            <v>0</v>
          </cell>
          <cell r="AJ273">
            <v>0</v>
          </cell>
          <cell r="AK273">
            <v>0</v>
          </cell>
          <cell r="AL273">
            <v>0</v>
          </cell>
          <cell r="AM273">
            <v>0</v>
          </cell>
          <cell r="AN273">
            <v>0</v>
          </cell>
          <cell r="AO273">
            <v>0</v>
          </cell>
          <cell r="AP273">
            <v>0</v>
          </cell>
          <cell r="AR273">
            <v>0</v>
          </cell>
          <cell r="AS273">
            <v>0</v>
          </cell>
          <cell r="AT273">
            <v>0</v>
          </cell>
        </row>
        <row r="274">
          <cell r="G274">
            <v>44814</v>
          </cell>
          <cell r="J274">
            <v>0</v>
          </cell>
          <cell r="K274">
            <v>0</v>
          </cell>
          <cell r="L274">
            <v>0</v>
          </cell>
          <cell r="M274">
            <v>0</v>
          </cell>
          <cell r="N274">
            <v>0</v>
          </cell>
          <cell r="O274">
            <v>0</v>
          </cell>
          <cell r="P274">
            <v>0</v>
          </cell>
          <cell r="Q274">
            <v>0</v>
          </cell>
          <cell r="R274">
            <v>0</v>
          </cell>
          <cell r="S274">
            <v>0</v>
          </cell>
          <cell r="T274">
            <v>0</v>
          </cell>
          <cell r="U274">
            <v>0</v>
          </cell>
          <cell r="V274">
            <v>0</v>
          </cell>
          <cell r="W274">
            <v>0</v>
          </cell>
          <cell r="X274">
            <v>0</v>
          </cell>
          <cell r="Y274">
            <v>0</v>
          </cell>
          <cell r="Z274">
            <v>0</v>
          </cell>
          <cell r="AA274">
            <v>0</v>
          </cell>
          <cell r="AB274">
            <v>0</v>
          </cell>
          <cell r="AC274">
            <v>0</v>
          </cell>
          <cell r="AD274">
            <v>0</v>
          </cell>
          <cell r="AE274">
            <v>0</v>
          </cell>
          <cell r="AF274">
            <v>0</v>
          </cell>
          <cell r="AG274">
            <v>0</v>
          </cell>
          <cell r="AH274">
            <v>0</v>
          </cell>
          <cell r="AI274">
            <v>0</v>
          </cell>
          <cell r="AJ274">
            <v>0</v>
          </cell>
          <cell r="AK274">
            <v>0</v>
          </cell>
          <cell r="AL274">
            <v>0</v>
          </cell>
          <cell r="AM274">
            <v>0</v>
          </cell>
          <cell r="AN274">
            <v>0</v>
          </cell>
          <cell r="AO274">
            <v>0</v>
          </cell>
          <cell r="AP274">
            <v>0</v>
          </cell>
          <cell r="AR274">
            <v>0</v>
          </cell>
          <cell r="AS274">
            <v>0</v>
          </cell>
          <cell r="AT274">
            <v>0</v>
          </cell>
        </row>
        <row r="275">
          <cell r="G275">
            <v>44815</v>
          </cell>
          <cell r="J275">
            <v>0</v>
          </cell>
          <cell r="K275">
            <v>0</v>
          </cell>
          <cell r="L275">
            <v>0</v>
          </cell>
          <cell r="M275">
            <v>0</v>
          </cell>
          <cell r="N275">
            <v>0</v>
          </cell>
          <cell r="O275">
            <v>0</v>
          </cell>
          <cell r="P275">
            <v>0</v>
          </cell>
          <cell r="Q275">
            <v>0</v>
          </cell>
          <cell r="R275">
            <v>0</v>
          </cell>
          <cell r="S275">
            <v>0</v>
          </cell>
          <cell r="T275">
            <v>0</v>
          </cell>
          <cell r="U275">
            <v>0</v>
          </cell>
          <cell r="V275">
            <v>0</v>
          </cell>
          <cell r="W275">
            <v>0</v>
          </cell>
          <cell r="X275">
            <v>0</v>
          </cell>
          <cell r="Y275">
            <v>0</v>
          </cell>
          <cell r="Z275">
            <v>0</v>
          </cell>
          <cell r="AA275">
            <v>0</v>
          </cell>
          <cell r="AB275">
            <v>0</v>
          </cell>
          <cell r="AC275">
            <v>0</v>
          </cell>
          <cell r="AD275">
            <v>0</v>
          </cell>
          <cell r="AE275">
            <v>0</v>
          </cell>
          <cell r="AF275">
            <v>0</v>
          </cell>
          <cell r="AG275">
            <v>0</v>
          </cell>
          <cell r="AH275">
            <v>0</v>
          </cell>
          <cell r="AI275">
            <v>0</v>
          </cell>
          <cell r="AJ275">
            <v>0</v>
          </cell>
          <cell r="AK275">
            <v>0</v>
          </cell>
          <cell r="AL275">
            <v>0</v>
          </cell>
          <cell r="AM275">
            <v>0</v>
          </cell>
          <cell r="AN275">
            <v>0</v>
          </cell>
          <cell r="AO275">
            <v>0</v>
          </cell>
          <cell r="AP275">
            <v>0</v>
          </cell>
          <cell r="AR275">
            <v>0</v>
          </cell>
          <cell r="AS275">
            <v>0</v>
          </cell>
          <cell r="AT275">
            <v>0</v>
          </cell>
        </row>
        <row r="276">
          <cell r="G276">
            <v>44816</v>
          </cell>
          <cell r="J276">
            <v>0</v>
          </cell>
          <cell r="K276">
            <v>0</v>
          </cell>
          <cell r="L276">
            <v>0</v>
          </cell>
          <cell r="M276">
            <v>0</v>
          </cell>
          <cell r="N276">
            <v>0</v>
          </cell>
          <cell r="O276">
            <v>0</v>
          </cell>
          <cell r="P276">
            <v>0</v>
          </cell>
          <cell r="Q276">
            <v>0</v>
          </cell>
          <cell r="R276">
            <v>0</v>
          </cell>
          <cell r="S276">
            <v>0</v>
          </cell>
          <cell r="T276">
            <v>0</v>
          </cell>
          <cell r="U276">
            <v>0</v>
          </cell>
          <cell r="V276">
            <v>0</v>
          </cell>
          <cell r="W276">
            <v>0</v>
          </cell>
          <cell r="X276">
            <v>0</v>
          </cell>
          <cell r="Y276">
            <v>0</v>
          </cell>
          <cell r="Z276">
            <v>0</v>
          </cell>
          <cell r="AA276">
            <v>0</v>
          </cell>
          <cell r="AB276">
            <v>0</v>
          </cell>
          <cell r="AC276">
            <v>0</v>
          </cell>
          <cell r="AD276">
            <v>0</v>
          </cell>
          <cell r="AE276">
            <v>0</v>
          </cell>
          <cell r="AF276">
            <v>0</v>
          </cell>
          <cell r="AG276">
            <v>0</v>
          </cell>
          <cell r="AH276">
            <v>0</v>
          </cell>
          <cell r="AI276">
            <v>0</v>
          </cell>
          <cell r="AJ276">
            <v>0</v>
          </cell>
          <cell r="AK276">
            <v>0</v>
          </cell>
          <cell r="AL276">
            <v>0</v>
          </cell>
          <cell r="AM276">
            <v>0</v>
          </cell>
          <cell r="AN276">
            <v>0</v>
          </cell>
          <cell r="AO276">
            <v>0</v>
          </cell>
          <cell r="AP276">
            <v>0</v>
          </cell>
          <cell r="AR276">
            <v>0</v>
          </cell>
          <cell r="AS276">
            <v>0</v>
          </cell>
          <cell r="AT276">
            <v>0</v>
          </cell>
        </row>
        <row r="277">
          <cell r="G277">
            <v>44817</v>
          </cell>
          <cell r="J277">
            <v>0</v>
          </cell>
          <cell r="K277">
            <v>0</v>
          </cell>
          <cell r="L277">
            <v>0</v>
          </cell>
          <cell r="M277">
            <v>0</v>
          </cell>
          <cell r="N277">
            <v>0</v>
          </cell>
          <cell r="O277">
            <v>0</v>
          </cell>
          <cell r="P277">
            <v>0</v>
          </cell>
          <cell r="Q277">
            <v>0</v>
          </cell>
          <cell r="R277">
            <v>0</v>
          </cell>
          <cell r="S277">
            <v>0</v>
          </cell>
          <cell r="T277">
            <v>0</v>
          </cell>
          <cell r="U277">
            <v>0</v>
          </cell>
          <cell r="V277">
            <v>0</v>
          </cell>
          <cell r="W277">
            <v>0</v>
          </cell>
          <cell r="X277">
            <v>0</v>
          </cell>
          <cell r="Y277">
            <v>0</v>
          </cell>
          <cell r="Z277">
            <v>0</v>
          </cell>
          <cell r="AA277">
            <v>0</v>
          </cell>
          <cell r="AB277">
            <v>0</v>
          </cell>
          <cell r="AC277">
            <v>0</v>
          </cell>
          <cell r="AD277">
            <v>0</v>
          </cell>
          <cell r="AE277">
            <v>0</v>
          </cell>
          <cell r="AF277">
            <v>0</v>
          </cell>
          <cell r="AG277">
            <v>0</v>
          </cell>
          <cell r="AH277">
            <v>0</v>
          </cell>
          <cell r="AI277">
            <v>0</v>
          </cell>
          <cell r="AJ277">
            <v>0</v>
          </cell>
          <cell r="AK277">
            <v>0</v>
          </cell>
          <cell r="AL277">
            <v>0</v>
          </cell>
          <cell r="AM277">
            <v>0</v>
          </cell>
          <cell r="AN277">
            <v>0</v>
          </cell>
          <cell r="AO277">
            <v>0</v>
          </cell>
          <cell r="AP277">
            <v>0</v>
          </cell>
          <cell r="AR277">
            <v>0</v>
          </cell>
          <cell r="AS277">
            <v>0</v>
          </cell>
          <cell r="AT277">
            <v>0</v>
          </cell>
        </row>
        <row r="278">
          <cell r="G278">
            <v>44818</v>
          </cell>
          <cell r="J278">
            <v>0</v>
          </cell>
          <cell r="K278">
            <v>0</v>
          </cell>
          <cell r="L278">
            <v>0</v>
          </cell>
          <cell r="M278">
            <v>0</v>
          </cell>
          <cell r="N278">
            <v>0</v>
          </cell>
          <cell r="O278">
            <v>0</v>
          </cell>
          <cell r="P278">
            <v>0</v>
          </cell>
          <cell r="Q278">
            <v>0</v>
          </cell>
          <cell r="R278">
            <v>0</v>
          </cell>
          <cell r="S278">
            <v>0</v>
          </cell>
          <cell r="T278">
            <v>0</v>
          </cell>
          <cell r="U278">
            <v>0</v>
          </cell>
          <cell r="V278">
            <v>0</v>
          </cell>
          <cell r="W278">
            <v>0</v>
          </cell>
          <cell r="X278">
            <v>0</v>
          </cell>
          <cell r="Y278">
            <v>0</v>
          </cell>
          <cell r="Z278">
            <v>0</v>
          </cell>
          <cell r="AA278">
            <v>0</v>
          </cell>
          <cell r="AB278">
            <v>0</v>
          </cell>
          <cell r="AC278">
            <v>0</v>
          </cell>
          <cell r="AD278">
            <v>0</v>
          </cell>
          <cell r="AE278">
            <v>0</v>
          </cell>
          <cell r="AF278">
            <v>0</v>
          </cell>
          <cell r="AG278">
            <v>0</v>
          </cell>
          <cell r="AH278">
            <v>0</v>
          </cell>
          <cell r="AI278">
            <v>0</v>
          </cell>
          <cell r="AJ278">
            <v>0</v>
          </cell>
          <cell r="AK278">
            <v>0</v>
          </cell>
          <cell r="AL278">
            <v>0</v>
          </cell>
          <cell r="AM278">
            <v>0</v>
          </cell>
          <cell r="AN278">
            <v>0</v>
          </cell>
          <cell r="AO278">
            <v>0</v>
          </cell>
          <cell r="AP278">
            <v>0</v>
          </cell>
          <cell r="AR278">
            <v>0</v>
          </cell>
          <cell r="AS278">
            <v>0</v>
          </cell>
          <cell r="AT278">
            <v>0</v>
          </cell>
        </row>
        <row r="279">
          <cell r="G279">
            <v>44819</v>
          </cell>
          <cell r="J279">
            <v>0</v>
          </cell>
          <cell r="K279">
            <v>0</v>
          </cell>
          <cell r="L279">
            <v>0</v>
          </cell>
          <cell r="M279">
            <v>0</v>
          </cell>
          <cell r="N279">
            <v>0</v>
          </cell>
          <cell r="O279">
            <v>0</v>
          </cell>
          <cell r="P279">
            <v>0</v>
          </cell>
          <cell r="Q279">
            <v>0</v>
          </cell>
          <cell r="R279">
            <v>0</v>
          </cell>
          <cell r="S279">
            <v>0</v>
          </cell>
          <cell r="T279">
            <v>0</v>
          </cell>
          <cell r="U279">
            <v>0</v>
          </cell>
          <cell r="V279">
            <v>0</v>
          </cell>
          <cell r="W279">
            <v>0</v>
          </cell>
          <cell r="X279">
            <v>0</v>
          </cell>
          <cell r="Y279">
            <v>0</v>
          </cell>
          <cell r="Z279">
            <v>0</v>
          </cell>
          <cell r="AA279">
            <v>0</v>
          </cell>
          <cell r="AB279">
            <v>0</v>
          </cell>
          <cell r="AC279">
            <v>0</v>
          </cell>
          <cell r="AD279">
            <v>0</v>
          </cell>
          <cell r="AE279">
            <v>0</v>
          </cell>
          <cell r="AF279">
            <v>0</v>
          </cell>
          <cell r="AG279">
            <v>0</v>
          </cell>
          <cell r="AH279">
            <v>0</v>
          </cell>
          <cell r="AI279">
            <v>0</v>
          </cell>
          <cell r="AJ279">
            <v>0</v>
          </cell>
          <cell r="AK279">
            <v>0</v>
          </cell>
          <cell r="AL279">
            <v>0</v>
          </cell>
          <cell r="AM279">
            <v>0</v>
          </cell>
          <cell r="AN279">
            <v>0</v>
          </cell>
          <cell r="AO279">
            <v>0</v>
          </cell>
          <cell r="AP279">
            <v>0</v>
          </cell>
          <cell r="AR279">
            <v>0</v>
          </cell>
          <cell r="AS279">
            <v>0</v>
          </cell>
          <cell r="AT279">
            <v>0</v>
          </cell>
        </row>
        <row r="280">
          <cell r="G280">
            <v>44820</v>
          </cell>
          <cell r="J280">
            <v>0</v>
          </cell>
          <cell r="K280">
            <v>0</v>
          </cell>
          <cell r="L280">
            <v>0</v>
          </cell>
          <cell r="M280">
            <v>0</v>
          </cell>
          <cell r="N280">
            <v>0</v>
          </cell>
          <cell r="O280">
            <v>0</v>
          </cell>
          <cell r="P280">
            <v>0</v>
          </cell>
          <cell r="Q280">
            <v>0</v>
          </cell>
          <cell r="R280">
            <v>0</v>
          </cell>
          <cell r="S280">
            <v>0</v>
          </cell>
          <cell r="T280">
            <v>0</v>
          </cell>
          <cell r="U280">
            <v>0</v>
          </cell>
          <cell r="V280">
            <v>0</v>
          </cell>
          <cell r="W280">
            <v>0</v>
          </cell>
          <cell r="X280">
            <v>0</v>
          </cell>
          <cell r="Y280">
            <v>0</v>
          </cell>
          <cell r="Z280">
            <v>0</v>
          </cell>
          <cell r="AA280">
            <v>0</v>
          </cell>
          <cell r="AB280">
            <v>0</v>
          </cell>
          <cell r="AC280">
            <v>0</v>
          </cell>
          <cell r="AD280">
            <v>0</v>
          </cell>
          <cell r="AE280">
            <v>0</v>
          </cell>
          <cell r="AF280">
            <v>0</v>
          </cell>
          <cell r="AG280">
            <v>0</v>
          </cell>
          <cell r="AH280">
            <v>0</v>
          </cell>
          <cell r="AI280">
            <v>0</v>
          </cell>
          <cell r="AJ280">
            <v>0</v>
          </cell>
          <cell r="AK280">
            <v>0</v>
          </cell>
          <cell r="AL280">
            <v>0</v>
          </cell>
          <cell r="AM280">
            <v>0</v>
          </cell>
          <cell r="AN280">
            <v>0</v>
          </cell>
          <cell r="AO280">
            <v>0</v>
          </cell>
          <cell r="AP280">
            <v>0</v>
          </cell>
          <cell r="AR280">
            <v>0</v>
          </cell>
          <cell r="AS280">
            <v>0</v>
          </cell>
          <cell r="AT280">
            <v>0</v>
          </cell>
        </row>
        <row r="281">
          <cell r="G281">
            <v>44821</v>
          </cell>
          <cell r="J281">
            <v>0</v>
          </cell>
          <cell r="K281">
            <v>0</v>
          </cell>
          <cell r="L281">
            <v>0</v>
          </cell>
          <cell r="M281">
            <v>0</v>
          </cell>
          <cell r="N281">
            <v>0</v>
          </cell>
          <cell r="O281">
            <v>0</v>
          </cell>
          <cell r="P281">
            <v>0</v>
          </cell>
          <cell r="Q281">
            <v>0</v>
          </cell>
          <cell r="R281">
            <v>0</v>
          </cell>
          <cell r="S281">
            <v>0</v>
          </cell>
          <cell r="T281">
            <v>0</v>
          </cell>
          <cell r="U281">
            <v>0</v>
          </cell>
          <cell r="V281">
            <v>0</v>
          </cell>
          <cell r="W281">
            <v>0</v>
          </cell>
          <cell r="X281">
            <v>0</v>
          </cell>
          <cell r="Y281">
            <v>0</v>
          </cell>
          <cell r="Z281">
            <v>0</v>
          </cell>
          <cell r="AA281">
            <v>0</v>
          </cell>
          <cell r="AB281">
            <v>0</v>
          </cell>
          <cell r="AC281">
            <v>0</v>
          </cell>
          <cell r="AD281">
            <v>0</v>
          </cell>
          <cell r="AE281">
            <v>0</v>
          </cell>
          <cell r="AF281">
            <v>0</v>
          </cell>
          <cell r="AG281">
            <v>0</v>
          </cell>
          <cell r="AH281">
            <v>0</v>
          </cell>
          <cell r="AI281">
            <v>0</v>
          </cell>
          <cell r="AJ281">
            <v>0</v>
          </cell>
          <cell r="AK281">
            <v>0</v>
          </cell>
          <cell r="AL281">
            <v>0</v>
          </cell>
          <cell r="AM281">
            <v>0</v>
          </cell>
          <cell r="AN281">
            <v>0</v>
          </cell>
          <cell r="AO281">
            <v>0</v>
          </cell>
          <cell r="AP281">
            <v>0</v>
          </cell>
          <cell r="AR281">
            <v>0</v>
          </cell>
          <cell r="AS281">
            <v>0</v>
          </cell>
          <cell r="AT281">
            <v>0</v>
          </cell>
        </row>
        <row r="282">
          <cell r="G282">
            <v>44822</v>
          </cell>
          <cell r="J282">
            <v>0</v>
          </cell>
          <cell r="K282">
            <v>0</v>
          </cell>
          <cell r="L282">
            <v>0</v>
          </cell>
          <cell r="M282">
            <v>0</v>
          </cell>
          <cell r="N282">
            <v>0</v>
          </cell>
          <cell r="O282">
            <v>0</v>
          </cell>
          <cell r="P282">
            <v>0</v>
          </cell>
          <cell r="Q282">
            <v>0</v>
          </cell>
          <cell r="R282">
            <v>0</v>
          </cell>
          <cell r="S282">
            <v>0</v>
          </cell>
          <cell r="T282">
            <v>0</v>
          </cell>
          <cell r="U282">
            <v>0</v>
          </cell>
          <cell r="V282">
            <v>0</v>
          </cell>
          <cell r="W282">
            <v>0</v>
          </cell>
          <cell r="X282">
            <v>0</v>
          </cell>
          <cell r="Y282">
            <v>0</v>
          </cell>
          <cell r="Z282">
            <v>0</v>
          </cell>
          <cell r="AA282">
            <v>0</v>
          </cell>
          <cell r="AB282">
            <v>0</v>
          </cell>
          <cell r="AC282">
            <v>0</v>
          </cell>
          <cell r="AD282">
            <v>0</v>
          </cell>
          <cell r="AE282">
            <v>0</v>
          </cell>
          <cell r="AF282">
            <v>0</v>
          </cell>
          <cell r="AG282">
            <v>0</v>
          </cell>
          <cell r="AH282">
            <v>0</v>
          </cell>
          <cell r="AI282">
            <v>0</v>
          </cell>
          <cell r="AJ282">
            <v>0</v>
          </cell>
          <cell r="AK282">
            <v>0</v>
          </cell>
          <cell r="AL282">
            <v>0</v>
          </cell>
          <cell r="AM282">
            <v>0</v>
          </cell>
          <cell r="AN282">
            <v>0</v>
          </cell>
          <cell r="AO282">
            <v>0</v>
          </cell>
          <cell r="AP282">
            <v>0</v>
          </cell>
          <cell r="AR282">
            <v>0</v>
          </cell>
          <cell r="AS282">
            <v>0</v>
          </cell>
          <cell r="AT282">
            <v>0</v>
          </cell>
        </row>
        <row r="283">
          <cell r="G283">
            <v>44823</v>
          </cell>
          <cell r="J283">
            <v>0</v>
          </cell>
          <cell r="K283">
            <v>0</v>
          </cell>
          <cell r="L283">
            <v>0</v>
          </cell>
          <cell r="M283">
            <v>0</v>
          </cell>
          <cell r="N283">
            <v>0</v>
          </cell>
          <cell r="O283">
            <v>0</v>
          </cell>
          <cell r="P283">
            <v>0</v>
          </cell>
          <cell r="Q283">
            <v>0</v>
          </cell>
          <cell r="R283">
            <v>0</v>
          </cell>
          <cell r="S283">
            <v>0</v>
          </cell>
          <cell r="T283">
            <v>0</v>
          </cell>
          <cell r="U283">
            <v>0</v>
          </cell>
          <cell r="V283">
            <v>0</v>
          </cell>
          <cell r="W283">
            <v>0</v>
          </cell>
          <cell r="X283">
            <v>0</v>
          </cell>
          <cell r="Y283">
            <v>0</v>
          </cell>
          <cell r="Z283">
            <v>0</v>
          </cell>
          <cell r="AA283">
            <v>0</v>
          </cell>
          <cell r="AB283">
            <v>0</v>
          </cell>
          <cell r="AC283">
            <v>0</v>
          </cell>
          <cell r="AD283">
            <v>0</v>
          </cell>
          <cell r="AE283">
            <v>0</v>
          </cell>
          <cell r="AF283">
            <v>0</v>
          </cell>
          <cell r="AG283">
            <v>0</v>
          </cell>
          <cell r="AH283">
            <v>0</v>
          </cell>
          <cell r="AI283">
            <v>0</v>
          </cell>
          <cell r="AJ283">
            <v>0</v>
          </cell>
          <cell r="AK283">
            <v>0</v>
          </cell>
          <cell r="AL283">
            <v>0</v>
          </cell>
          <cell r="AM283">
            <v>0</v>
          </cell>
          <cell r="AN283">
            <v>0</v>
          </cell>
          <cell r="AO283">
            <v>0</v>
          </cell>
          <cell r="AP283">
            <v>0</v>
          </cell>
          <cell r="AR283">
            <v>0</v>
          </cell>
          <cell r="AS283">
            <v>0</v>
          </cell>
          <cell r="AT283">
            <v>0</v>
          </cell>
        </row>
        <row r="284">
          <cell r="G284">
            <v>44824</v>
          </cell>
          <cell r="J284">
            <v>0</v>
          </cell>
          <cell r="K284">
            <v>0</v>
          </cell>
          <cell r="L284">
            <v>0</v>
          </cell>
          <cell r="M284">
            <v>0</v>
          </cell>
          <cell r="N284">
            <v>0</v>
          </cell>
          <cell r="O284">
            <v>0</v>
          </cell>
          <cell r="P284">
            <v>0</v>
          </cell>
          <cell r="Q284">
            <v>0</v>
          </cell>
          <cell r="R284">
            <v>0</v>
          </cell>
          <cell r="S284">
            <v>0</v>
          </cell>
          <cell r="T284">
            <v>0</v>
          </cell>
          <cell r="U284">
            <v>0</v>
          </cell>
          <cell r="V284">
            <v>0</v>
          </cell>
          <cell r="W284">
            <v>0</v>
          </cell>
          <cell r="X284">
            <v>0</v>
          </cell>
          <cell r="Y284">
            <v>0</v>
          </cell>
          <cell r="Z284">
            <v>0</v>
          </cell>
          <cell r="AA284">
            <v>0</v>
          </cell>
          <cell r="AB284">
            <v>0</v>
          </cell>
          <cell r="AC284">
            <v>0</v>
          </cell>
          <cell r="AD284">
            <v>0</v>
          </cell>
          <cell r="AE284">
            <v>0</v>
          </cell>
          <cell r="AF284">
            <v>0</v>
          </cell>
          <cell r="AG284">
            <v>0</v>
          </cell>
          <cell r="AH284">
            <v>0</v>
          </cell>
          <cell r="AI284">
            <v>0</v>
          </cell>
          <cell r="AJ284">
            <v>0</v>
          </cell>
          <cell r="AK284">
            <v>0</v>
          </cell>
          <cell r="AL284">
            <v>0</v>
          </cell>
          <cell r="AM284">
            <v>0</v>
          </cell>
          <cell r="AN284">
            <v>0</v>
          </cell>
          <cell r="AO284">
            <v>0</v>
          </cell>
          <cell r="AP284">
            <v>0</v>
          </cell>
          <cell r="AR284">
            <v>0</v>
          </cell>
          <cell r="AS284">
            <v>0</v>
          </cell>
          <cell r="AT284">
            <v>0</v>
          </cell>
        </row>
        <row r="285">
          <cell r="G285">
            <v>44825</v>
          </cell>
          <cell r="J285">
            <v>0</v>
          </cell>
          <cell r="K285">
            <v>0</v>
          </cell>
          <cell r="L285">
            <v>0</v>
          </cell>
          <cell r="M285">
            <v>0</v>
          </cell>
          <cell r="N285">
            <v>0</v>
          </cell>
          <cell r="O285">
            <v>0</v>
          </cell>
          <cell r="P285">
            <v>0</v>
          </cell>
          <cell r="Q285">
            <v>0</v>
          </cell>
          <cell r="R285">
            <v>0</v>
          </cell>
          <cell r="S285">
            <v>0</v>
          </cell>
          <cell r="T285">
            <v>0</v>
          </cell>
          <cell r="U285">
            <v>0</v>
          </cell>
          <cell r="V285">
            <v>0</v>
          </cell>
          <cell r="W285">
            <v>0</v>
          </cell>
          <cell r="X285">
            <v>0</v>
          </cell>
          <cell r="Y285">
            <v>0</v>
          </cell>
          <cell r="Z285">
            <v>0</v>
          </cell>
          <cell r="AA285">
            <v>0</v>
          </cell>
          <cell r="AB285">
            <v>0</v>
          </cell>
          <cell r="AC285">
            <v>0</v>
          </cell>
          <cell r="AD285">
            <v>0</v>
          </cell>
          <cell r="AE285">
            <v>0</v>
          </cell>
          <cell r="AF285">
            <v>0</v>
          </cell>
          <cell r="AG285">
            <v>0</v>
          </cell>
          <cell r="AH285">
            <v>0</v>
          </cell>
          <cell r="AI285">
            <v>0</v>
          </cell>
          <cell r="AJ285">
            <v>0</v>
          </cell>
          <cell r="AK285">
            <v>0</v>
          </cell>
          <cell r="AL285">
            <v>0</v>
          </cell>
          <cell r="AM285">
            <v>0</v>
          </cell>
          <cell r="AN285">
            <v>0</v>
          </cell>
          <cell r="AO285">
            <v>0</v>
          </cell>
          <cell r="AP285">
            <v>0</v>
          </cell>
          <cell r="AR285">
            <v>0</v>
          </cell>
          <cell r="AS285">
            <v>0</v>
          </cell>
          <cell r="AT285">
            <v>0</v>
          </cell>
        </row>
        <row r="286">
          <cell r="G286">
            <v>44826</v>
          </cell>
          <cell r="J286">
            <v>0</v>
          </cell>
          <cell r="K286">
            <v>0</v>
          </cell>
          <cell r="L286">
            <v>0</v>
          </cell>
          <cell r="M286">
            <v>0</v>
          </cell>
          <cell r="N286">
            <v>0</v>
          </cell>
          <cell r="O286">
            <v>0</v>
          </cell>
          <cell r="P286">
            <v>0</v>
          </cell>
          <cell r="Q286">
            <v>0</v>
          </cell>
          <cell r="R286">
            <v>0</v>
          </cell>
          <cell r="S286">
            <v>0</v>
          </cell>
          <cell r="T286">
            <v>0</v>
          </cell>
          <cell r="U286">
            <v>0</v>
          </cell>
          <cell r="V286">
            <v>0</v>
          </cell>
          <cell r="W286">
            <v>0</v>
          </cell>
          <cell r="X286">
            <v>0</v>
          </cell>
          <cell r="Y286">
            <v>0</v>
          </cell>
          <cell r="Z286">
            <v>0</v>
          </cell>
          <cell r="AA286">
            <v>0</v>
          </cell>
          <cell r="AB286">
            <v>0</v>
          </cell>
          <cell r="AC286">
            <v>0</v>
          </cell>
          <cell r="AD286">
            <v>0</v>
          </cell>
          <cell r="AE286">
            <v>0</v>
          </cell>
          <cell r="AF286">
            <v>0</v>
          </cell>
          <cell r="AG286">
            <v>0</v>
          </cell>
          <cell r="AH286">
            <v>0</v>
          </cell>
          <cell r="AI286">
            <v>0</v>
          </cell>
          <cell r="AJ286">
            <v>0</v>
          </cell>
          <cell r="AK286">
            <v>0</v>
          </cell>
          <cell r="AL286">
            <v>0</v>
          </cell>
          <cell r="AM286">
            <v>0</v>
          </cell>
          <cell r="AN286">
            <v>0</v>
          </cell>
          <cell r="AO286">
            <v>0</v>
          </cell>
          <cell r="AP286">
            <v>0</v>
          </cell>
          <cell r="AR286">
            <v>0</v>
          </cell>
          <cell r="AS286">
            <v>0</v>
          </cell>
          <cell r="AT286">
            <v>0</v>
          </cell>
        </row>
        <row r="287">
          <cell r="G287">
            <v>44827</v>
          </cell>
          <cell r="J287">
            <v>0</v>
          </cell>
          <cell r="K287">
            <v>0</v>
          </cell>
          <cell r="L287">
            <v>0</v>
          </cell>
          <cell r="M287">
            <v>0</v>
          </cell>
          <cell r="N287">
            <v>0</v>
          </cell>
          <cell r="O287">
            <v>0</v>
          </cell>
          <cell r="P287">
            <v>0</v>
          </cell>
          <cell r="Q287">
            <v>0</v>
          </cell>
          <cell r="R287">
            <v>0</v>
          </cell>
          <cell r="S287">
            <v>0</v>
          </cell>
          <cell r="T287">
            <v>0</v>
          </cell>
          <cell r="U287">
            <v>0</v>
          </cell>
          <cell r="V287">
            <v>0</v>
          </cell>
          <cell r="W287">
            <v>0</v>
          </cell>
          <cell r="X287">
            <v>0</v>
          </cell>
          <cell r="Y287">
            <v>0</v>
          </cell>
          <cell r="Z287">
            <v>0</v>
          </cell>
          <cell r="AA287">
            <v>0</v>
          </cell>
          <cell r="AB287">
            <v>0</v>
          </cell>
          <cell r="AC287">
            <v>0</v>
          </cell>
          <cell r="AD287">
            <v>0</v>
          </cell>
          <cell r="AE287">
            <v>0</v>
          </cell>
          <cell r="AF287">
            <v>0</v>
          </cell>
          <cell r="AG287">
            <v>0</v>
          </cell>
          <cell r="AH287">
            <v>0</v>
          </cell>
          <cell r="AI287">
            <v>0</v>
          </cell>
          <cell r="AJ287">
            <v>0</v>
          </cell>
          <cell r="AK287">
            <v>0</v>
          </cell>
          <cell r="AL287">
            <v>0</v>
          </cell>
          <cell r="AM287">
            <v>0</v>
          </cell>
          <cell r="AN287">
            <v>0</v>
          </cell>
          <cell r="AO287">
            <v>0</v>
          </cell>
          <cell r="AP287">
            <v>0</v>
          </cell>
          <cell r="AR287">
            <v>0</v>
          </cell>
          <cell r="AS287">
            <v>0</v>
          </cell>
          <cell r="AT287">
            <v>0</v>
          </cell>
        </row>
        <row r="288">
          <cell r="G288">
            <v>44828</v>
          </cell>
          <cell r="J288">
            <v>0</v>
          </cell>
          <cell r="K288">
            <v>0</v>
          </cell>
          <cell r="L288">
            <v>0</v>
          </cell>
          <cell r="M288">
            <v>0</v>
          </cell>
          <cell r="N288">
            <v>0</v>
          </cell>
          <cell r="O288">
            <v>0</v>
          </cell>
          <cell r="P288">
            <v>0</v>
          </cell>
          <cell r="Q288">
            <v>0</v>
          </cell>
          <cell r="R288">
            <v>0</v>
          </cell>
          <cell r="S288">
            <v>0</v>
          </cell>
          <cell r="T288">
            <v>0</v>
          </cell>
          <cell r="U288">
            <v>0</v>
          </cell>
          <cell r="V288">
            <v>0</v>
          </cell>
          <cell r="W288">
            <v>0</v>
          </cell>
          <cell r="X288">
            <v>0</v>
          </cell>
          <cell r="Y288">
            <v>0</v>
          </cell>
          <cell r="Z288">
            <v>0</v>
          </cell>
          <cell r="AA288">
            <v>0</v>
          </cell>
          <cell r="AB288">
            <v>0</v>
          </cell>
          <cell r="AC288">
            <v>0</v>
          </cell>
          <cell r="AD288">
            <v>0</v>
          </cell>
          <cell r="AE288">
            <v>0</v>
          </cell>
          <cell r="AF288">
            <v>0</v>
          </cell>
          <cell r="AG288">
            <v>0</v>
          </cell>
          <cell r="AH288">
            <v>0</v>
          </cell>
          <cell r="AI288">
            <v>0</v>
          </cell>
          <cell r="AJ288">
            <v>0</v>
          </cell>
          <cell r="AK288">
            <v>0</v>
          </cell>
          <cell r="AL288">
            <v>0</v>
          </cell>
          <cell r="AM288">
            <v>0</v>
          </cell>
          <cell r="AN288">
            <v>0</v>
          </cell>
          <cell r="AO288">
            <v>0</v>
          </cell>
          <cell r="AP288">
            <v>0</v>
          </cell>
          <cell r="AR288">
            <v>0</v>
          </cell>
          <cell r="AS288">
            <v>0</v>
          </cell>
          <cell r="AT288">
            <v>0</v>
          </cell>
        </row>
        <row r="289">
          <cell r="G289">
            <v>44829</v>
          </cell>
          <cell r="J289">
            <v>0</v>
          </cell>
          <cell r="K289">
            <v>0</v>
          </cell>
          <cell r="L289">
            <v>0</v>
          </cell>
          <cell r="M289">
            <v>0</v>
          </cell>
          <cell r="N289">
            <v>0</v>
          </cell>
          <cell r="O289">
            <v>0</v>
          </cell>
          <cell r="P289">
            <v>0</v>
          </cell>
          <cell r="Q289">
            <v>0</v>
          </cell>
          <cell r="R289">
            <v>0</v>
          </cell>
          <cell r="S289">
            <v>0</v>
          </cell>
          <cell r="T289">
            <v>0</v>
          </cell>
          <cell r="U289">
            <v>0</v>
          </cell>
          <cell r="V289">
            <v>0</v>
          </cell>
          <cell r="W289">
            <v>0</v>
          </cell>
          <cell r="X289">
            <v>0</v>
          </cell>
          <cell r="Y289">
            <v>0</v>
          </cell>
          <cell r="Z289">
            <v>0</v>
          </cell>
          <cell r="AA289">
            <v>0</v>
          </cell>
          <cell r="AB289">
            <v>0</v>
          </cell>
          <cell r="AC289">
            <v>0</v>
          </cell>
          <cell r="AD289">
            <v>0</v>
          </cell>
          <cell r="AE289">
            <v>0</v>
          </cell>
          <cell r="AF289">
            <v>0</v>
          </cell>
          <cell r="AG289">
            <v>0</v>
          </cell>
          <cell r="AH289">
            <v>0</v>
          </cell>
          <cell r="AI289">
            <v>0</v>
          </cell>
          <cell r="AJ289">
            <v>0</v>
          </cell>
          <cell r="AK289">
            <v>0</v>
          </cell>
          <cell r="AL289">
            <v>0</v>
          </cell>
          <cell r="AM289">
            <v>0</v>
          </cell>
          <cell r="AN289">
            <v>0</v>
          </cell>
          <cell r="AO289">
            <v>0</v>
          </cell>
          <cell r="AP289">
            <v>0</v>
          </cell>
          <cell r="AR289">
            <v>0</v>
          </cell>
          <cell r="AS289">
            <v>0</v>
          </cell>
          <cell r="AT289">
            <v>0</v>
          </cell>
        </row>
        <row r="290">
          <cell r="G290">
            <v>44830</v>
          </cell>
          <cell r="J290">
            <v>0</v>
          </cell>
          <cell r="K290">
            <v>0</v>
          </cell>
          <cell r="L290">
            <v>0</v>
          </cell>
          <cell r="M290">
            <v>0</v>
          </cell>
          <cell r="N290">
            <v>0</v>
          </cell>
          <cell r="O290">
            <v>0</v>
          </cell>
          <cell r="P290">
            <v>0</v>
          </cell>
          <cell r="Q290">
            <v>0</v>
          </cell>
          <cell r="R290">
            <v>0</v>
          </cell>
          <cell r="S290">
            <v>0</v>
          </cell>
          <cell r="T290">
            <v>0</v>
          </cell>
          <cell r="U290">
            <v>0</v>
          </cell>
          <cell r="V290">
            <v>0</v>
          </cell>
          <cell r="W290">
            <v>0</v>
          </cell>
          <cell r="X290">
            <v>0</v>
          </cell>
          <cell r="Y290">
            <v>0</v>
          </cell>
          <cell r="Z290">
            <v>0</v>
          </cell>
          <cell r="AA290">
            <v>0</v>
          </cell>
          <cell r="AB290">
            <v>0</v>
          </cell>
          <cell r="AC290">
            <v>0</v>
          </cell>
          <cell r="AD290">
            <v>0</v>
          </cell>
          <cell r="AE290">
            <v>0</v>
          </cell>
          <cell r="AF290">
            <v>0</v>
          </cell>
          <cell r="AG290">
            <v>0</v>
          </cell>
          <cell r="AH290">
            <v>0</v>
          </cell>
          <cell r="AI290">
            <v>0</v>
          </cell>
          <cell r="AJ290">
            <v>0</v>
          </cell>
          <cell r="AK290">
            <v>0</v>
          </cell>
          <cell r="AL290">
            <v>0</v>
          </cell>
          <cell r="AM290">
            <v>0</v>
          </cell>
          <cell r="AN290">
            <v>0</v>
          </cell>
          <cell r="AO290">
            <v>0</v>
          </cell>
          <cell r="AP290">
            <v>0</v>
          </cell>
          <cell r="AR290">
            <v>0</v>
          </cell>
          <cell r="AS290">
            <v>0</v>
          </cell>
          <cell r="AT290">
            <v>0</v>
          </cell>
        </row>
        <row r="291">
          <cell r="G291">
            <v>44831</v>
          </cell>
          <cell r="J291">
            <v>0</v>
          </cell>
          <cell r="K291">
            <v>0</v>
          </cell>
          <cell r="L291">
            <v>0</v>
          </cell>
          <cell r="M291">
            <v>0</v>
          </cell>
          <cell r="N291">
            <v>0</v>
          </cell>
          <cell r="O291">
            <v>0</v>
          </cell>
          <cell r="P291">
            <v>0</v>
          </cell>
          <cell r="Q291">
            <v>0</v>
          </cell>
          <cell r="R291">
            <v>0</v>
          </cell>
          <cell r="S291">
            <v>0</v>
          </cell>
          <cell r="T291">
            <v>0</v>
          </cell>
          <cell r="U291">
            <v>0</v>
          </cell>
          <cell r="V291">
            <v>0</v>
          </cell>
          <cell r="W291">
            <v>0</v>
          </cell>
          <cell r="X291">
            <v>0</v>
          </cell>
          <cell r="Y291">
            <v>0</v>
          </cell>
          <cell r="Z291">
            <v>0</v>
          </cell>
          <cell r="AA291">
            <v>0</v>
          </cell>
          <cell r="AB291">
            <v>0</v>
          </cell>
          <cell r="AC291">
            <v>0</v>
          </cell>
          <cell r="AD291">
            <v>0</v>
          </cell>
          <cell r="AE291">
            <v>0</v>
          </cell>
          <cell r="AF291">
            <v>0</v>
          </cell>
          <cell r="AG291">
            <v>0</v>
          </cell>
          <cell r="AH291">
            <v>0</v>
          </cell>
          <cell r="AI291">
            <v>0</v>
          </cell>
          <cell r="AJ291">
            <v>0</v>
          </cell>
          <cell r="AK291">
            <v>0</v>
          </cell>
          <cell r="AL291">
            <v>0</v>
          </cell>
          <cell r="AM291">
            <v>0</v>
          </cell>
          <cell r="AN291">
            <v>0</v>
          </cell>
          <cell r="AO291">
            <v>0</v>
          </cell>
          <cell r="AP291">
            <v>0</v>
          </cell>
          <cell r="AR291">
            <v>0</v>
          </cell>
          <cell r="AS291">
            <v>0</v>
          </cell>
          <cell r="AT291">
            <v>0</v>
          </cell>
        </row>
        <row r="292">
          <cell r="G292">
            <v>44832</v>
          </cell>
          <cell r="J292">
            <v>0</v>
          </cell>
          <cell r="K292">
            <v>0</v>
          </cell>
          <cell r="L292">
            <v>0</v>
          </cell>
          <cell r="M292">
            <v>0</v>
          </cell>
          <cell r="N292">
            <v>0</v>
          </cell>
          <cell r="O292">
            <v>0</v>
          </cell>
          <cell r="P292">
            <v>0</v>
          </cell>
          <cell r="Q292">
            <v>0</v>
          </cell>
          <cell r="R292">
            <v>0</v>
          </cell>
          <cell r="S292">
            <v>0</v>
          </cell>
          <cell r="T292">
            <v>0</v>
          </cell>
          <cell r="U292">
            <v>0</v>
          </cell>
          <cell r="V292">
            <v>0</v>
          </cell>
          <cell r="W292">
            <v>0</v>
          </cell>
          <cell r="X292">
            <v>0</v>
          </cell>
          <cell r="Y292">
            <v>0</v>
          </cell>
          <cell r="Z292">
            <v>0</v>
          </cell>
          <cell r="AA292">
            <v>0</v>
          </cell>
          <cell r="AB292">
            <v>0</v>
          </cell>
          <cell r="AC292">
            <v>0</v>
          </cell>
          <cell r="AD292">
            <v>0</v>
          </cell>
          <cell r="AE292">
            <v>0</v>
          </cell>
          <cell r="AF292">
            <v>0</v>
          </cell>
          <cell r="AG292">
            <v>0</v>
          </cell>
          <cell r="AH292">
            <v>0</v>
          </cell>
          <cell r="AI292">
            <v>0</v>
          </cell>
          <cell r="AJ292">
            <v>0</v>
          </cell>
          <cell r="AK292">
            <v>0</v>
          </cell>
          <cell r="AL292">
            <v>0</v>
          </cell>
          <cell r="AM292">
            <v>0</v>
          </cell>
          <cell r="AN292">
            <v>0</v>
          </cell>
          <cell r="AO292">
            <v>0</v>
          </cell>
          <cell r="AP292">
            <v>0</v>
          </cell>
          <cell r="AR292">
            <v>0</v>
          </cell>
          <cell r="AS292">
            <v>0</v>
          </cell>
          <cell r="AT292">
            <v>0</v>
          </cell>
        </row>
        <row r="293">
          <cell r="G293">
            <v>44833</v>
          </cell>
          <cell r="J293">
            <v>0</v>
          </cell>
          <cell r="K293">
            <v>0</v>
          </cell>
          <cell r="L293">
            <v>0</v>
          </cell>
          <cell r="M293">
            <v>0</v>
          </cell>
          <cell r="N293">
            <v>0</v>
          </cell>
          <cell r="O293">
            <v>0</v>
          </cell>
          <cell r="P293">
            <v>0</v>
          </cell>
          <cell r="Q293">
            <v>0</v>
          </cell>
          <cell r="R293">
            <v>0</v>
          </cell>
          <cell r="S293">
            <v>0</v>
          </cell>
          <cell r="T293">
            <v>0</v>
          </cell>
          <cell r="U293">
            <v>0</v>
          </cell>
          <cell r="V293">
            <v>0</v>
          </cell>
          <cell r="W293">
            <v>0</v>
          </cell>
          <cell r="X293">
            <v>0</v>
          </cell>
          <cell r="Y293">
            <v>0</v>
          </cell>
          <cell r="Z293">
            <v>0</v>
          </cell>
          <cell r="AA293">
            <v>0</v>
          </cell>
          <cell r="AB293">
            <v>0</v>
          </cell>
          <cell r="AC293">
            <v>0</v>
          </cell>
          <cell r="AD293">
            <v>0</v>
          </cell>
          <cell r="AE293">
            <v>0</v>
          </cell>
          <cell r="AF293">
            <v>0</v>
          </cell>
          <cell r="AG293">
            <v>0</v>
          </cell>
          <cell r="AH293">
            <v>0</v>
          </cell>
          <cell r="AI293">
            <v>0</v>
          </cell>
          <cell r="AJ293">
            <v>0</v>
          </cell>
          <cell r="AK293">
            <v>0</v>
          </cell>
          <cell r="AL293">
            <v>0</v>
          </cell>
          <cell r="AM293">
            <v>0</v>
          </cell>
          <cell r="AN293">
            <v>0</v>
          </cell>
          <cell r="AO293">
            <v>0</v>
          </cell>
          <cell r="AP293">
            <v>0</v>
          </cell>
          <cell r="AR293">
            <v>0</v>
          </cell>
          <cell r="AS293">
            <v>0</v>
          </cell>
          <cell r="AT293">
            <v>0</v>
          </cell>
        </row>
        <row r="294">
          <cell r="G294">
            <v>44834</v>
          </cell>
          <cell r="J294">
            <v>0</v>
          </cell>
          <cell r="K294">
            <v>0</v>
          </cell>
          <cell r="L294">
            <v>0</v>
          </cell>
          <cell r="M294">
            <v>0</v>
          </cell>
          <cell r="N294">
            <v>0</v>
          </cell>
          <cell r="O294">
            <v>0</v>
          </cell>
          <cell r="P294">
            <v>0</v>
          </cell>
          <cell r="Q294">
            <v>0</v>
          </cell>
          <cell r="R294">
            <v>0</v>
          </cell>
          <cell r="S294">
            <v>0</v>
          </cell>
          <cell r="T294">
            <v>0</v>
          </cell>
          <cell r="U294">
            <v>0</v>
          </cell>
          <cell r="V294">
            <v>0</v>
          </cell>
          <cell r="W294">
            <v>0</v>
          </cell>
          <cell r="X294">
            <v>0</v>
          </cell>
          <cell r="Y294">
            <v>0</v>
          </cell>
          <cell r="Z294">
            <v>0</v>
          </cell>
          <cell r="AA294">
            <v>0</v>
          </cell>
          <cell r="AB294">
            <v>0</v>
          </cell>
          <cell r="AC294">
            <v>0</v>
          </cell>
          <cell r="AD294">
            <v>0</v>
          </cell>
          <cell r="AE294">
            <v>0</v>
          </cell>
          <cell r="AF294">
            <v>0</v>
          </cell>
          <cell r="AG294">
            <v>0</v>
          </cell>
          <cell r="AH294">
            <v>0</v>
          </cell>
          <cell r="AI294">
            <v>0</v>
          </cell>
          <cell r="AJ294">
            <v>0</v>
          </cell>
          <cell r="AK294">
            <v>0</v>
          </cell>
          <cell r="AL294">
            <v>0</v>
          </cell>
          <cell r="AM294">
            <v>0</v>
          </cell>
          <cell r="AN294">
            <v>0</v>
          </cell>
          <cell r="AO294">
            <v>0</v>
          </cell>
          <cell r="AP294">
            <v>0</v>
          </cell>
          <cell r="AR294">
            <v>0</v>
          </cell>
          <cell r="AS294">
            <v>0</v>
          </cell>
          <cell r="AT294">
            <v>0</v>
          </cell>
        </row>
        <row r="295">
          <cell r="G295">
            <v>44835</v>
          </cell>
          <cell r="J295">
            <v>0</v>
          </cell>
          <cell r="K295">
            <v>0</v>
          </cell>
          <cell r="L295">
            <v>0</v>
          </cell>
          <cell r="M295">
            <v>0</v>
          </cell>
          <cell r="N295">
            <v>0</v>
          </cell>
          <cell r="O295">
            <v>0</v>
          </cell>
          <cell r="P295">
            <v>0</v>
          </cell>
          <cell r="Q295">
            <v>0</v>
          </cell>
          <cell r="R295">
            <v>0</v>
          </cell>
          <cell r="S295">
            <v>0</v>
          </cell>
          <cell r="T295">
            <v>0</v>
          </cell>
          <cell r="U295">
            <v>0</v>
          </cell>
          <cell r="V295">
            <v>0</v>
          </cell>
          <cell r="W295">
            <v>0</v>
          </cell>
          <cell r="X295">
            <v>0</v>
          </cell>
          <cell r="Y295">
            <v>0</v>
          </cell>
          <cell r="Z295">
            <v>0</v>
          </cell>
          <cell r="AA295">
            <v>0</v>
          </cell>
          <cell r="AB295">
            <v>0</v>
          </cell>
          <cell r="AC295">
            <v>0</v>
          </cell>
          <cell r="AD295">
            <v>0</v>
          </cell>
          <cell r="AE295">
            <v>0</v>
          </cell>
          <cell r="AF295">
            <v>0</v>
          </cell>
          <cell r="AG295">
            <v>0</v>
          </cell>
          <cell r="AH295">
            <v>0</v>
          </cell>
          <cell r="AI295">
            <v>0</v>
          </cell>
          <cell r="AJ295">
            <v>0</v>
          </cell>
          <cell r="AK295">
            <v>0</v>
          </cell>
          <cell r="AL295">
            <v>0</v>
          </cell>
          <cell r="AM295">
            <v>0</v>
          </cell>
          <cell r="AN295">
            <v>0</v>
          </cell>
          <cell r="AO295">
            <v>0</v>
          </cell>
          <cell r="AP295">
            <v>0</v>
          </cell>
          <cell r="AR295">
            <v>0</v>
          </cell>
          <cell r="AS295">
            <v>0</v>
          </cell>
          <cell r="AT295">
            <v>0</v>
          </cell>
        </row>
        <row r="296">
          <cell r="G296">
            <v>44836</v>
          </cell>
          <cell r="J296">
            <v>0</v>
          </cell>
          <cell r="K296">
            <v>0</v>
          </cell>
          <cell r="L296">
            <v>0</v>
          </cell>
          <cell r="M296">
            <v>0</v>
          </cell>
          <cell r="N296">
            <v>0</v>
          </cell>
          <cell r="O296">
            <v>0</v>
          </cell>
          <cell r="P296">
            <v>0</v>
          </cell>
          <cell r="Q296">
            <v>0</v>
          </cell>
          <cell r="R296">
            <v>0</v>
          </cell>
          <cell r="S296">
            <v>0</v>
          </cell>
          <cell r="T296">
            <v>0</v>
          </cell>
          <cell r="U296">
            <v>0</v>
          </cell>
          <cell r="V296">
            <v>0</v>
          </cell>
          <cell r="W296">
            <v>0</v>
          </cell>
          <cell r="X296">
            <v>0</v>
          </cell>
          <cell r="Y296">
            <v>0</v>
          </cell>
          <cell r="Z296">
            <v>0</v>
          </cell>
          <cell r="AA296">
            <v>0</v>
          </cell>
          <cell r="AB296">
            <v>0</v>
          </cell>
          <cell r="AC296">
            <v>0</v>
          </cell>
          <cell r="AD296">
            <v>0</v>
          </cell>
          <cell r="AE296">
            <v>0</v>
          </cell>
          <cell r="AF296">
            <v>0</v>
          </cell>
          <cell r="AG296">
            <v>0</v>
          </cell>
          <cell r="AH296">
            <v>0</v>
          </cell>
          <cell r="AI296">
            <v>0</v>
          </cell>
          <cell r="AJ296">
            <v>0</v>
          </cell>
          <cell r="AK296">
            <v>0</v>
          </cell>
          <cell r="AL296">
            <v>0</v>
          </cell>
          <cell r="AM296">
            <v>0</v>
          </cell>
          <cell r="AN296">
            <v>0</v>
          </cell>
          <cell r="AO296">
            <v>0</v>
          </cell>
          <cell r="AP296">
            <v>0</v>
          </cell>
          <cell r="AR296">
            <v>0</v>
          </cell>
          <cell r="AS296">
            <v>0</v>
          </cell>
          <cell r="AT296">
            <v>0</v>
          </cell>
        </row>
        <row r="297">
          <cell r="G297">
            <v>44837</v>
          </cell>
          <cell r="J297">
            <v>0</v>
          </cell>
          <cell r="K297">
            <v>1</v>
          </cell>
          <cell r="L297">
            <v>0</v>
          </cell>
          <cell r="M297">
            <v>0</v>
          </cell>
          <cell r="N297">
            <v>0</v>
          </cell>
          <cell r="O297">
            <v>0</v>
          </cell>
          <cell r="P297">
            <v>0</v>
          </cell>
          <cell r="Q297">
            <v>0</v>
          </cell>
          <cell r="R297">
            <v>0</v>
          </cell>
          <cell r="S297">
            <v>0</v>
          </cell>
          <cell r="T297">
            <v>0</v>
          </cell>
          <cell r="U297">
            <v>0</v>
          </cell>
          <cell r="V297">
            <v>0</v>
          </cell>
          <cell r="W297">
            <v>0</v>
          </cell>
          <cell r="X297">
            <v>0</v>
          </cell>
          <cell r="Y297">
            <v>0</v>
          </cell>
          <cell r="Z297">
            <v>0</v>
          </cell>
          <cell r="AA297">
            <v>0</v>
          </cell>
          <cell r="AB297">
            <v>0</v>
          </cell>
          <cell r="AC297">
            <v>2890</v>
          </cell>
          <cell r="AD297">
            <v>0</v>
          </cell>
          <cell r="AE297">
            <v>0</v>
          </cell>
          <cell r="AF297">
            <v>0</v>
          </cell>
          <cell r="AG297">
            <v>0</v>
          </cell>
          <cell r="AH297">
            <v>0</v>
          </cell>
          <cell r="AI297">
            <v>0</v>
          </cell>
          <cell r="AJ297">
            <v>0</v>
          </cell>
          <cell r="AK297">
            <v>0</v>
          </cell>
          <cell r="AL297">
            <v>0</v>
          </cell>
          <cell r="AM297">
            <v>0</v>
          </cell>
          <cell r="AN297">
            <v>0</v>
          </cell>
          <cell r="AO297">
            <v>0</v>
          </cell>
          <cell r="AP297">
            <v>0</v>
          </cell>
          <cell r="AR297">
            <v>0</v>
          </cell>
          <cell r="AS297">
            <v>0</v>
          </cell>
          <cell r="AT297">
            <v>0</v>
          </cell>
        </row>
        <row r="298">
          <cell r="G298">
            <v>44838</v>
          </cell>
          <cell r="J298">
            <v>0</v>
          </cell>
          <cell r="K298">
            <v>1</v>
          </cell>
          <cell r="L298">
            <v>0</v>
          </cell>
          <cell r="M298">
            <v>0</v>
          </cell>
          <cell r="N298">
            <v>0</v>
          </cell>
          <cell r="O298">
            <v>0</v>
          </cell>
          <cell r="P298">
            <v>0</v>
          </cell>
          <cell r="Q298">
            <v>0</v>
          </cell>
          <cell r="R298">
            <v>0</v>
          </cell>
          <cell r="S298">
            <v>0</v>
          </cell>
          <cell r="T298">
            <v>0</v>
          </cell>
          <cell r="U298">
            <v>0</v>
          </cell>
          <cell r="V298">
            <v>0</v>
          </cell>
          <cell r="W298">
            <v>0</v>
          </cell>
          <cell r="X298">
            <v>0</v>
          </cell>
          <cell r="Y298">
            <v>0</v>
          </cell>
          <cell r="Z298">
            <v>0</v>
          </cell>
          <cell r="AA298">
            <v>0</v>
          </cell>
          <cell r="AB298">
            <v>0</v>
          </cell>
          <cell r="AC298">
            <v>2890</v>
          </cell>
          <cell r="AD298">
            <v>0</v>
          </cell>
          <cell r="AE298">
            <v>0</v>
          </cell>
          <cell r="AF298">
            <v>0</v>
          </cell>
          <cell r="AG298">
            <v>0</v>
          </cell>
          <cell r="AH298">
            <v>0</v>
          </cell>
          <cell r="AI298">
            <v>0</v>
          </cell>
          <cell r="AJ298">
            <v>0</v>
          </cell>
          <cell r="AK298">
            <v>0</v>
          </cell>
          <cell r="AL298">
            <v>0</v>
          </cell>
          <cell r="AM298">
            <v>0</v>
          </cell>
          <cell r="AN298">
            <v>0</v>
          </cell>
          <cell r="AO298">
            <v>0</v>
          </cell>
          <cell r="AP298">
            <v>0</v>
          </cell>
          <cell r="AR298">
            <v>0</v>
          </cell>
          <cell r="AS298">
            <v>0</v>
          </cell>
          <cell r="AT298">
            <v>0</v>
          </cell>
        </row>
        <row r="299">
          <cell r="G299">
            <v>44839</v>
          </cell>
          <cell r="J299">
            <v>0</v>
          </cell>
          <cell r="K299">
            <v>1</v>
          </cell>
          <cell r="L299">
            <v>0</v>
          </cell>
          <cell r="M299">
            <v>0</v>
          </cell>
          <cell r="N299">
            <v>0</v>
          </cell>
          <cell r="O299">
            <v>0</v>
          </cell>
          <cell r="P299">
            <v>0</v>
          </cell>
          <cell r="Q299">
            <v>0</v>
          </cell>
          <cell r="R299">
            <v>0</v>
          </cell>
          <cell r="S299">
            <v>0</v>
          </cell>
          <cell r="T299">
            <v>0</v>
          </cell>
          <cell r="U299">
            <v>0</v>
          </cell>
          <cell r="V299">
            <v>0</v>
          </cell>
          <cell r="W299">
            <v>0</v>
          </cell>
          <cell r="X299">
            <v>0</v>
          </cell>
          <cell r="Y299">
            <v>0</v>
          </cell>
          <cell r="Z299">
            <v>0</v>
          </cell>
          <cell r="AA299">
            <v>0</v>
          </cell>
          <cell r="AB299">
            <v>0</v>
          </cell>
          <cell r="AC299">
            <v>2890</v>
          </cell>
          <cell r="AD299">
            <v>0</v>
          </cell>
          <cell r="AE299">
            <v>0</v>
          </cell>
          <cell r="AF299">
            <v>0</v>
          </cell>
          <cell r="AG299">
            <v>0</v>
          </cell>
          <cell r="AH299">
            <v>0</v>
          </cell>
          <cell r="AI299">
            <v>0</v>
          </cell>
          <cell r="AJ299">
            <v>0</v>
          </cell>
          <cell r="AK299">
            <v>0</v>
          </cell>
          <cell r="AL299">
            <v>0</v>
          </cell>
          <cell r="AM299">
            <v>0</v>
          </cell>
          <cell r="AN299">
            <v>0</v>
          </cell>
          <cell r="AO299">
            <v>0</v>
          </cell>
          <cell r="AP299">
            <v>0</v>
          </cell>
          <cell r="AR299">
            <v>0</v>
          </cell>
          <cell r="AS299">
            <v>0</v>
          </cell>
          <cell r="AT299">
            <v>0</v>
          </cell>
        </row>
        <row r="300">
          <cell r="G300">
            <v>44840</v>
          </cell>
          <cell r="J300">
            <v>0</v>
          </cell>
          <cell r="K300">
            <v>0</v>
          </cell>
          <cell r="L300">
            <v>0</v>
          </cell>
          <cell r="M300">
            <v>0</v>
          </cell>
          <cell r="N300">
            <v>0</v>
          </cell>
          <cell r="O300">
            <v>0</v>
          </cell>
          <cell r="P300">
            <v>0</v>
          </cell>
          <cell r="Q300">
            <v>0</v>
          </cell>
          <cell r="R300">
            <v>0</v>
          </cell>
          <cell r="S300">
            <v>0</v>
          </cell>
          <cell r="T300">
            <v>0</v>
          </cell>
          <cell r="U300">
            <v>0</v>
          </cell>
          <cell r="V300">
            <v>0</v>
          </cell>
          <cell r="W300">
            <v>0</v>
          </cell>
          <cell r="X300">
            <v>0</v>
          </cell>
          <cell r="Y300">
            <v>0</v>
          </cell>
          <cell r="Z300">
            <v>0</v>
          </cell>
          <cell r="AA300">
            <v>0</v>
          </cell>
          <cell r="AB300">
            <v>0</v>
          </cell>
          <cell r="AC300">
            <v>0</v>
          </cell>
          <cell r="AD300">
            <v>0</v>
          </cell>
          <cell r="AE300">
            <v>0</v>
          </cell>
          <cell r="AF300">
            <v>0</v>
          </cell>
          <cell r="AG300">
            <v>0</v>
          </cell>
          <cell r="AH300">
            <v>0</v>
          </cell>
          <cell r="AI300">
            <v>0</v>
          </cell>
          <cell r="AJ300">
            <v>0</v>
          </cell>
          <cell r="AK300">
            <v>0</v>
          </cell>
          <cell r="AL300">
            <v>0</v>
          </cell>
          <cell r="AM300">
            <v>0</v>
          </cell>
          <cell r="AN300">
            <v>0</v>
          </cell>
          <cell r="AO300">
            <v>0</v>
          </cell>
          <cell r="AP300">
            <v>0</v>
          </cell>
          <cell r="AR300">
            <v>0</v>
          </cell>
          <cell r="AS300">
            <v>0</v>
          </cell>
          <cell r="AT300">
            <v>0</v>
          </cell>
        </row>
        <row r="301">
          <cell r="G301">
            <v>44841</v>
          </cell>
          <cell r="J301">
            <v>0</v>
          </cell>
          <cell r="K301">
            <v>0</v>
          </cell>
          <cell r="L301">
            <v>0</v>
          </cell>
          <cell r="M301">
            <v>0</v>
          </cell>
          <cell r="N301">
            <v>0</v>
          </cell>
          <cell r="O301">
            <v>0</v>
          </cell>
          <cell r="P301">
            <v>0</v>
          </cell>
          <cell r="Q301">
            <v>0</v>
          </cell>
          <cell r="R301">
            <v>0</v>
          </cell>
          <cell r="S301">
            <v>0</v>
          </cell>
          <cell r="T301">
            <v>0</v>
          </cell>
          <cell r="U301">
            <v>0</v>
          </cell>
          <cell r="V301">
            <v>0</v>
          </cell>
          <cell r="W301">
            <v>0</v>
          </cell>
          <cell r="X301">
            <v>0</v>
          </cell>
          <cell r="Y301">
            <v>0</v>
          </cell>
          <cell r="Z301">
            <v>0</v>
          </cell>
          <cell r="AA301">
            <v>0</v>
          </cell>
          <cell r="AB301">
            <v>0</v>
          </cell>
          <cell r="AC301">
            <v>0</v>
          </cell>
          <cell r="AD301">
            <v>0</v>
          </cell>
          <cell r="AE301">
            <v>0</v>
          </cell>
          <cell r="AF301">
            <v>0</v>
          </cell>
          <cell r="AG301">
            <v>0</v>
          </cell>
          <cell r="AH301">
            <v>0</v>
          </cell>
          <cell r="AI301">
            <v>0</v>
          </cell>
          <cell r="AJ301">
            <v>0</v>
          </cell>
          <cell r="AK301">
            <v>0</v>
          </cell>
          <cell r="AL301">
            <v>0</v>
          </cell>
          <cell r="AM301">
            <v>0</v>
          </cell>
          <cell r="AN301">
            <v>0</v>
          </cell>
          <cell r="AO301">
            <v>0</v>
          </cell>
          <cell r="AP301">
            <v>0</v>
          </cell>
          <cell r="AR301">
            <v>0</v>
          </cell>
          <cell r="AS301">
            <v>0</v>
          </cell>
          <cell r="AT301">
            <v>0</v>
          </cell>
        </row>
        <row r="302">
          <cell r="G302">
            <v>44842</v>
          </cell>
          <cell r="J302">
            <v>0</v>
          </cell>
          <cell r="K302">
            <v>0</v>
          </cell>
          <cell r="L302">
            <v>0</v>
          </cell>
          <cell r="M302">
            <v>0</v>
          </cell>
          <cell r="N302">
            <v>0</v>
          </cell>
          <cell r="O302">
            <v>0</v>
          </cell>
          <cell r="P302">
            <v>0</v>
          </cell>
          <cell r="Q302">
            <v>0</v>
          </cell>
          <cell r="R302">
            <v>0</v>
          </cell>
          <cell r="S302">
            <v>0</v>
          </cell>
          <cell r="T302">
            <v>0</v>
          </cell>
          <cell r="U302">
            <v>0</v>
          </cell>
          <cell r="V302">
            <v>0</v>
          </cell>
          <cell r="W302">
            <v>0</v>
          </cell>
          <cell r="X302">
            <v>0</v>
          </cell>
          <cell r="Y302">
            <v>0</v>
          </cell>
          <cell r="Z302">
            <v>0</v>
          </cell>
          <cell r="AA302">
            <v>0</v>
          </cell>
          <cell r="AB302">
            <v>0</v>
          </cell>
          <cell r="AC302">
            <v>0</v>
          </cell>
          <cell r="AD302">
            <v>0</v>
          </cell>
          <cell r="AE302">
            <v>0</v>
          </cell>
          <cell r="AF302">
            <v>0</v>
          </cell>
          <cell r="AG302">
            <v>0</v>
          </cell>
          <cell r="AH302">
            <v>0</v>
          </cell>
          <cell r="AI302">
            <v>0</v>
          </cell>
          <cell r="AJ302">
            <v>0</v>
          </cell>
          <cell r="AK302">
            <v>0</v>
          </cell>
          <cell r="AL302">
            <v>0</v>
          </cell>
          <cell r="AM302">
            <v>0</v>
          </cell>
          <cell r="AN302">
            <v>0</v>
          </cell>
          <cell r="AO302">
            <v>0</v>
          </cell>
          <cell r="AP302">
            <v>0</v>
          </cell>
          <cell r="AR302">
            <v>0</v>
          </cell>
          <cell r="AS302">
            <v>0</v>
          </cell>
          <cell r="AT302">
            <v>0</v>
          </cell>
        </row>
        <row r="303">
          <cell r="G303">
            <v>44843</v>
          </cell>
          <cell r="J303">
            <v>0</v>
          </cell>
          <cell r="K303">
            <v>0</v>
          </cell>
          <cell r="L303">
            <v>0</v>
          </cell>
          <cell r="M303">
            <v>0</v>
          </cell>
          <cell r="N303">
            <v>0</v>
          </cell>
          <cell r="O303">
            <v>0</v>
          </cell>
          <cell r="P303">
            <v>0</v>
          </cell>
          <cell r="Q303">
            <v>0</v>
          </cell>
          <cell r="R303">
            <v>0</v>
          </cell>
          <cell r="S303">
            <v>0</v>
          </cell>
          <cell r="T303">
            <v>0</v>
          </cell>
          <cell r="U303">
            <v>0</v>
          </cell>
          <cell r="V303">
            <v>0</v>
          </cell>
          <cell r="W303">
            <v>0</v>
          </cell>
          <cell r="X303">
            <v>0</v>
          </cell>
          <cell r="Y303">
            <v>0</v>
          </cell>
          <cell r="Z303">
            <v>0</v>
          </cell>
          <cell r="AA303">
            <v>0</v>
          </cell>
          <cell r="AB303">
            <v>0</v>
          </cell>
          <cell r="AC303">
            <v>0</v>
          </cell>
          <cell r="AD303">
            <v>0</v>
          </cell>
          <cell r="AE303">
            <v>0</v>
          </cell>
          <cell r="AF303">
            <v>0</v>
          </cell>
          <cell r="AG303">
            <v>0</v>
          </cell>
          <cell r="AH303">
            <v>0</v>
          </cell>
          <cell r="AI303">
            <v>0</v>
          </cell>
          <cell r="AJ303">
            <v>0</v>
          </cell>
          <cell r="AK303">
            <v>0</v>
          </cell>
          <cell r="AL303">
            <v>0</v>
          </cell>
          <cell r="AM303">
            <v>0</v>
          </cell>
          <cell r="AN303">
            <v>0</v>
          </cell>
          <cell r="AO303">
            <v>0</v>
          </cell>
          <cell r="AP303">
            <v>0</v>
          </cell>
          <cell r="AR303">
            <v>0</v>
          </cell>
          <cell r="AS303">
            <v>0</v>
          </cell>
          <cell r="AT303">
            <v>0</v>
          </cell>
        </row>
        <row r="304">
          <cell r="G304">
            <v>44844</v>
          </cell>
          <cell r="J304">
            <v>0</v>
          </cell>
          <cell r="K304">
            <v>0</v>
          </cell>
          <cell r="L304">
            <v>0</v>
          </cell>
          <cell r="M304">
            <v>0</v>
          </cell>
          <cell r="N304">
            <v>0</v>
          </cell>
          <cell r="O304">
            <v>0</v>
          </cell>
          <cell r="P304">
            <v>0</v>
          </cell>
          <cell r="Q304">
            <v>0</v>
          </cell>
          <cell r="R304">
            <v>0</v>
          </cell>
          <cell r="S304">
            <v>0</v>
          </cell>
          <cell r="T304">
            <v>0</v>
          </cell>
          <cell r="U304">
            <v>0</v>
          </cell>
          <cell r="V304">
            <v>0</v>
          </cell>
          <cell r="W304">
            <v>0</v>
          </cell>
          <cell r="X304">
            <v>0</v>
          </cell>
          <cell r="Y304">
            <v>0</v>
          </cell>
          <cell r="Z304">
            <v>0</v>
          </cell>
          <cell r="AA304">
            <v>0</v>
          </cell>
          <cell r="AB304">
            <v>0</v>
          </cell>
          <cell r="AC304">
            <v>0</v>
          </cell>
          <cell r="AD304">
            <v>0</v>
          </cell>
          <cell r="AE304">
            <v>0</v>
          </cell>
          <cell r="AF304">
            <v>0</v>
          </cell>
          <cell r="AG304">
            <v>0</v>
          </cell>
          <cell r="AH304">
            <v>0</v>
          </cell>
          <cell r="AI304">
            <v>0</v>
          </cell>
          <cell r="AJ304">
            <v>0</v>
          </cell>
          <cell r="AK304">
            <v>0</v>
          </cell>
          <cell r="AL304">
            <v>0</v>
          </cell>
          <cell r="AM304">
            <v>0</v>
          </cell>
          <cell r="AN304">
            <v>0</v>
          </cell>
          <cell r="AO304">
            <v>0</v>
          </cell>
          <cell r="AP304">
            <v>0</v>
          </cell>
          <cell r="AR304">
            <v>0</v>
          </cell>
          <cell r="AS304">
            <v>0</v>
          </cell>
          <cell r="AT304">
            <v>0</v>
          </cell>
        </row>
        <row r="305">
          <cell r="G305">
            <v>44845</v>
          </cell>
          <cell r="J305">
            <v>0</v>
          </cell>
          <cell r="K305">
            <v>0</v>
          </cell>
          <cell r="L305">
            <v>0</v>
          </cell>
          <cell r="M305">
            <v>0</v>
          </cell>
          <cell r="N305">
            <v>0</v>
          </cell>
          <cell r="O305">
            <v>0</v>
          </cell>
          <cell r="P305">
            <v>0</v>
          </cell>
          <cell r="Q305">
            <v>0</v>
          </cell>
          <cell r="R305">
            <v>0</v>
          </cell>
          <cell r="S305">
            <v>0</v>
          </cell>
          <cell r="T305">
            <v>0</v>
          </cell>
          <cell r="U305">
            <v>0</v>
          </cell>
          <cell r="V305">
            <v>0</v>
          </cell>
          <cell r="W305">
            <v>0</v>
          </cell>
          <cell r="X305">
            <v>0</v>
          </cell>
          <cell r="Y305">
            <v>0</v>
          </cell>
          <cell r="Z305">
            <v>0</v>
          </cell>
          <cell r="AA305">
            <v>0</v>
          </cell>
          <cell r="AB305">
            <v>0</v>
          </cell>
          <cell r="AC305">
            <v>0</v>
          </cell>
          <cell r="AD305">
            <v>0</v>
          </cell>
          <cell r="AE305">
            <v>0</v>
          </cell>
          <cell r="AF305">
            <v>0</v>
          </cell>
          <cell r="AG305">
            <v>0</v>
          </cell>
          <cell r="AH305">
            <v>0</v>
          </cell>
          <cell r="AI305">
            <v>0</v>
          </cell>
          <cell r="AJ305">
            <v>0</v>
          </cell>
          <cell r="AK305">
            <v>0</v>
          </cell>
          <cell r="AL305">
            <v>0</v>
          </cell>
          <cell r="AM305">
            <v>0</v>
          </cell>
          <cell r="AN305">
            <v>0</v>
          </cell>
          <cell r="AO305">
            <v>0</v>
          </cell>
          <cell r="AP305">
            <v>0</v>
          </cell>
          <cell r="AR305">
            <v>0</v>
          </cell>
          <cell r="AS305">
            <v>0</v>
          </cell>
          <cell r="AT305">
            <v>0</v>
          </cell>
        </row>
        <row r="306">
          <cell r="G306">
            <v>44846</v>
          </cell>
          <cell r="J306">
            <v>0</v>
          </cell>
          <cell r="K306">
            <v>0</v>
          </cell>
          <cell r="L306">
            <v>0</v>
          </cell>
          <cell r="M306">
            <v>0</v>
          </cell>
          <cell r="N306">
            <v>0</v>
          </cell>
          <cell r="O306">
            <v>0</v>
          </cell>
          <cell r="P306">
            <v>0</v>
          </cell>
          <cell r="Q306">
            <v>0</v>
          </cell>
          <cell r="R306">
            <v>0</v>
          </cell>
          <cell r="S306">
            <v>0</v>
          </cell>
          <cell r="T306">
            <v>0</v>
          </cell>
          <cell r="U306">
            <v>0</v>
          </cell>
          <cell r="V306">
            <v>0</v>
          </cell>
          <cell r="W306">
            <v>0</v>
          </cell>
          <cell r="X306">
            <v>0</v>
          </cell>
          <cell r="Y306">
            <v>0</v>
          </cell>
          <cell r="Z306">
            <v>0</v>
          </cell>
          <cell r="AA306">
            <v>0</v>
          </cell>
          <cell r="AB306">
            <v>0</v>
          </cell>
          <cell r="AC306">
            <v>0</v>
          </cell>
          <cell r="AD306">
            <v>0</v>
          </cell>
          <cell r="AE306">
            <v>0</v>
          </cell>
          <cell r="AF306">
            <v>0</v>
          </cell>
          <cell r="AG306">
            <v>0</v>
          </cell>
          <cell r="AH306">
            <v>0</v>
          </cell>
          <cell r="AI306">
            <v>0</v>
          </cell>
          <cell r="AJ306">
            <v>0</v>
          </cell>
          <cell r="AK306">
            <v>0</v>
          </cell>
          <cell r="AL306">
            <v>0</v>
          </cell>
          <cell r="AM306">
            <v>0</v>
          </cell>
          <cell r="AN306">
            <v>0</v>
          </cell>
          <cell r="AO306">
            <v>0</v>
          </cell>
          <cell r="AP306">
            <v>0</v>
          </cell>
          <cell r="AR306">
            <v>0</v>
          </cell>
          <cell r="AS306">
            <v>0</v>
          </cell>
          <cell r="AT306">
            <v>0</v>
          </cell>
        </row>
        <row r="307">
          <cell r="G307">
            <v>44847</v>
          </cell>
          <cell r="J307">
            <v>0</v>
          </cell>
          <cell r="K307">
            <v>0</v>
          </cell>
          <cell r="L307">
            <v>0</v>
          </cell>
          <cell r="M307">
            <v>0</v>
          </cell>
          <cell r="N307">
            <v>0</v>
          </cell>
          <cell r="O307">
            <v>0</v>
          </cell>
          <cell r="P307">
            <v>0</v>
          </cell>
          <cell r="Q307">
            <v>0</v>
          </cell>
          <cell r="R307">
            <v>0</v>
          </cell>
          <cell r="S307">
            <v>0</v>
          </cell>
          <cell r="T307">
            <v>0</v>
          </cell>
          <cell r="U307">
            <v>0</v>
          </cell>
          <cell r="V307">
            <v>0</v>
          </cell>
          <cell r="W307">
            <v>0</v>
          </cell>
          <cell r="X307">
            <v>0</v>
          </cell>
          <cell r="Y307">
            <v>0</v>
          </cell>
          <cell r="Z307">
            <v>0</v>
          </cell>
          <cell r="AA307">
            <v>0</v>
          </cell>
          <cell r="AB307">
            <v>0</v>
          </cell>
          <cell r="AC307">
            <v>0</v>
          </cell>
          <cell r="AD307">
            <v>0</v>
          </cell>
          <cell r="AE307">
            <v>0</v>
          </cell>
          <cell r="AF307">
            <v>0</v>
          </cell>
          <cell r="AG307">
            <v>0</v>
          </cell>
          <cell r="AH307">
            <v>0</v>
          </cell>
          <cell r="AI307">
            <v>0</v>
          </cell>
          <cell r="AJ307">
            <v>0</v>
          </cell>
          <cell r="AK307">
            <v>0</v>
          </cell>
          <cell r="AL307">
            <v>0</v>
          </cell>
          <cell r="AM307">
            <v>0</v>
          </cell>
          <cell r="AN307">
            <v>0</v>
          </cell>
          <cell r="AO307">
            <v>0</v>
          </cell>
          <cell r="AP307">
            <v>0</v>
          </cell>
          <cell r="AR307">
            <v>0</v>
          </cell>
          <cell r="AS307">
            <v>0</v>
          </cell>
          <cell r="AT307">
            <v>0</v>
          </cell>
        </row>
        <row r="308">
          <cell r="G308">
            <v>44848</v>
          </cell>
          <cell r="J308">
            <v>0</v>
          </cell>
          <cell r="K308">
            <v>0</v>
          </cell>
          <cell r="L308">
            <v>0</v>
          </cell>
          <cell r="M308">
            <v>0</v>
          </cell>
          <cell r="N308">
            <v>0</v>
          </cell>
          <cell r="O308">
            <v>0</v>
          </cell>
          <cell r="P308">
            <v>0</v>
          </cell>
          <cell r="Q308">
            <v>0</v>
          </cell>
          <cell r="R308">
            <v>0</v>
          </cell>
          <cell r="S308">
            <v>0</v>
          </cell>
          <cell r="T308">
            <v>0</v>
          </cell>
          <cell r="U308">
            <v>0</v>
          </cell>
          <cell r="V308">
            <v>0</v>
          </cell>
          <cell r="W308">
            <v>0</v>
          </cell>
          <cell r="X308">
            <v>0</v>
          </cell>
          <cell r="Y308">
            <v>0</v>
          </cell>
          <cell r="Z308">
            <v>0</v>
          </cell>
          <cell r="AA308">
            <v>0</v>
          </cell>
          <cell r="AB308">
            <v>0</v>
          </cell>
          <cell r="AC308">
            <v>0</v>
          </cell>
          <cell r="AD308">
            <v>0</v>
          </cell>
          <cell r="AE308">
            <v>0</v>
          </cell>
          <cell r="AF308">
            <v>0</v>
          </cell>
          <cell r="AG308">
            <v>0</v>
          </cell>
          <cell r="AH308">
            <v>0</v>
          </cell>
          <cell r="AI308">
            <v>0</v>
          </cell>
          <cell r="AJ308">
            <v>0</v>
          </cell>
          <cell r="AK308">
            <v>0</v>
          </cell>
          <cell r="AL308">
            <v>0</v>
          </cell>
          <cell r="AM308">
            <v>0</v>
          </cell>
          <cell r="AN308">
            <v>0</v>
          </cell>
          <cell r="AO308">
            <v>0</v>
          </cell>
          <cell r="AP308">
            <v>0</v>
          </cell>
          <cell r="AR308">
            <v>0</v>
          </cell>
          <cell r="AS308">
            <v>0</v>
          </cell>
          <cell r="AT308">
            <v>0</v>
          </cell>
        </row>
        <row r="309">
          <cell r="G309">
            <v>44849</v>
          </cell>
          <cell r="J309">
            <v>0</v>
          </cell>
          <cell r="K309">
            <v>0</v>
          </cell>
          <cell r="L309">
            <v>0</v>
          </cell>
          <cell r="M309">
            <v>0</v>
          </cell>
          <cell r="N309">
            <v>0</v>
          </cell>
          <cell r="O309">
            <v>0</v>
          </cell>
          <cell r="P309">
            <v>0</v>
          </cell>
          <cell r="Q309">
            <v>0</v>
          </cell>
          <cell r="R309">
            <v>0</v>
          </cell>
          <cell r="S309">
            <v>0</v>
          </cell>
          <cell r="T309">
            <v>0</v>
          </cell>
          <cell r="U309">
            <v>0</v>
          </cell>
          <cell r="V309">
            <v>0</v>
          </cell>
          <cell r="W309">
            <v>0</v>
          </cell>
          <cell r="X309">
            <v>0</v>
          </cell>
          <cell r="Y309">
            <v>0</v>
          </cell>
          <cell r="Z309">
            <v>0</v>
          </cell>
          <cell r="AA309">
            <v>0</v>
          </cell>
          <cell r="AB309">
            <v>0</v>
          </cell>
          <cell r="AC309">
            <v>0</v>
          </cell>
          <cell r="AD309">
            <v>0</v>
          </cell>
          <cell r="AE309">
            <v>0</v>
          </cell>
          <cell r="AF309">
            <v>0</v>
          </cell>
          <cell r="AG309">
            <v>0</v>
          </cell>
          <cell r="AH309">
            <v>0</v>
          </cell>
          <cell r="AI309">
            <v>0</v>
          </cell>
          <cell r="AJ309">
            <v>0</v>
          </cell>
          <cell r="AK309">
            <v>0</v>
          </cell>
          <cell r="AL309">
            <v>0</v>
          </cell>
          <cell r="AM309">
            <v>0</v>
          </cell>
          <cell r="AN309">
            <v>0</v>
          </cell>
          <cell r="AO309">
            <v>0</v>
          </cell>
          <cell r="AP309">
            <v>0</v>
          </cell>
          <cell r="AR309">
            <v>0</v>
          </cell>
          <cell r="AS309">
            <v>0</v>
          </cell>
          <cell r="AT309">
            <v>0</v>
          </cell>
        </row>
        <row r="310">
          <cell r="G310">
            <v>44850</v>
          </cell>
          <cell r="J310">
            <v>0</v>
          </cell>
          <cell r="K310">
            <v>0</v>
          </cell>
          <cell r="L310">
            <v>0</v>
          </cell>
          <cell r="M310">
            <v>0</v>
          </cell>
          <cell r="N310">
            <v>0</v>
          </cell>
          <cell r="O310">
            <v>0</v>
          </cell>
          <cell r="P310">
            <v>0</v>
          </cell>
          <cell r="Q310">
            <v>0</v>
          </cell>
          <cell r="R310">
            <v>0</v>
          </cell>
          <cell r="S310">
            <v>0</v>
          </cell>
          <cell r="T310">
            <v>0</v>
          </cell>
          <cell r="U310">
            <v>0</v>
          </cell>
          <cell r="V310">
            <v>0</v>
          </cell>
          <cell r="W310">
            <v>0</v>
          </cell>
          <cell r="X310">
            <v>0</v>
          </cell>
          <cell r="Y310">
            <v>0</v>
          </cell>
          <cell r="Z310">
            <v>0</v>
          </cell>
          <cell r="AA310">
            <v>0</v>
          </cell>
          <cell r="AB310">
            <v>0</v>
          </cell>
          <cell r="AC310">
            <v>0</v>
          </cell>
          <cell r="AD310">
            <v>0</v>
          </cell>
          <cell r="AE310">
            <v>0</v>
          </cell>
          <cell r="AF310">
            <v>0</v>
          </cell>
          <cell r="AG310">
            <v>0</v>
          </cell>
          <cell r="AH310">
            <v>0</v>
          </cell>
          <cell r="AI310">
            <v>0</v>
          </cell>
          <cell r="AJ310">
            <v>0</v>
          </cell>
          <cell r="AK310">
            <v>0</v>
          </cell>
          <cell r="AL310">
            <v>0</v>
          </cell>
          <cell r="AM310">
            <v>0</v>
          </cell>
          <cell r="AN310">
            <v>0</v>
          </cell>
          <cell r="AO310">
            <v>0</v>
          </cell>
          <cell r="AP310">
            <v>0</v>
          </cell>
          <cell r="AR310">
            <v>0</v>
          </cell>
          <cell r="AS310">
            <v>0</v>
          </cell>
          <cell r="AT310">
            <v>0</v>
          </cell>
        </row>
        <row r="311">
          <cell r="G311">
            <v>44851</v>
          </cell>
          <cell r="J311">
            <v>0</v>
          </cell>
          <cell r="K311">
            <v>0</v>
          </cell>
          <cell r="L311">
            <v>0</v>
          </cell>
          <cell r="M311">
            <v>0</v>
          </cell>
          <cell r="N311">
            <v>0</v>
          </cell>
          <cell r="O311">
            <v>0</v>
          </cell>
          <cell r="P311">
            <v>0</v>
          </cell>
          <cell r="Q311">
            <v>0</v>
          </cell>
          <cell r="R311">
            <v>0</v>
          </cell>
          <cell r="S311">
            <v>0</v>
          </cell>
          <cell r="T311">
            <v>0</v>
          </cell>
          <cell r="U311">
            <v>0</v>
          </cell>
          <cell r="V311">
            <v>0</v>
          </cell>
          <cell r="W311">
            <v>0</v>
          </cell>
          <cell r="X311">
            <v>0</v>
          </cell>
          <cell r="Y311">
            <v>0</v>
          </cell>
          <cell r="Z311">
            <v>0</v>
          </cell>
          <cell r="AA311">
            <v>0</v>
          </cell>
          <cell r="AB311">
            <v>0</v>
          </cell>
          <cell r="AC311">
            <v>0</v>
          </cell>
          <cell r="AD311">
            <v>0</v>
          </cell>
          <cell r="AE311">
            <v>0</v>
          </cell>
          <cell r="AF311">
            <v>0</v>
          </cell>
          <cell r="AG311">
            <v>0</v>
          </cell>
          <cell r="AH311">
            <v>0</v>
          </cell>
          <cell r="AI311">
            <v>0</v>
          </cell>
          <cell r="AJ311">
            <v>0</v>
          </cell>
          <cell r="AK311">
            <v>0</v>
          </cell>
          <cell r="AL311">
            <v>0</v>
          </cell>
          <cell r="AM311">
            <v>0</v>
          </cell>
          <cell r="AN311">
            <v>0</v>
          </cell>
          <cell r="AO311">
            <v>0</v>
          </cell>
          <cell r="AP311">
            <v>0</v>
          </cell>
          <cell r="AR311">
            <v>0</v>
          </cell>
          <cell r="AS311">
            <v>0</v>
          </cell>
          <cell r="AT311">
            <v>0</v>
          </cell>
        </row>
        <row r="312">
          <cell r="G312">
            <v>44852</v>
          </cell>
          <cell r="J312">
            <v>0</v>
          </cell>
          <cell r="K312">
            <v>0</v>
          </cell>
          <cell r="L312">
            <v>0</v>
          </cell>
          <cell r="M312">
            <v>0</v>
          </cell>
          <cell r="N312">
            <v>0</v>
          </cell>
          <cell r="O312">
            <v>0</v>
          </cell>
          <cell r="P312">
            <v>0</v>
          </cell>
          <cell r="Q312">
            <v>0</v>
          </cell>
          <cell r="R312">
            <v>0</v>
          </cell>
          <cell r="S312">
            <v>0</v>
          </cell>
          <cell r="T312">
            <v>0</v>
          </cell>
          <cell r="U312">
            <v>0</v>
          </cell>
          <cell r="V312">
            <v>0</v>
          </cell>
          <cell r="W312">
            <v>0</v>
          </cell>
          <cell r="X312">
            <v>0</v>
          </cell>
          <cell r="Y312">
            <v>0</v>
          </cell>
          <cell r="Z312">
            <v>0</v>
          </cell>
          <cell r="AA312">
            <v>0</v>
          </cell>
          <cell r="AB312">
            <v>0</v>
          </cell>
          <cell r="AC312">
            <v>0</v>
          </cell>
          <cell r="AD312">
            <v>0</v>
          </cell>
          <cell r="AE312">
            <v>0</v>
          </cell>
          <cell r="AF312">
            <v>0</v>
          </cell>
          <cell r="AG312">
            <v>0</v>
          </cell>
          <cell r="AH312">
            <v>0</v>
          </cell>
          <cell r="AI312">
            <v>0</v>
          </cell>
          <cell r="AJ312">
            <v>0</v>
          </cell>
          <cell r="AK312">
            <v>0</v>
          </cell>
          <cell r="AL312">
            <v>0</v>
          </cell>
          <cell r="AM312">
            <v>0</v>
          </cell>
          <cell r="AN312">
            <v>0</v>
          </cell>
          <cell r="AO312">
            <v>0</v>
          </cell>
          <cell r="AP312">
            <v>0</v>
          </cell>
          <cell r="AR312">
            <v>0</v>
          </cell>
          <cell r="AS312">
            <v>0</v>
          </cell>
          <cell r="AT312">
            <v>0</v>
          </cell>
        </row>
        <row r="313">
          <cell r="G313">
            <v>44853</v>
          </cell>
          <cell r="J313">
            <v>0</v>
          </cell>
          <cell r="K313">
            <v>0</v>
          </cell>
          <cell r="L313">
            <v>0</v>
          </cell>
          <cell r="M313">
            <v>0</v>
          </cell>
          <cell r="N313">
            <v>0</v>
          </cell>
          <cell r="O313">
            <v>0</v>
          </cell>
          <cell r="P313">
            <v>0</v>
          </cell>
          <cell r="Q313">
            <v>0</v>
          </cell>
          <cell r="R313">
            <v>0</v>
          </cell>
          <cell r="S313">
            <v>0</v>
          </cell>
          <cell r="T313">
            <v>0</v>
          </cell>
          <cell r="U313">
            <v>0</v>
          </cell>
          <cell r="V313">
            <v>0</v>
          </cell>
          <cell r="W313">
            <v>0</v>
          </cell>
          <cell r="X313">
            <v>0</v>
          </cell>
          <cell r="Y313">
            <v>0</v>
          </cell>
          <cell r="Z313">
            <v>0</v>
          </cell>
          <cell r="AA313">
            <v>0</v>
          </cell>
          <cell r="AB313">
            <v>0</v>
          </cell>
          <cell r="AC313">
            <v>0</v>
          </cell>
          <cell r="AD313">
            <v>0</v>
          </cell>
          <cell r="AE313">
            <v>0</v>
          </cell>
          <cell r="AF313">
            <v>0</v>
          </cell>
          <cell r="AG313">
            <v>0</v>
          </cell>
          <cell r="AH313">
            <v>0</v>
          </cell>
          <cell r="AI313">
            <v>0</v>
          </cell>
          <cell r="AJ313">
            <v>0</v>
          </cell>
          <cell r="AK313">
            <v>0</v>
          </cell>
          <cell r="AL313">
            <v>0</v>
          </cell>
          <cell r="AM313">
            <v>0</v>
          </cell>
          <cell r="AN313">
            <v>0</v>
          </cell>
          <cell r="AO313">
            <v>0</v>
          </cell>
          <cell r="AP313">
            <v>0</v>
          </cell>
          <cell r="AR313">
            <v>0</v>
          </cell>
          <cell r="AS313">
            <v>0</v>
          </cell>
          <cell r="AT313">
            <v>0</v>
          </cell>
        </row>
        <row r="314">
          <cell r="G314">
            <v>44854</v>
          </cell>
          <cell r="J314">
            <v>0</v>
          </cell>
          <cell r="K314">
            <v>0</v>
          </cell>
          <cell r="L314">
            <v>0</v>
          </cell>
          <cell r="M314">
            <v>0</v>
          </cell>
          <cell r="N314">
            <v>0</v>
          </cell>
          <cell r="O314">
            <v>0</v>
          </cell>
          <cell r="P314">
            <v>0</v>
          </cell>
          <cell r="Q314">
            <v>0</v>
          </cell>
          <cell r="R314">
            <v>0</v>
          </cell>
          <cell r="S314">
            <v>0</v>
          </cell>
          <cell r="T314">
            <v>0</v>
          </cell>
          <cell r="U314">
            <v>0</v>
          </cell>
          <cell r="V314">
            <v>0</v>
          </cell>
          <cell r="W314">
            <v>0</v>
          </cell>
          <cell r="X314">
            <v>0</v>
          </cell>
          <cell r="Y314">
            <v>0</v>
          </cell>
          <cell r="Z314">
            <v>0</v>
          </cell>
          <cell r="AA314">
            <v>0</v>
          </cell>
          <cell r="AB314">
            <v>0</v>
          </cell>
          <cell r="AC314">
            <v>0</v>
          </cell>
          <cell r="AD314">
            <v>0</v>
          </cell>
          <cell r="AE314">
            <v>0</v>
          </cell>
          <cell r="AF314">
            <v>0</v>
          </cell>
          <cell r="AG314">
            <v>0</v>
          </cell>
          <cell r="AH314">
            <v>0</v>
          </cell>
          <cell r="AI314">
            <v>0</v>
          </cell>
          <cell r="AJ314">
            <v>0</v>
          </cell>
          <cell r="AK314">
            <v>0</v>
          </cell>
          <cell r="AL314">
            <v>0</v>
          </cell>
          <cell r="AM314">
            <v>0</v>
          </cell>
          <cell r="AN314">
            <v>0</v>
          </cell>
          <cell r="AO314">
            <v>0</v>
          </cell>
          <cell r="AP314">
            <v>0</v>
          </cell>
          <cell r="AR314">
            <v>0</v>
          </cell>
          <cell r="AS314">
            <v>0</v>
          </cell>
          <cell r="AT314">
            <v>0</v>
          </cell>
        </row>
        <row r="315">
          <cell r="G315">
            <v>44855</v>
          </cell>
          <cell r="J315">
            <v>0</v>
          </cell>
          <cell r="K315">
            <v>0</v>
          </cell>
          <cell r="L315">
            <v>0</v>
          </cell>
          <cell r="M315">
            <v>0</v>
          </cell>
          <cell r="N315">
            <v>0</v>
          </cell>
          <cell r="O315">
            <v>0</v>
          </cell>
          <cell r="P315">
            <v>0</v>
          </cell>
          <cell r="Q315">
            <v>0</v>
          </cell>
          <cell r="R315">
            <v>0</v>
          </cell>
          <cell r="S315">
            <v>0</v>
          </cell>
          <cell r="T315">
            <v>0</v>
          </cell>
          <cell r="U315">
            <v>0</v>
          </cell>
          <cell r="V315">
            <v>0</v>
          </cell>
          <cell r="W315">
            <v>0</v>
          </cell>
          <cell r="X315">
            <v>0</v>
          </cell>
          <cell r="Y315">
            <v>0</v>
          </cell>
          <cell r="Z315">
            <v>0</v>
          </cell>
          <cell r="AA315">
            <v>0</v>
          </cell>
          <cell r="AB315">
            <v>0</v>
          </cell>
          <cell r="AC315">
            <v>0</v>
          </cell>
          <cell r="AD315">
            <v>0</v>
          </cell>
          <cell r="AE315">
            <v>0</v>
          </cell>
          <cell r="AF315">
            <v>0</v>
          </cell>
          <cell r="AG315">
            <v>0</v>
          </cell>
          <cell r="AH315">
            <v>0</v>
          </cell>
          <cell r="AI315">
            <v>0</v>
          </cell>
          <cell r="AJ315">
            <v>0</v>
          </cell>
          <cell r="AK315">
            <v>0</v>
          </cell>
          <cell r="AL315">
            <v>0</v>
          </cell>
          <cell r="AM315">
            <v>0</v>
          </cell>
          <cell r="AN315">
            <v>0</v>
          </cell>
          <cell r="AO315">
            <v>0</v>
          </cell>
          <cell r="AP315">
            <v>0</v>
          </cell>
          <cell r="AR315">
            <v>0</v>
          </cell>
          <cell r="AS315">
            <v>0</v>
          </cell>
          <cell r="AT315">
            <v>0</v>
          </cell>
        </row>
        <row r="316">
          <cell r="G316">
            <v>44856</v>
          </cell>
          <cell r="J316">
            <v>0</v>
          </cell>
          <cell r="K316">
            <v>0</v>
          </cell>
          <cell r="L316">
            <v>0</v>
          </cell>
          <cell r="M316">
            <v>0</v>
          </cell>
          <cell r="N316">
            <v>0</v>
          </cell>
          <cell r="O316">
            <v>0</v>
          </cell>
          <cell r="P316">
            <v>0</v>
          </cell>
          <cell r="Q316">
            <v>0</v>
          </cell>
          <cell r="R316">
            <v>0</v>
          </cell>
          <cell r="S316">
            <v>0</v>
          </cell>
          <cell r="T316">
            <v>0</v>
          </cell>
          <cell r="U316">
            <v>0</v>
          </cell>
          <cell r="V316">
            <v>0</v>
          </cell>
          <cell r="W316">
            <v>0</v>
          </cell>
          <cell r="X316">
            <v>0</v>
          </cell>
          <cell r="Y316">
            <v>0</v>
          </cell>
          <cell r="Z316">
            <v>0</v>
          </cell>
          <cell r="AA316">
            <v>0</v>
          </cell>
          <cell r="AB316">
            <v>0</v>
          </cell>
          <cell r="AC316">
            <v>0</v>
          </cell>
          <cell r="AD316">
            <v>0</v>
          </cell>
          <cell r="AE316">
            <v>0</v>
          </cell>
          <cell r="AF316">
            <v>0</v>
          </cell>
          <cell r="AG316">
            <v>0</v>
          </cell>
          <cell r="AH316">
            <v>0</v>
          </cell>
          <cell r="AI316">
            <v>0</v>
          </cell>
          <cell r="AJ316">
            <v>0</v>
          </cell>
          <cell r="AK316">
            <v>0</v>
          </cell>
          <cell r="AL316">
            <v>0</v>
          </cell>
          <cell r="AM316">
            <v>0</v>
          </cell>
          <cell r="AN316">
            <v>0</v>
          </cell>
          <cell r="AO316">
            <v>0</v>
          </cell>
          <cell r="AP316">
            <v>0</v>
          </cell>
          <cell r="AR316">
            <v>0</v>
          </cell>
          <cell r="AS316">
            <v>0</v>
          </cell>
          <cell r="AT316">
            <v>0</v>
          </cell>
        </row>
        <row r="317">
          <cell r="G317">
            <v>44857</v>
          </cell>
          <cell r="J317">
            <v>0</v>
          </cell>
          <cell r="K317">
            <v>0</v>
          </cell>
          <cell r="L317">
            <v>0</v>
          </cell>
          <cell r="M317">
            <v>0</v>
          </cell>
          <cell r="N317">
            <v>0</v>
          </cell>
          <cell r="O317">
            <v>0</v>
          </cell>
          <cell r="P317">
            <v>0</v>
          </cell>
          <cell r="Q317">
            <v>0</v>
          </cell>
          <cell r="R317">
            <v>0</v>
          </cell>
          <cell r="S317">
            <v>0</v>
          </cell>
          <cell r="T317">
            <v>0</v>
          </cell>
          <cell r="U317">
            <v>0</v>
          </cell>
          <cell r="V317">
            <v>0</v>
          </cell>
          <cell r="W317">
            <v>0</v>
          </cell>
          <cell r="X317">
            <v>0</v>
          </cell>
          <cell r="Y317">
            <v>0</v>
          </cell>
          <cell r="Z317">
            <v>0</v>
          </cell>
          <cell r="AA317">
            <v>0</v>
          </cell>
          <cell r="AB317">
            <v>0</v>
          </cell>
          <cell r="AC317">
            <v>0</v>
          </cell>
          <cell r="AD317">
            <v>0</v>
          </cell>
          <cell r="AE317">
            <v>0</v>
          </cell>
          <cell r="AF317">
            <v>0</v>
          </cell>
          <cell r="AG317">
            <v>0</v>
          </cell>
          <cell r="AH317">
            <v>0</v>
          </cell>
          <cell r="AI317">
            <v>0</v>
          </cell>
          <cell r="AJ317">
            <v>0</v>
          </cell>
          <cell r="AK317">
            <v>0</v>
          </cell>
          <cell r="AL317">
            <v>0</v>
          </cell>
          <cell r="AM317">
            <v>0</v>
          </cell>
          <cell r="AN317">
            <v>0</v>
          </cell>
          <cell r="AO317">
            <v>0</v>
          </cell>
          <cell r="AP317">
            <v>0</v>
          </cell>
          <cell r="AR317">
            <v>0</v>
          </cell>
          <cell r="AS317">
            <v>0</v>
          </cell>
          <cell r="AT317">
            <v>0</v>
          </cell>
        </row>
        <row r="318">
          <cell r="G318">
            <v>44858</v>
          </cell>
          <cell r="J318">
            <v>0</v>
          </cell>
          <cell r="K318">
            <v>0</v>
          </cell>
          <cell r="L318">
            <v>0</v>
          </cell>
          <cell r="M318">
            <v>0</v>
          </cell>
          <cell r="N318">
            <v>0</v>
          </cell>
          <cell r="O318">
            <v>0</v>
          </cell>
          <cell r="P318">
            <v>0</v>
          </cell>
          <cell r="Q318">
            <v>0</v>
          </cell>
          <cell r="R318">
            <v>0</v>
          </cell>
          <cell r="S318">
            <v>0</v>
          </cell>
          <cell r="T318">
            <v>0</v>
          </cell>
          <cell r="U318">
            <v>0</v>
          </cell>
          <cell r="V318">
            <v>0</v>
          </cell>
          <cell r="W318">
            <v>0</v>
          </cell>
          <cell r="X318">
            <v>0</v>
          </cell>
          <cell r="Y318">
            <v>0</v>
          </cell>
          <cell r="Z318">
            <v>0</v>
          </cell>
          <cell r="AA318">
            <v>0</v>
          </cell>
          <cell r="AB318">
            <v>0</v>
          </cell>
          <cell r="AC318">
            <v>0</v>
          </cell>
          <cell r="AD318">
            <v>0</v>
          </cell>
          <cell r="AE318">
            <v>0</v>
          </cell>
          <cell r="AF318">
            <v>0</v>
          </cell>
          <cell r="AG318">
            <v>0</v>
          </cell>
          <cell r="AH318">
            <v>0</v>
          </cell>
          <cell r="AI318">
            <v>0</v>
          </cell>
          <cell r="AJ318">
            <v>0</v>
          </cell>
          <cell r="AK318">
            <v>0</v>
          </cell>
          <cell r="AL318">
            <v>0</v>
          </cell>
          <cell r="AM318">
            <v>0</v>
          </cell>
          <cell r="AN318">
            <v>0</v>
          </cell>
          <cell r="AO318">
            <v>0</v>
          </cell>
          <cell r="AP318">
            <v>0</v>
          </cell>
          <cell r="AR318">
            <v>0</v>
          </cell>
          <cell r="AS318">
            <v>0</v>
          </cell>
          <cell r="AT318">
            <v>0</v>
          </cell>
        </row>
        <row r="319">
          <cell r="G319">
            <v>44859</v>
          </cell>
          <cell r="J319">
            <v>0</v>
          </cell>
          <cell r="K319">
            <v>0</v>
          </cell>
          <cell r="L319">
            <v>0</v>
          </cell>
          <cell r="M319">
            <v>0</v>
          </cell>
          <cell r="N319">
            <v>0</v>
          </cell>
          <cell r="O319">
            <v>0</v>
          </cell>
          <cell r="P319">
            <v>0</v>
          </cell>
          <cell r="Q319">
            <v>0</v>
          </cell>
          <cell r="R319">
            <v>0</v>
          </cell>
          <cell r="S319">
            <v>0</v>
          </cell>
          <cell r="T319">
            <v>0</v>
          </cell>
          <cell r="U319">
            <v>0</v>
          </cell>
          <cell r="V319">
            <v>0</v>
          </cell>
          <cell r="W319">
            <v>0</v>
          </cell>
          <cell r="X319">
            <v>0</v>
          </cell>
          <cell r="Y319">
            <v>0</v>
          </cell>
          <cell r="Z319">
            <v>0</v>
          </cell>
          <cell r="AA319">
            <v>0</v>
          </cell>
          <cell r="AB319">
            <v>0</v>
          </cell>
          <cell r="AC319">
            <v>0</v>
          </cell>
          <cell r="AD319">
            <v>0</v>
          </cell>
          <cell r="AE319">
            <v>0</v>
          </cell>
          <cell r="AF319">
            <v>0</v>
          </cell>
          <cell r="AG319">
            <v>0</v>
          </cell>
          <cell r="AH319">
            <v>0</v>
          </cell>
          <cell r="AI319">
            <v>0</v>
          </cell>
          <cell r="AJ319">
            <v>0</v>
          </cell>
          <cell r="AK319">
            <v>0</v>
          </cell>
          <cell r="AL319">
            <v>0</v>
          </cell>
          <cell r="AM319">
            <v>0</v>
          </cell>
          <cell r="AN319">
            <v>0</v>
          </cell>
          <cell r="AO319">
            <v>0</v>
          </cell>
          <cell r="AP319">
            <v>0</v>
          </cell>
          <cell r="AR319">
            <v>0</v>
          </cell>
          <cell r="AS319">
            <v>0</v>
          </cell>
          <cell r="AT319">
            <v>0</v>
          </cell>
        </row>
        <row r="320">
          <cell r="G320">
            <v>44860</v>
          </cell>
          <cell r="J320">
            <v>0</v>
          </cell>
          <cell r="K320">
            <v>0</v>
          </cell>
          <cell r="L320">
            <v>0</v>
          </cell>
          <cell r="M320">
            <v>0</v>
          </cell>
          <cell r="N320">
            <v>0</v>
          </cell>
          <cell r="O320">
            <v>0</v>
          </cell>
          <cell r="P320">
            <v>0</v>
          </cell>
          <cell r="Q320">
            <v>0</v>
          </cell>
          <cell r="R320">
            <v>0</v>
          </cell>
          <cell r="S320">
            <v>0</v>
          </cell>
          <cell r="T320">
            <v>0</v>
          </cell>
          <cell r="U320">
            <v>0</v>
          </cell>
          <cell r="V320">
            <v>0</v>
          </cell>
          <cell r="W320">
            <v>0</v>
          </cell>
          <cell r="X320">
            <v>0</v>
          </cell>
          <cell r="Y320">
            <v>0</v>
          </cell>
          <cell r="Z320">
            <v>0</v>
          </cell>
          <cell r="AA320">
            <v>0</v>
          </cell>
          <cell r="AB320">
            <v>0</v>
          </cell>
          <cell r="AC320">
            <v>0</v>
          </cell>
          <cell r="AD320">
            <v>0</v>
          </cell>
          <cell r="AE320">
            <v>0</v>
          </cell>
          <cell r="AF320">
            <v>0</v>
          </cell>
          <cell r="AG320">
            <v>0</v>
          </cell>
          <cell r="AH320">
            <v>0</v>
          </cell>
          <cell r="AI320">
            <v>0</v>
          </cell>
          <cell r="AJ320">
            <v>0</v>
          </cell>
          <cell r="AK320">
            <v>0</v>
          </cell>
          <cell r="AL320">
            <v>0</v>
          </cell>
          <cell r="AM320">
            <v>0</v>
          </cell>
          <cell r="AN320">
            <v>0</v>
          </cell>
          <cell r="AO320">
            <v>0</v>
          </cell>
          <cell r="AP320">
            <v>0</v>
          </cell>
          <cell r="AR320">
            <v>0</v>
          </cell>
          <cell r="AS320">
            <v>0</v>
          </cell>
          <cell r="AT320">
            <v>0</v>
          </cell>
        </row>
        <row r="321">
          <cell r="G321">
            <v>44861</v>
          </cell>
          <cell r="J321">
            <v>0</v>
          </cell>
          <cell r="K321">
            <v>0</v>
          </cell>
          <cell r="L321">
            <v>0</v>
          </cell>
          <cell r="M321">
            <v>0</v>
          </cell>
          <cell r="N321">
            <v>0</v>
          </cell>
          <cell r="O321">
            <v>0</v>
          </cell>
          <cell r="P321">
            <v>0</v>
          </cell>
          <cell r="Q321">
            <v>0</v>
          </cell>
          <cell r="R321">
            <v>0</v>
          </cell>
          <cell r="S321">
            <v>0</v>
          </cell>
          <cell r="T321">
            <v>0</v>
          </cell>
          <cell r="U321">
            <v>0</v>
          </cell>
          <cell r="V321">
            <v>0</v>
          </cell>
          <cell r="W321">
            <v>0</v>
          </cell>
          <cell r="X321">
            <v>0</v>
          </cell>
          <cell r="Y321">
            <v>0</v>
          </cell>
          <cell r="Z321">
            <v>0</v>
          </cell>
          <cell r="AA321">
            <v>0</v>
          </cell>
          <cell r="AB321">
            <v>0</v>
          </cell>
          <cell r="AC321">
            <v>0</v>
          </cell>
          <cell r="AD321">
            <v>0</v>
          </cell>
          <cell r="AE321">
            <v>0</v>
          </cell>
          <cell r="AF321">
            <v>0</v>
          </cell>
          <cell r="AG321">
            <v>0</v>
          </cell>
          <cell r="AH321">
            <v>0</v>
          </cell>
          <cell r="AI321">
            <v>0</v>
          </cell>
          <cell r="AJ321">
            <v>0</v>
          </cell>
          <cell r="AK321">
            <v>0</v>
          </cell>
          <cell r="AL321">
            <v>0</v>
          </cell>
          <cell r="AM321">
            <v>0</v>
          </cell>
          <cell r="AN321">
            <v>0</v>
          </cell>
          <cell r="AO321">
            <v>0</v>
          </cell>
          <cell r="AP321">
            <v>0</v>
          </cell>
          <cell r="AR321">
            <v>0</v>
          </cell>
          <cell r="AS321">
            <v>0</v>
          </cell>
          <cell r="AT321">
            <v>0</v>
          </cell>
        </row>
        <row r="322">
          <cell r="G322">
            <v>44862</v>
          </cell>
          <cell r="J322">
            <v>0</v>
          </cell>
          <cell r="K322">
            <v>0</v>
          </cell>
          <cell r="L322">
            <v>0</v>
          </cell>
          <cell r="M322">
            <v>0</v>
          </cell>
          <cell r="N322">
            <v>0</v>
          </cell>
          <cell r="O322">
            <v>0</v>
          </cell>
          <cell r="P322">
            <v>0</v>
          </cell>
          <cell r="Q322">
            <v>0</v>
          </cell>
          <cell r="R322">
            <v>0</v>
          </cell>
          <cell r="S322">
            <v>0</v>
          </cell>
          <cell r="T322">
            <v>0</v>
          </cell>
          <cell r="U322">
            <v>0</v>
          </cell>
          <cell r="V322">
            <v>0</v>
          </cell>
          <cell r="W322">
            <v>0</v>
          </cell>
          <cell r="X322">
            <v>0</v>
          </cell>
          <cell r="Y322">
            <v>0</v>
          </cell>
          <cell r="Z322">
            <v>0</v>
          </cell>
          <cell r="AA322">
            <v>0</v>
          </cell>
          <cell r="AB322">
            <v>0</v>
          </cell>
          <cell r="AC322">
            <v>0</v>
          </cell>
          <cell r="AD322">
            <v>0</v>
          </cell>
          <cell r="AE322">
            <v>0</v>
          </cell>
          <cell r="AF322">
            <v>0</v>
          </cell>
          <cell r="AG322">
            <v>0</v>
          </cell>
          <cell r="AH322">
            <v>0</v>
          </cell>
          <cell r="AI322">
            <v>0</v>
          </cell>
          <cell r="AJ322">
            <v>0</v>
          </cell>
          <cell r="AK322">
            <v>0</v>
          </cell>
          <cell r="AL322">
            <v>0</v>
          </cell>
          <cell r="AM322">
            <v>0</v>
          </cell>
          <cell r="AN322">
            <v>0</v>
          </cell>
          <cell r="AO322">
            <v>0</v>
          </cell>
          <cell r="AP322">
            <v>0</v>
          </cell>
          <cell r="AR322">
            <v>0</v>
          </cell>
          <cell r="AS322">
            <v>0</v>
          </cell>
          <cell r="AT322">
            <v>0</v>
          </cell>
        </row>
        <row r="323">
          <cell r="G323">
            <v>44863</v>
          </cell>
          <cell r="J323">
            <v>0</v>
          </cell>
          <cell r="K323">
            <v>0</v>
          </cell>
          <cell r="L323">
            <v>0</v>
          </cell>
          <cell r="M323">
            <v>0</v>
          </cell>
          <cell r="N323">
            <v>0</v>
          </cell>
          <cell r="O323">
            <v>0</v>
          </cell>
          <cell r="P323">
            <v>0</v>
          </cell>
          <cell r="Q323">
            <v>0</v>
          </cell>
          <cell r="R323">
            <v>0</v>
          </cell>
          <cell r="S323">
            <v>0</v>
          </cell>
          <cell r="T323">
            <v>0</v>
          </cell>
          <cell r="U323">
            <v>0</v>
          </cell>
          <cell r="V323">
            <v>0</v>
          </cell>
          <cell r="W323">
            <v>0</v>
          </cell>
          <cell r="X323">
            <v>0</v>
          </cell>
          <cell r="Y323">
            <v>0</v>
          </cell>
          <cell r="Z323">
            <v>0</v>
          </cell>
          <cell r="AA323">
            <v>0</v>
          </cell>
          <cell r="AB323">
            <v>0</v>
          </cell>
          <cell r="AC323">
            <v>0</v>
          </cell>
          <cell r="AD323">
            <v>0</v>
          </cell>
          <cell r="AE323">
            <v>0</v>
          </cell>
          <cell r="AF323">
            <v>0</v>
          </cell>
          <cell r="AG323">
            <v>0</v>
          </cell>
          <cell r="AH323">
            <v>0</v>
          </cell>
          <cell r="AI323">
            <v>0</v>
          </cell>
          <cell r="AJ323">
            <v>0</v>
          </cell>
          <cell r="AK323">
            <v>0</v>
          </cell>
          <cell r="AL323">
            <v>0</v>
          </cell>
          <cell r="AM323">
            <v>0</v>
          </cell>
          <cell r="AN323">
            <v>0</v>
          </cell>
          <cell r="AO323">
            <v>0</v>
          </cell>
          <cell r="AP323">
            <v>0</v>
          </cell>
          <cell r="AR323">
            <v>0</v>
          </cell>
          <cell r="AS323">
            <v>0</v>
          </cell>
          <cell r="AT323">
            <v>0</v>
          </cell>
        </row>
        <row r="324">
          <cell r="G324">
            <v>44864</v>
          </cell>
          <cell r="J324">
            <v>0</v>
          </cell>
          <cell r="K324">
            <v>0</v>
          </cell>
          <cell r="L324">
            <v>0</v>
          </cell>
          <cell r="M324">
            <v>0</v>
          </cell>
          <cell r="N324">
            <v>0</v>
          </cell>
          <cell r="O324">
            <v>0</v>
          </cell>
          <cell r="P324">
            <v>0</v>
          </cell>
          <cell r="Q324">
            <v>0</v>
          </cell>
          <cell r="R324">
            <v>0</v>
          </cell>
          <cell r="S324">
            <v>0</v>
          </cell>
          <cell r="T324">
            <v>0</v>
          </cell>
          <cell r="U324">
            <v>0</v>
          </cell>
          <cell r="V324">
            <v>0</v>
          </cell>
          <cell r="W324">
            <v>0</v>
          </cell>
          <cell r="X324">
            <v>0</v>
          </cell>
          <cell r="Y324">
            <v>0</v>
          </cell>
          <cell r="Z324">
            <v>0</v>
          </cell>
          <cell r="AA324">
            <v>0</v>
          </cell>
          <cell r="AB324">
            <v>0</v>
          </cell>
          <cell r="AC324">
            <v>0</v>
          </cell>
          <cell r="AD324">
            <v>0</v>
          </cell>
          <cell r="AE324">
            <v>0</v>
          </cell>
          <cell r="AF324">
            <v>0</v>
          </cell>
          <cell r="AG324">
            <v>0</v>
          </cell>
          <cell r="AH324">
            <v>0</v>
          </cell>
          <cell r="AI324">
            <v>0</v>
          </cell>
          <cell r="AJ324">
            <v>0</v>
          </cell>
          <cell r="AK324">
            <v>0</v>
          </cell>
          <cell r="AL324">
            <v>0</v>
          </cell>
          <cell r="AM324">
            <v>0</v>
          </cell>
          <cell r="AN324">
            <v>0</v>
          </cell>
          <cell r="AO324">
            <v>0</v>
          </cell>
          <cell r="AP324">
            <v>0</v>
          </cell>
          <cell r="AR324">
            <v>0</v>
          </cell>
          <cell r="AS324">
            <v>0</v>
          </cell>
          <cell r="AT324">
            <v>0</v>
          </cell>
        </row>
        <row r="325">
          <cell r="G325">
            <v>44865</v>
          </cell>
          <cell r="J325">
            <v>0</v>
          </cell>
          <cell r="K325">
            <v>0</v>
          </cell>
          <cell r="L325">
            <v>0</v>
          </cell>
          <cell r="M325">
            <v>0</v>
          </cell>
          <cell r="N325">
            <v>0</v>
          </cell>
          <cell r="O325">
            <v>0</v>
          </cell>
          <cell r="P325">
            <v>0</v>
          </cell>
          <cell r="Q325">
            <v>0</v>
          </cell>
          <cell r="R325">
            <v>0</v>
          </cell>
          <cell r="S325">
            <v>0</v>
          </cell>
          <cell r="T325">
            <v>0</v>
          </cell>
          <cell r="U325">
            <v>0</v>
          </cell>
          <cell r="V325">
            <v>0</v>
          </cell>
          <cell r="W325">
            <v>0</v>
          </cell>
          <cell r="X325">
            <v>0</v>
          </cell>
          <cell r="Y325">
            <v>0</v>
          </cell>
          <cell r="Z325">
            <v>0</v>
          </cell>
          <cell r="AA325">
            <v>0</v>
          </cell>
          <cell r="AB325">
            <v>0</v>
          </cell>
          <cell r="AC325">
            <v>0</v>
          </cell>
          <cell r="AD325">
            <v>0</v>
          </cell>
          <cell r="AE325">
            <v>0</v>
          </cell>
          <cell r="AF325">
            <v>0</v>
          </cell>
          <cell r="AG325">
            <v>0</v>
          </cell>
          <cell r="AH325">
            <v>0</v>
          </cell>
          <cell r="AI325">
            <v>0</v>
          </cell>
          <cell r="AJ325">
            <v>0</v>
          </cell>
          <cell r="AK325">
            <v>0</v>
          </cell>
          <cell r="AL325">
            <v>0</v>
          </cell>
          <cell r="AM325">
            <v>0</v>
          </cell>
          <cell r="AN325">
            <v>0</v>
          </cell>
          <cell r="AO325">
            <v>0</v>
          </cell>
          <cell r="AP325">
            <v>0</v>
          </cell>
          <cell r="AR325">
            <v>0</v>
          </cell>
          <cell r="AS325">
            <v>0</v>
          </cell>
          <cell r="AT325">
            <v>0</v>
          </cell>
        </row>
        <row r="326">
          <cell r="G326">
            <v>44866</v>
          </cell>
          <cell r="J326">
            <v>0</v>
          </cell>
          <cell r="K326">
            <v>0</v>
          </cell>
          <cell r="L326">
            <v>0</v>
          </cell>
          <cell r="M326">
            <v>0</v>
          </cell>
          <cell r="N326">
            <v>0</v>
          </cell>
          <cell r="O326">
            <v>0</v>
          </cell>
          <cell r="P326">
            <v>0</v>
          </cell>
          <cell r="Q326">
            <v>0</v>
          </cell>
          <cell r="R326">
            <v>0</v>
          </cell>
          <cell r="S326">
            <v>0</v>
          </cell>
          <cell r="T326">
            <v>0</v>
          </cell>
          <cell r="U326">
            <v>0</v>
          </cell>
          <cell r="V326">
            <v>0</v>
          </cell>
          <cell r="W326">
            <v>0</v>
          </cell>
          <cell r="X326">
            <v>0</v>
          </cell>
          <cell r="Y326">
            <v>0</v>
          </cell>
          <cell r="Z326">
            <v>0</v>
          </cell>
          <cell r="AA326">
            <v>0</v>
          </cell>
          <cell r="AB326">
            <v>0</v>
          </cell>
          <cell r="AC326">
            <v>0</v>
          </cell>
          <cell r="AD326">
            <v>0</v>
          </cell>
          <cell r="AE326">
            <v>0</v>
          </cell>
          <cell r="AF326">
            <v>0</v>
          </cell>
          <cell r="AG326">
            <v>0</v>
          </cell>
          <cell r="AH326">
            <v>0</v>
          </cell>
          <cell r="AI326">
            <v>0</v>
          </cell>
          <cell r="AJ326">
            <v>0</v>
          </cell>
          <cell r="AK326">
            <v>0</v>
          </cell>
          <cell r="AL326">
            <v>0</v>
          </cell>
          <cell r="AM326">
            <v>0</v>
          </cell>
          <cell r="AN326">
            <v>0</v>
          </cell>
          <cell r="AO326">
            <v>0</v>
          </cell>
          <cell r="AP326">
            <v>0</v>
          </cell>
          <cell r="AR326">
            <v>0</v>
          </cell>
          <cell r="AS326">
            <v>0</v>
          </cell>
          <cell r="AT326">
            <v>0</v>
          </cell>
        </row>
        <row r="327">
          <cell r="G327">
            <v>44867</v>
          </cell>
          <cell r="J327">
            <v>0</v>
          </cell>
          <cell r="K327">
            <v>0</v>
          </cell>
          <cell r="L327">
            <v>0</v>
          </cell>
          <cell r="M327">
            <v>0</v>
          </cell>
          <cell r="N327">
            <v>0</v>
          </cell>
          <cell r="O327">
            <v>0</v>
          </cell>
          <cell r="P327">
            <v>0</v>
          </cell>
          <cell r="Q327">
            <v>0</v>
          </cell>
          <cell r="R327">
            <v>0</v>
          </cell>
          <cell r="S327">
            <v>0</v>
          </cell>
          <cell r="T327">
            <v>0</v>
          </cell>
          <cell r="U327">
            <v>0</v>
          </cell>
          <cell r="V327">
            <v>0</v>
          </cell>
          <cell r="W327">
            <v>0</v>
          </cell>
          <cell r="X327">
            <v>0</v>
          </cell>
          <cell r="Y327">
            <v>0</v>
          </cell>
          <cell r="Z327">
            <v>0</v>
          </cell>
          <cell r="AA327">
            <v>0</v>
          </cell>
          <cell r="AB327">
            <v>0</v>
          </cell>
          <cell r="AC327">
            <v>0</v>
          </cell>
          <cell r="AD327">
            <v>0</v>
          </cell>
          <cell r="AE327">
            <v>0</v>
          </cell>
          <cell r="AF327">
            <v>0</v>
          </cell>
          <cell r="AG327">
            <v>0</v>
          </cell>
          <cell r="AH327">
            <v>0</v>
          </cell>
          <cell r="AI327">
            <v>0</v>
          </cell>
          <cell r="AJ327">
            <v>0</v>
          </cell>
          <cell r="AK327">
            <v>0</v>
          </cell>
          <cell r="AL327">
            <v>0</v>
          </cell>
          <cell r="AM327">
            <v>0</v>
          </cell>
          <cell r="AN327">
            <v>0</v>
          </cell>
          <cell r="AO327">
            <v>0</v>
          </cell>
          <cell r="AP327">
            <v>0</v>
          </cell>
          <cell r="AR327">
            <v>0</v>
          </cell>
          <cell r="AS327">
            <v>0</v>
          </cell>
          <cell r="AT327">
            <v>0</v>
          </cell>
        </row>
        <row r="328">
          <cell r="G328">
            <v>44868</v>
          </cell>
          <cell r="J328">
            <v>0</v>
          </cell>
          <cell r="K328">
            <v>0</v>
          </cell>
          <cell r="L328">
            <v>0</v>
          </cell>
          <cell r="M328">
            <v>0</v>
          </cell>
          <cell r="N328">
            <v>0</v>
          </cell>
          <cell r="O328">
            <v>0</v>
          </cell>
          <cell r="P328">
            <v>0</v>
          </cell>
          <cell r="Q328">
            <v>0</v>
          </cell>
          <cell r="R328">
            <v>0</v>
          </cell>
          <cell r="S328">
            <v>0</v>
          </cell>
          <cell r="T328">
            <v>0</v>
          </cell>
          <cell r="U328">
            <v>0</v>
          </cell>
          <cell r="V328">
            <v>0</v>
          </cell>
          <cell r="W328">
            <v>0</v>
          </cell>
          <cell r="X328">
            <v>0</v>
          </cell>
          <cell r="Y328">
            <v>0</v>
          </cell>
          <cell r="Z328">
            <v>0</v>
          </cell>
          <cell r="AA328">
            <v>0</v>
          </cell>
          <cell r="AB328">
            <v>0</v>
          </cell>
          <cell r="AC328">
            <v>0</v>
          </cell>
          <cell r="AD328">
            <v>0</v>
          </cell>
          <cell r="AE328">
            <v>0</v>
          </cell>
          <cell r="AF328">
            <v>0</v>
          </cell>
          <cell r="AG328">
            <v>0</v>
          </cell>
          <cell r="AH328">
            <v>0</v>
          </cell>
          <cell r="AI328">
            <v>0</v>
          </cell>
          <cell r="AJ328">
            <v>0</v>
          </cell>
          <cell r="AK328">
            <v>0</v>
          </cell>
          <cell r="AL328">
            <v>0</v>
          </cell>
          <cell r="AM328">
            <v>0</v>
          </cell>
          <cell r="AN328">
            <v>0</v>
          </cell>
          <cell r="AO328">
            <v>0</v>
          </cell>
          <cell r="AP328">
            <v>0</v>
          </cell>
          <cell r="AR328">
            <v>0</v>
          </cell>
          <cell r="AS328">
            <v>0</v>
          </cell>
          <cell r="AT328">
            <v>0</v>
          </cell>
        </row>
        <row r="329">
          <cell r="G329">
            <v>44869</v>
          </cell>
          <cell r="J329">
            <v>0</v>
          </cell>
          <cell r="K329">
            <v>0</v>
          </cell>
          <cell r="L329">
            <v>0</v>
          </cell>
          <cell r="M329">
            <v>0</v>
          </cell>
          <cell r="N329">
            <v>0</v>
          </cell>
          <cell r="O329">
            <v>0</v>
          </cell>
          <cell r="P329">
            <v>0</v>
          </cell>
          <cell r="Q329">
            <v>0</v>
          </cell>
          <cell r="R329">
            <v>0</v>
          </cell>
          <cell r="S329">
            <v>0</v>
          </cell>
          <cell r="T329">
            <v>0</v>
          </cell>
          <cell r="U329">
            <v>0</v>
          </cell>
          <cell r="V329">
            <v>0</v>
          </cell>
          <cell r="W329">
            <v>0</v>
          </cell>
          <cell r="X329">
            <v>0</v>
          </cell>
          <cell r="Y329">
            <v>0</v>
          </cell>
          <cell r="Z329">
            <v>0</v>
          </cell>
          <cell r="AA329">
            <v>0</v>
          </cell>
          <cell r="AB329">
            <v>0</v>
          </cell>
          <cell r="AC329">
            <v>0</v>
          </cell>
          <cell r="AD329">
            <v>0</v>
          </cell>
          <cell r="AE329">
            <v>0</v>
          </cell>
          <cell r="AF329">
            <v>0</v>
          </cell>
          <cell r="AG329">
            <v>0</v>
          </cell>
          <cell r="AH329">
            <v>0</v>
          </cell>
          <cell r="AI329">
            <v>0</v>
          </cell>
          <cell r="AJ329">
            <v>0</v>
          </cell>
          <cell r="AK329">
            <v>0</v>
          </cell>
          <cell r="AL329">
            <v>0</v>
          </cell>
          <cell r="AM329">
            <v>0</v>
          </cell>
          <cell r="AN329">
            <v>0</v>
          </cell>
          <cell r="AO329">
            <v>0</v>
          </cell>
          <cell r="AP329">
            <v>0</v>
          </cell>
          <cell r="AR329">
            <v>0</v>
          </cell>
          <cell r="AS329">
            <v>0</v>
          </cell>
          <cell r="AT329">
            <v>0</v>
          </cell>
        </row>
        <row r="330">
          <cell r="G330">
            <v>44870</v>
          </cell>
          <cell r="J330">
            <v>0</v>
          </cell>
          <cell r="K330">
            <v>0</v>
          </cell>
          <cell r="L330">
            <v>0</v>
          </cell>
          <cell r="M330">
            <v>0</v>
          </cell>
          <cell r="N330">
            <v>0</v>
          </cell>
          <cell r="O330">
            <v>0</v>
          </cell>
          <cell r="P330">
            <v>0</v>
          </cell>
          <cell r="Q330">
            <v>0</v>
          </cell>
          <cell r="R330">
            <v>0</v>
          </cell>
          <cell r="S330">
            <v>0</v>
          </cell>
          <cell r="T330">
            <v>0</v>
          </cell>
          <cell r="U330">
            <v>0</v>
          </cell>
          <cell r="V330">
            <v>0</v>
          </cell>
          <cell r="W330">
            <v>0</v>
          </cell>
          <cell r="X330">
            <v>0</v>
          </cell>
          <cell r="Y330">
            <v>0</v>
          </cell>
          <cell r="Z330">
            <v>0</v>
          </cell>
          <cell r="AA330">
            <v>0</v>
          </cell>
          <cell r="AB330">
            <v>0</v>
          </cell>
          <cell r="AC330">
            <v>0</v>
          </cell>
          <cell r="AD330">
            <v>0</v>
          </cell>
          <cell r="AE330">
            <v>0</v>
          </cell>
          <cell r="AF330">
            <v>0</v>
          </cell>
          <cell r="AG330">
            <v>0</v>
          </cell>
          <cell r="AH330">
            <v>0</v>
          </cell>
          <cell r="AI330">
            <v>0</v>
          </cell>
          <cell r="AJ330">
            <v>0</v>
          </cell>
          <cell r="AK330">
            <v>0</v>
          </cell>
          <cell r="AL330">
            <v>0</v>
          </cell>
          <cell r="AM330">
            <v>0</v>
          </cell>
          <cell r="AN330">
            <v>0</v>
          </cell>
          <cell r="AO330">
            <v>0</v>
          </cell>
          <cell r="AP330">
            <v>0</v>
          </cell>
          <cell r="AR330">
            <v>0</v>
          </cell>
          <cell r="AS330">
            <v>0</v>
          </cell>
          <cell r="AT330">
            <v>0</v>
          </cell>
        </row>
        <row r="331">
          <cell r="G331">
            <v>44871</v>
          </cell>
          <cell r="J331">
            <v>0</v>
          </cell>
          <cell r="K331">
            <v>0</v>
          </cell>
          <cell r="L331">
            <v>0</v>
          </cell>
          <cell r="M331">
            <v>0</v>
          </cell>
          <cell r="N331">
            <v>0</v>
          </cell>
          <cell r="O331">
            <v>0</v>
          </cell>
          <cell r="P331">
            <v>0</v>
          </cell>
          <cell r="Q331">
            <v>0</v>
          </cell>
          <cell r="R331">
            <v>0</v>
          </cell>
          <cell r="S331">
            <v>0</v>
          </cell>
          <cell r="T331">
            <v>0</v>
          </cell>
          <cell r="U331">
            <v>0</v>
          </cell>
          <cell r="V331">
            <v>0</v>
          </cell>
          <cell r="W331">
            <v>0</v>
          </cell>
          <cell r="X331">
            <v>0</v>
          </cell>
          <cell r="Y331">
            <v>0</v>
          </cell>
          <cell r="Z331">
            <v>0</v>
          </cell>
          <cell r="AA331">
            <v>0</v>
          </cell>
          <cell r="AB331">
            <v>0</v>
          </cell>
          <cell r="AC331">
            <v>0</v>
          </cell>
          <cell r="AD331">
            <v>0</v>
          </cell>
          <cell r="AE331">
            <v>0</v>
          </cell>
          <cell r="AF331">
            <v>0</v>
          </cell>
          <cell r="AG331">
            <v>0</v>
          </cell>
          <cell r="AH331">
            <v>0</v>
          </cell>
          <cell r="AI331">
            <v>0</v>
          </cell>
          <cell r="AJ331">
            <v>0</v>
          </cell>
          <cell r="AK331">
            <v>0</v>
          </cell>
          <cell r="AL331">
            <v>0</v>
          </cell>
          <cell r="AM331">
            <v>0</v>
          </cell>
          <cell r="AN331">
            <v>0</v>
          </cell>
          <cell r="AO331">
            <v>0</v>
          </cell>
          <cell r="AP331">
            <v>0</v>
          </cell>
          <cell r="AR331">
            <v>0</v>
          </cell>
          <cell r="AS331">
            <v>0</v>
          </cell>
          <cell r="AT331">
            <v>0</v>
          </cell>
        </row>
        <row r="332">
          <cell r="G332">
            <v>44872</v>
          </cell>
          <cell r="J332">
            <v>0</v>
          </cell>
          <cell r="K332">
            <v>0</v>
          </cell>
          <cell r="L332">
            <v>0</v>
          </cell>
          <cell r="M332">
            <v>0</v>
          </cell>
          <cell r="N332">
            <v>0</v>
          </cell>
          <cell r="O332">
            <v>0</v>
          </cell>
          <cell r="P332">
            <v>0</v>
          </cell>
          <cell r="Q332">
            <v>0</v>
          </cell>
          <cell r="R332">
            <v>0</v>
          </cell>
          <cell r="S332">
            <v>0</v>
          </cell>
          <cell r="T332">
            <v>0</v>
          </cell>
          <cell r="U332">
            <v>0</v>
          </cell>
          <cell r="V332">
            <v>0</v>
          </cell>
          <cell r="W332">
            <v>0</v>
          </cell>
          <cell r="X332">
            <v>0</v>
          </cell>
          <cell r="Y332">
            <v>0</v>
          </cell>
          <cell r="Z332">
            <v>0</v>
          </cell>
          <cell r="AA332">
            <v>0</v>
          </cell>
          <cell r="AB332">
            <v>0</v>
          </cell>
          <cell r="AC332">
            <v>0</v>
          </cell>
          <cell r="AD332">
            <v>0</v>
          </cell>
          <cell r="AE332">
            <v>0</v>
          </cell>
          <cell r="AF332">
            <v>0</v>
          </cell>
          <cell r="AG332">
            <v>0</v>
          </cell>
          <cell r="AH332">
            <v>0</v>
          </cell>
          <cell r="AI332">
            <v>0</v>
          </cell>
          <cell r="AJ332">
            <v>0</v>
          </cell>
          <cell r="AK332">
            <v>0</v>
          </cell>
          <cell r="AL332">
            <v>0</v>
          </cell>
          <cell r="AM332">
            <v>0</v>
          </cell>
          <cell r="AN332">
            <v>0</v>
          </cell>
          <cell r="AO332">
            <v>0</v>
          </cell>
          <cell r="AP332">
            <v>0</v>
          </cell>
          <cell r="AR332">
            <v>0</v>
          </cell>
          <cell r="AS332">
            <v>0</v>
          </cell>
          <cell r="AT332">
            <v>0</v>
          </cell>
        </row>
        <row r="333">
          <cell r="G333">
            <v>44873</v>
          </cell>
          <cell r="J333">
            <v>0</v>
          </cell>
          <cell r="K333">
            <v>0</v>
          </cell>
          <cell r="L333">
            <v>0</v>
          </cell>
          <cell r="M333">
            <v>0</v>
          </cell>
          <cell r="N333">
            <v>0</v>
          </cell>
          <cell r="O333">
            <v>0</v>
          </cell>
          <cell r="P333">
            <v>0</v>
          </cell>
          <cell r="Q333">
            <v>0</v>
          </cell>
          <cell r="R333">
            <v>0</v>
          </cell>
          <cell r="S333">
            <v>0</v>
          </cell>
          <cell r="T333">
            <v>0</v>
          </cell>
          <cell r="U333">
            <v>0</v>
          </cell>
          <cell r="V333">
            <v>0</v>
          </cell>
          <cell r="W333">
            <v>0</v>
          </cell>
          <cell r="X333">
            <v>0</v>
          </cell>
          <cell r="Y333">
            <v>0</v>
          </cell>
          <cell r="Z333">
            <v>0</v>
          </cell>
          <cell r="AA333">
            <v>0</v>
          </cell>
          <cell r="AB333">
            <v>0</v>
          </cell>
          <cell r="AC333">
            <v>0</v>
          </cell>
          <cell r="AD333">
            <v>0</v>
          </cell>
          <cell r="AE333">
            <v>0</v>
          </cell>
          <cell r="AF333">
            <v>0</v>
          </cell>
          <cell r="AG333">
            <v>0</v>
          </cell>
          <cell r="AH333">
            <v>0</v>
          </cell>
          <cell r="AI333">
            <v>0</v>
          </cell>
          <cell r="AJ333">
            <v>0</v>
          </cell>
          <cell r="AK333">
            <v>0</v>
          </cell>
          <cell r="AL333">
            <v>0</v>
          </cell>
          <cell r="AM333">
            <v>0</v>
          </cell>
          <cell r="AN333">
            <v>0</v>
          </cell>
          <cell r="AO333">
            <v>0</v>
          </cell>
          <cell r="AP333">
            <v>0</v>
          </cell>
          <cell r="AR333">
            <v>0</v>
          </cell>
          <cell r="AS333">
            <v>0</v>
          </cell>
          <cell r="AT333">
            <v>0</v>
          </cell>
        </row>
        <row r="334">
          <cell r="G334">
            <v>44874</v>
          </cell>
          <cell r="J334">
            <v>0</v>
          </cell>
          <cell r="K334">
            <v>0</v>
          </cell>
          <cell r="L334">
            <v>0</v>
          </cell>
          <cell r="M334">
            <v>0</v>
          </cell>
          <cell r="N334">
            <v>0</v>
          </cell>
          <cell r="O334">
            <v>0</v>
          </cell>
          <cell r="P334">
            <v>0</v>
          </cell>
          <cell r="Q334">
            <v>0</v>
          </cell>
          <cell r="R334">
            <v>0</v>
          </cell>
          <cell r="S334">
            <v>0</v>
          </cell>
          <cell r="T334">
            <v>0</v>
          </cell>
          <cell r="U334">
            <v>0</v>
          </cell>
          <cell r="V334">
            <v>0</v>
          </cell>
          <cell r="W334">
            <v>0</v>
          </cell>
          <cell r="X334">
            <v>0</v>
          </cell>
          <cell r="Y334">
            <v>0</v>
          </cell>
          <cell r="Z334">
            <v>0</v>
          </cell>
          <cell r="AA334">
            <v>0</v>
          </cell>
          <cell r="AB334">
            <v>0</v>
          </cell>
          <cell r="AC334">
            <v>0</v>
          </cell>
          <cell r="AD334">
            <v>0</v>
          </cell>
          <cell r="AE334">
            <v>0</v>
          </cell>
          <cell r="AF334">
            <v>0</v>
          </cell>
          <cell r="AG334">
            <v>0</v>
          </cell>
          <cell r="AH334">
            <v>0</v>
          </cell>
          <cell r="AI334">
            <v>0</v>
          </cell>
          <cell r="AJ334">
            <v>0</v>
          </cell>
          <cell r="AK334">
            <v>0</v>
          </cell>
          <cell r="AL334">
            <v>0</v>
          </cell>
          <cell r="AM334">
            <v>0</v>
          </cell>
          <cell r="AN334">
            <v>0</v>
          </cell>
          <cell r="AO334">
            <v>0</v>
          </cell>
          <cell r="AP334">
            <v>0</v>
          </cell>
          <cell r="AR334">
            <v>0</v>
          </cell>
          <cell r="AS334">
            <v>0</v>
          </cell>
          <cell r="AT334">
            <v>0</v>
          </cell>
        </row>
        <row r="335">
          <cell r="G335">
            <v>44875</v>
          </cell>
          <cell r="J335">
            <v>0</v>
          </cell>
          <cell r="K335">
            <v>0</v>
          </cell>
          <cell r="L335">
            <v>0</v>
          </cell>
          <cell r="M335">
            <v>0</v>
          </cell>
          <cell r="N335">
            <v>0</v>
          </cell>
          <cell r="O335">
            <v>0</v>
          </cell>
          <cell r="P335">
            <v>0</v>
          </cell>
          <cell r="Q335">
            <v>0</v>
          </cell>
          <cell r="R335">
            <v>0</v>
          </cell>
          <cell r="S335">
            <v>0</v>
          </cell>
          <cell r="T335">
            <v>0</v>
          </cell>
          <cell r="U335">
            <v>0</v>
          </cell>
          <cell r="V335">
            <v>0</v>
          </cell>
          <cell r="W335">
            <v>0</v>
          </cell>
          <cell r="X335">
            <v>0</v>
          </cell>
          <cell r="Y335">
            <v>0</v>
          </cell>
          <cell r="Z335">
            <v>0</v>
          </cell>
          <cell r="AA335">
            <v>0</v>
          </cell>
          <cell r="AB335">
            <v>0</v>
          </cell>
          <cell r="AC335">
            <v>0</v>
          </cell>
          <cell r="AD335">
            <v>0</v>
          </cell>
          <cell r="AE335">
            <v>0</v>
          </cell>
          <cell r="AF335">
            <v>0</v>
          </cell>
          <cell r="AG335">
            <v>0</v>
          </cell>
          <cell r="AH335">
            <v>0</v>
          </cell>
          <cell r="AI335">
            <v>0</v>
          </cell>
          <cell r="AJ335">
            <v>0</v>
          </cell>
          <cell r="AK335">
            <v>0</v>
          </cell>
          <cell r="AL335">
            <v>0</v>
          </cell>
          <cell r="AM335">
            <v>0</v>
          </cell>
          <cell r="AN335">
            <v>0</v>
          </cell>
          <cell r="AO335">
            <v>0</v>
          </cell>
          <cell r="AP335">
            <v>0</v>
          </cell>
          <cell r="AR335">
            <v>0</v>
          </cell>
          <cell r="AS335">
            <v>0</v>
          </cell>
          <cell r="AT335">
            <v>0</v>
          </cell>
        </row>
        <row r="336">
          <cell r="G336">
            <v>44876</v>
          </cell>
          <cell r="J336">
            <v>0</v>
          </cell>
          <cell r="K336">
            <v>0</v>
          </cell>
          <cell r="L336">
            <v>0</v>
          </cell>
          <cell r="M336">
            <v>0</v>
          </cell>
          <cell r="N336">
            <v>0</v>
          </cell>
          <cell r="O336">
            <v>0</v>
          </cell>
          <cell r="P336">
            <v>0</v>
          </cell>
          <cell r="Q336">
            <v>0</v>
          </cell>
          <cell r="R336">
            <v>0</v>
          </cell>
          <cell r="S336">
            <v>0</v>
          </cell>
          <cell r="T336">
            <v>0</v>
          </cell>
          <cell r="U336">
            <v>0</v>
          </cell>
          <cell r="V336">
            <v>0</v>
          </cell>
          <cell r="W336">
            <v>0</v>
          </cell>
          <cell r="X336">
            <v>0</v>
          </cell>
          <cell r="Y336">
            <v>0</v>
          </cell>
          <cell r="Z336">
            <v>0</v>
          </cell>
          <cell r="AA336">
            <v>0</v>
          </cell>
          <cell r="AB336">
            <v>0</v>
          </cell>
          <cell r="AC336">
            <v>0</v>
          </cell>
          <cell r="AD336">
            <v>0</v>
          </cell>
          <cell r="AE336">
            <v>0</v>
          </cell>
          <cell r="AF336">
            <v>0</v>
          </cell>
          <cell r="AG336">
            <v>0</v>
          </cell>
          <cell r="AH336">
            <v>0</v>
          </cell>
          <cell r="AI336">
            <v>0</v>
          </cell>
          <cell r="AJ336">
            <v>0</v>
          </cell>
          <cell r="AK336">
            <v>0</v>
          </cell>
          <cell r="AL336">
            <v>0</v>
          </cell>
          <cell r="AM336">
            <v>0</v>
          </cell>
          <cell r="AN336">
            <v>0</v>
          </cell>
          <cell r="AO336">
            <v>0</v>
          </cell>
          <cell r="AP336">
            <v>0</v>
          </cell>
          <cell r="AR336">
            <v>0</v>
          </cell>
          <cell r="AS336">
            <v>0</v>
          </cell>
          <cell r="AT336">
            <v>0</v>
          </cell>
        </row>
        <row r="337">
          <cell r="G337">
            <v>44877</v>
          </cell>
          <cell r="J337">
            <v>0</v>
          </cell>
          <cell r="K337">
            <v>0</v>
          </cell>
          <cell r="L337">
            <v>0</v>
          </cell>
          <cell r="M337">
            <v>0</v>
          </cell>
          <cell r="N337">
            <v>0</v>
          </cell>
          <cell r="O337">
            <v>0</v>
          </cell>
          <cell r="P337">
            <v>0</v>
          </cell>
          <cell r="Q337">
            <v>0</v>
          </cell>
          <cell r="R337">
            <v>0</v>
          </cell>
          <cell r="S337">
            <v>0</v>
          </cell>
          <cell r="T337">
            <v>0</v>
          </cell>
          <cell r="U337">
            <v>0</v>
          </cell>
          <cell r="V337">
            <v>0</v>
          </cell>
          <cell r="W337">
            <v>0</v>
          </cell>
          <cell r="X337">
            <v>0</v>
          </cell>
          <cell r="Y337">
            <v>0</v>
          </cell>
          <cell r="Z337">
            <v>0</v>
          </cell>
          <cell r="AA337">
            <v>0</v>
          </cell>
          <cell r="AB337">
            <v>0</v>
          </cell>
          <cell r="AC337">
            <v>0</v>
          </cell>
          <cell r="AD337">
            <v>0</v>
          </cell>
          <cell r="AE337">
            <v>0</v>
          </cell>
          <cell r="AF337">
            <v>0</v>
          </cell>
          <cell r="AG337">
            <v>0</v>
          </cell>
          <cell r="AH337">
            <v>0</v>
          </cell>
          <cell r="AI337">
            <v>0</v>
          </cell>
          <cell r="AJ337">
            <v>0</v>
          </cell>
          <cell r="AK337">
            <v>0</v>
          </cell>
          <cell r="AL337">
            <v>0</v>
          </cell>
          <cell r="AM337">
            <v>0</v>
          </cell>
          <cell r="AN337">
            <v>0</v>
          </cell>
          <cell r="AO337">
            <v>0</v>
          </cell>
          <cell r="AP337">
            <v>0</v>
          </cell>
          <cell r="AR337">
            <v>0</v>
          </cell>
          <cell r="AS337">
            <v>0</v>
          </cell>
          <cell r="AT337">
            <v>0</v>
          </cell>
        </row>
        <row r="338">
          <cell r="G338">
            <v>44878</v>
          </cell>
          <cell r="J338">
            <v>0</v>
          </cell>
          <cell r="K338">
            <v>0</v>
          </cell>
          <cell r="L338">
            <v>0</v>
          </cell>
          <cell r="M338">
            <v>0</v>
          </cell>
          <cell r="N338">
            <v>0</v>
          </cell>
          <cell r="O338">
            <v>0</v>
          </cell>
          <cell r="P338">
            <v>0</v>
          </cell>
          <cell r="Q338">
            <v>0</v>
          </cell>
          <cell r="R338">
            <v>0</v>
          </cell>
          <cell r="S338">
            <v>0</v>
          </cell>
          <cell r="T338">
            <v>0</v>
          </cell>
          <cell r="U338">
            <v>0</v>
          </cell>
          <cell r="V338">
            <v>0</v>
          </cell>
          <cell r="W338">
            <v>0</v>
          </cell>
          <cell r="X338">
            <v>0</v>
          </cell>
          <cell r="Y338">
            <v>0</v>
          </cell>
          <cell r="Z338">
            <v>0</v>
          </cell>
          <cell r="AA338">
            <v>0</v>
          </cell>
          <cell r="AB338">
            <v>0</v>
          </cell>
          <cell r="AC338">
            <v>0</v>
          </cell>
          <cell r="AD338">
            <v>0</v>
          </cell>
          <cell r="AE338">
            <v>0</v>
          </cell>
          <cell r="AF338">
            <v>0</v>
          </cell>
          <cell r="AG338">
            <v>0</v>
          </cell>
          <cell r="AH338">
            <v>0</v>
          </cell>
          <cell r="AI338">
            <v>0</v>
          </cell>
          <cell r="AJ338">
            <v>0</v>
          </cell>
          <cell r="AK338">
            <v>0</v>
          </cell>
          <cell r="AL338">
            <v>0</v>
          </cell>
          <cell r="AM338">
            <v>0</v>
          </cell>
          <cell r="AN338">
            <v>0</v>
          </cell>
          <cell r="AO338">
            <v>0</v>
          </cell>
          <cell r="AP338">
            <v>0</v>
          </cell>
          <cell r="AR338">
            <v>0</v>
          </cell>
          <cell r="AS338">
            <v>0</v>
          </cell>
          <cell r="AT338">
            <v>0</v>
          </cell>
        </row>
        <row r="339">
          <cell r="G339">
            <v>44879</v>
          </cell>
          <cell r="J339">
            <v>0</v>
          </cell>
          <cell r="K339">
            <v>0</v>
          </cell>
          <cell r="L339">
            <v>0</v>
          </cell>
          <cell r="M339">
            <v>0</v>
          </cell>
          <cell r="N339">
            <v>0</v>
          </cell>
          <cell r="O339">
            <v>0</v>
          </cell>
          <cell r="P339">
            <v>0</v>
          </cell>
          <cell r="Q339">
            <v>0</v>
          </cell>
          <cell r="R339">
            <v>0</v>
          </cell>
          <cell r="S339">
            <v>0</v>
          </cell>
          <cell r="T339">
            <v>0</v>
          </cell>
          <cell r="U339">
            <v>0</v>
          </cell>
          <cell r="V339">
            <v>0</v>
          </cell>
          <cell r="W339">
            <v>0</v>
          </cell>
          <cell r="X339">
            <v>0</v>
          </cell>
          <cell r="Y339">
            <v>0</v>
          </cell>
          <cell r="Z339">
            <v>0</v>
          </cell>
          <cell r="AA339">
            <v>0</v>
          </cell>
          <cell r="AB339">
            <v>0</v>
          </cell>
          <cell r="AC339">
            <v>0</v>
          </cell>
          <cell r="AD339">
            <v>0</v>
          </cell>
          <cell r="AE339">
            <v>0</v>
          </cell>
          <cell r="AF339">
            <v>0</v>
          </cell>
          <cell r="AG339">
            <v>0</v>
          </cell>
          <cell r="AH339">
            <v>0</v>
          </cell>
          <cell r="AI339">
            <v>0</v>
          </cell>
          <cell r="AJ339">
            <v>0</v>
          </cell>
          <cell r="AK339">
            <v>0</v>
          </cell>
          <cell r="AL339">
            <v>0</v>
          </cell>
          <cell r="AM339">
            <v>0</v>
          </cell>
          <cell r="AN339">
            <v>0</v>
          </cell>
          <cell r="AO339">
            <v>0</v>
          </cell>
          <cell r="AP339">
            <v>0</v>
          </cell>
          <cell r="AR339">
            <v>0</v>
          </cell>
          <cell r="AS339">
            <v>0</v>
          </cell>
          <cell r="AT339">
            <v>0</v>
          </cell>
        </row>
        <row r="340">
          <cell r="G340">
            <v>44880</v>
          </cell>
          <cell r="J340">
            <v>0</v>
          </cell>
          <cell r="K340">
            <v>0</v>
          </cell>
          <cell r="L340">
            <v>0</v>
          </cell>
          <cell r="M340">
            <v>0</v>
          </cell>
          <cell r="N340">
            <v>0</v>
          </cell>
          <cell r="O340">
            <v>0</v>
          </cell>
          <cell r="P340">
            <v>0</v>
          </cell>
          <cell r="Q340">
            <v>0</v>
          </cell>
          <cell r="R340">
            <v>0</v>
          </cell>
          <cell r="S340">
            <v>0</v>
          </cell>
          <cell r="T340">
            <v>0</v>
          </cell>
          <cell r="U340">
            <v>0</v>
          </cell>
          <cell r="V340">
            <v>0</v>
          </cell>
          <cell r="W340">
            <v>0</v>
          </cell>
          <cell r="X340">
            <v>0</v>
          </cell>
          <cell r="Y340">
            <v>0</v>
          </cell>
          <cell r="Z340">
            <v>0</v>
          </cell>
          <cell r="AA340">
            <v>0</v>
          </cell>
          <cell r="AB340">
            <v>0</v>
          </cell>
          <cell r="AC340">
            <v>0</v>
          </cell>
          <cell r="AD340">
            <v>0</v>
          </cell>
          <cell r="AE340">
            <v>0</v>
          </cell>
          <cell r="AF340">
            <v>0</v>
          </cell>
          <cell r="AG340">
            <v>0</v>
          </cell>
          <cell r="AH340">
            <v>0</v>
          </cell>
          <cell r="AI340">
            <v>0</v>
          </cell>
          <cell r="AJ340">
            <v>0</v>
          </cell>
          <cell r="AK340">
            <v>0</v>
          </cell>
          <cell r="AL340">
            <v>0</v>
          </cell>
          <cell r="AM340">
            <v>0</v>
          </cell>
          <cell r="AN340">
            <v>0</v>
          </cell>
          <cell r="AO340">
            <v>0</v>
          </cell>
          <cell r="AP340">
            <v>0</v>
          </cell>
          <cell r="AR340">
            <v>0</v>
          </cell>
          <cell r="AS340">
            <v>0</v>
          </cell>
          <cell r="AT340">
            <v>0</v>
          </cell>
        </row>
        <row r="341">
          <cell r="G341">
            <v>44881</v>
          </cell>
          <cell r="J341">
            <v>0</v>
          </cell>
          <cell r="K341">
            <v>0</v>
          </cell>
          <cell r="L341">
            <v>0</v>
          </cell>
          <cell r="M341">
            <v>0</v>
          </cell>
          <cell r="N341">
            <v>0</v>
          </cell>
          <cell r="O341">
            <v>0</v>
          </cell>
          <cell r="P341">
            <v>0</v>
          </cell>
          <cell r="Q341">
            <v>0</v>
          </cell>
          <cell r="R341">
            <v>0</v>
          </cell>
          <cell r="S341">
            <v>0</v>
          </cell>
          <cell r="T341">
            <v>0</v>
          </cell>
          <cell r="U341">
            <v>0</v>
          </cell>
          <cell r="V341">
            <v>0</v>
          </cell>
          <cell r="W341">
            <v>0</v>
          </cell>
          <cell r="X341">
            <v>0</v>
          </cell>
          <cell r="Y341">
            <v>0</v>
          </cell>
          <cell r="Z341">
            <v>0</v>
          </cell>
          <cell r="AA341">
            <v>0</v>
          </cell>
          <cell r="AB341">
            <v>0</v>
          </cell>
          <cell r="AC341">
            <v>0</v>
          </cell>
          <cell r="AD341">
            <v>0</v>
          </cell>
          <cell r="AE341">
            <v>0</v>
          </cell>
          <cell r="AF341">
            <v>0</v>
          </cell>
          <cell r="AG341">
            <v>0</v>
          </cell>
          <cell r="AH341">
            <v>0</v>
          </cell>
          <cell r="AI341">
            <v>0</v>
          </cell>
          <cell r="AJ341">
            <v>0</v>
          </cell>
          <cell r="AK341">
            <v>0</v>
          </cell>
          <cell r="AL341">
            <v>0</v>
          </cell>
          <cell r="AM341">
            <v>0</v>
          </cell>
          <cell r="AN341">
            <v>0</v>
          </cell>
          <cell r="AO341">
            <v>0</v>
          </cell>
          <cell r="AP341">
            <v>0</v>
          </cell>
          <cell r="AR341">
            <v>0</v>
          </cell>
          <cell r="AS341">
            <v>0</v>
          </cell>
          <cell r="AT341">
            <v>0</v>
          </cell>
        </row>
        <row r="342">
          <cell r="G342">
            <v>44882</v>
          </cell>
          <cell r="J342">
            <v>0</v>
          </cell>
          <cell r="K342">
            <v>0</v>
          </cell>
          <cell r="L342">
            <v>0</v>
          </cell>
          <cell r="M342">
            <v>0</v>
          </cell>
          <cell r="N342">
            <v>0</v>
          </cell>
          <cell r="O342">
            <v>0</v>
          </cell>
          <cell r="P342">
            <v>0</v>
          </cell>
          <cell r="Q342">
            <v>0</v>
          </cell>
          <cell r="R342">
            <v>0</v>
          </cell>
          <cell r="S342">
            <v>0</v>
          </cell>
          <cell r="T342">
            <v>0</v>
          </cell>
          <cell r="U342">
            <v>0</v>
          </cell>
          <cell r="V342">
            <v>0</v>
          </cell>
          <cell r="W342">
            <v>0</v>
          </cell>
          <cell r="X342">
            <v>0</v>
          </cell>
          <cell r="Y342">
            <v>0</v>
          </cell>
          <cell r="Z342">
            <v>0</v>
          </cell>
          <cell r="AA342">
            <v>0</v>
          </cell>
          <cell r="AB342">
            <v>0</v>
          </cell>
          <cell r="AC342">
            <v>0</v>
          </cell>
          <cell r="AD342">
            <v>0</v>
          </cell>
          <cell r="AE342">
            <v>0</v>
          </cell>
          <cell r="AF342">
            <v>0</v>
          </cell>
          <cell r="AG342">
            <v>0</v>
          </cell>
          <cell r="AH342">
            <v>0</v>
          </cell>
          <cell r="AI342">
            <v>0</v>
          </cell>
          <cell r="AJ342">
            <v>0</v>
          </cell>
          <cell r="AK342">
            <v>0</v>
          </cell>
          <cell r="AL342">
            <v>0</v>
          </cell>
          <cell r="AM342">
            <v>0</v>
          </cell>
          <cell r="AN342">
            <v>0</v>
          </cell>
          <cell r="AO342">
            <v>0</v>
          </cell>
          <cell r="AP342">
            <v>0</v>
          </cell>
          <cell r="AR342">
            <v>0</v>
          </cell>
          <cell r="AS342">
            <v>0</v>
          </cell>
          <cell r="AT342">
            <v>0</v>
          </cell>
        </row>
        <row r="343">
          <cell r="G343">
            <v>44883</v>
          </cell>
          <cell r="J343">
            <v>0</v>
          </cell>
          <cell r="K343">
            <v>0</v>
          </cell>
          <cell r="L343">
            <v>0</v>
          </cell>
          <cell r="M343">
            <v>0</v>
          </cell>
          <cell r="N343">
            <v>0</v>
          </cell>
          <cell r="O343">
            <v>0</v>
          </cell>
          <cell r="P343">
            <v>0</v>
          </cell>
          <cell r="Q343">
            <v>0</v>
          </cell>
          <cell r="R343">
            <v>0</v>
          </cell>
          <cell r="S343">
            <v>0</v>
          </cell>
          <cell r="T343">
            <v>0</v>
          </cell>
          <cell r="U343">
            <v>0</v>
          </cell>
          <cell r="V343">
            <v>0</v>
          </cell>
          <cell r="W343">
            <v>0</v>
          </cell>
          <cell r="X343">
            <v>0</v>
          </cell>
          <cell r="Y343">
            <v>0</v>
          </cell>
          <cell r="Z343">
            <v>0</v>
          </cell>
          <cell r="AA343">
            <v>0</v>
          </cell>
          <cell r="AB343">
            <v>0</v>
          </cell>
          <cell r="AC343">
            <v>0</v>
          </cell>
          <cell r="AD343">
            <v>0</v>
          </cell>
          <cell r="AE343">
            <v>0</v>
          </cell>
          <cell r="AF343">
            <v>0</v>
          </cell>
          <cell r="AG343">
            <v>0</v>
          </cell>
          <cell r="AH343">
            <v>0</v>
          </cell>
          <cell r="AI343">
            <v>0</v>
          </cell>
          <cell r="AJ343">
            <v>0</v>
          </cell>
          <cell r="AK343">
            <v>0</v>
          </cell>
          <cell r="AL343">
            <v>0</v>
          </cell>
          <cell r="AM343">
            <v>0</v>
          </cell>
          <cell r="AN343">
            <v>0</v>
          </cell>
          <cell r="AO343">
            <v>0</v>
          </cell>
          <cell r="AP343">
            <v>0</v>
          </cell>
          <cell r="AR343">
            <v>0</v>
          </cell>
          <cell r="AS343">
            <v>0</v>
          </cell>
          <cell r="AT343">
            <v>0</v>
          </cell>
        </row>
        <row r="344">
          <cell r="G344">
            <v>44884</v>
          </cell>
          <cell r="J344">
            <v>0</v>
          </cell>
          <cell r="K344">
            <v>0</v>
          </cell>
          <cell r="L344">
            <v>0</v>
          </cell>
          <cell r="M344">
            <v>0</v>
          </cell>
          <cell r="N344">
            <v>0</v>
          </cell>
          <cell r="O344">
            <v>0</v>
          </cell>
          <cell r="P344">
            <v>0</v>
          </cell>
          <cell r="Q344">
            <v>0</v>
          </cell>
          <cell r="R344">
            <v>0</v>
          </cell>
          <cell r="S344">
            <v>0</v>
          </cell>
          <cell r="T344">
            <v>0</v>
          </cell>
          <cell r="U344">
            <v>0</v>
          </cell>
          <cell r="V344">
            <v>0</v>
          </cell>
          <cell r="W344">
            <v>0</v>
          </cell>
          <cell r="X344">
            <v>0</v>
          </cell>
          <cell r="Y344">
            <v>0</v>
          </cell>
          <cell r="Z344">
            <v>0</v>
          </cell>
          <cell r="AA344">
            <v>0</v>
          </cell>
          <cell r="AB344">
            <v>0</v>
          </cell>
          <cell r="AC344">
            <v>0</v>
          </cell>
          <cell r="AD344">
            <v>0</v>
          </cell>
          <cell r="AE344">
            <v>0</v>
          </cell>
          <cell r="AF344">
            <v>0</v>
          </cell>
          <cell r="AG344">
            <v>0</v>
          </cell>
          <cell r="AH344">
            <v>0</v>
          </cell>
          <cell r="AI344">
            <v>0</v>
          </cell>
          <cell r="AJ344">
            <v>0</v>
          </cell>
          <cell r="AK344">
            <v>0</v>
          </cell>
          <cell r="AL344">
            <v>0</v>
          </cell>
          <cell r="AM344">
            <v>0</v>
          </cell>
          <cell r="AN344">
            <v>0</v>
          </cell>
          <cell r="AO344">
            <v>0</v>
          </cell>
          <cell r="AP344">
            <v>0</v>
          </cell>
          <cell r="AR344">
            <v>0</v>
          </cell>
          <cell r="AS344">
            <v>0</v>
          </cell>
          <cell r="AT344">
            <v>0</v>
          </cell>
        </row>
        <row r="345">
          <cell r="G345">
            <v>44885</v>
          </cell>
          <cell r="J345">
            <v>0</v>
          </cell>
          <cell r="K345">
            <v>0</v>
          </cell>
          <cell r="L345">
            <v>0</v>
          </cell>
          <cell r="M345">
            <v>0</v>
          </cell>
          <cell r="N345">
            <v>0</v>
          </cell>
          <cell r="O345">
            <v>0</v>
          </cell>
          <cell r="P345">
            <v>0</v>
          </cell>
          <cell r="Q345">
            <v>0</v>
          </cell>
          <cell r="R345">
            <v>0</v>
          </cell>
          <cell r="S345">
            <v>0</v>
          </cell>
          <cell r="T345">
            <v>0</v>
          </cell>
          <cell r="U345">
            <v>0</v>
          </cell>
          <cell r="V345">
            <v>0</v>
          </cell>
          <cell r="W345">
            <v>0</v>
          </cell>
          <cell r="X345">
            <v>0</v>
          </cell>
          <cell r="Y345">
            <v>0</v>
          </cell>
          <cell r="Z345">
            <v>0</v>
          </cell>
          <cell r="AA345">
            <v>0</v>
          </cell>
          <cell r="AB345">
            <v>0</v>
          </cell>
          <cell r="AC345">
            <v>0</v>
          </cell>
          <cell r="AD345">
            <v>0</v>
          </cell>
          <cell r="AE345">
            <v>0</v>
          </cell>
          <cell r="AF345">
            <v>0</v>
          </cell>
          <cell r="AG345">
            <v>0</v>
          </cell>
          <cell r="AH345">
            <v>0</v>
          </cell>
          <cell r="AI345">
            <v>0</v>
          </cell>
          <cell r="AJ345">
            <v>0</v>
          </cell>
          <cell r="AK345">
            <v>0</v>
          </cell>
          <cell r="AL345">
            <v>0</v>
          </cell>
          <cell r="AM345">
            <v>0</v>
          </cell>
          <cell r="AN345">
            <v>0</v>
          </cell>
          <cell r="AO345">
            <v>0</v>
          </cell>
          <cell r="AP345">
            <v>0</v>
          </cell>
          <cell r="AR345">
            <v>0</v>
          </cell>
          <cell r="AS345">
            <v>0</v>
          </cell>
          <cell r="AT345">
            <v>0</v>
          </cell>
        </row>
        <row r="346">
          <cell r="G346">
            <v>44886</v>
          </cell>
          <cell r="J346">
            <v>0</v>
          </cell>
          <cell r="K346">
            <v>0</v>
          </cell>
          <cell r="L346">
            <v>0</v>
          </cell>
          <cell r="M346">
            <v>0</v>
          </cell>
          <cell r="N346">
            <v>0</v>
          </cell>
          <cell r="O346">
            <v>0</v>
          </cell>
          <cell r="P346">
            <v>0</v>
          </cell>
          <cell r="Q346">
            <v>0</v>
          </cell>
          <cell r="R346">
            <v>0</v>
          </cell>
          <cell r="S346">
            <v>0</v>
          </cell>
          <cell r="T346">
            <v>0</v>
          </cell>
          <cell r="U346">
            <v>0</v>
          </cell>
          <cell r="V346">
            <v>0</v>
          </cell>
          <cell r="W346">
            <v>0</v>
          </cell>
          <cell r="X346">
            <v>0</v>
          </cell>
          <cell r="Y346">
            <v>0</v>
          </cell>
          <cell r="Z346">
            <v>0</v>
          </cell>
          <cell r="AA346">
            <v>0</v>
          </cell>
          <cell r="AB346">
            <v>0</v>
          </cell>
          <cell r="AC346">
            <v>0</v>
          </cell>
          <cell r="AD346">
            <v>0</v>
          </cell>
          <cell r="AE346">
            <v>0</v>
          </cell>
          <cell r="AF346">
            <v>0</v>
          </cell>
          <cell r="AG346">
            <v>0</v>
          </cell>
          <cell r="AH346">
            <v>0</v>
          </cell>
          <cell r="AI346">
            <v>0</v>
          </cell>
          <cell r="AJ346">
            <v>0</v>
          </cell>
          <cell r="AK346">
            <v>0</v>
          </cell>
          <cell r="AL346">
            <v>0</v>
          </cell>
          <cell r="AM346">
            <v>0</v>
          </cell>
          <cell r="AN346">
            <v>0</v>
          </cell>
          <cell r="AO346">
            <v>0</v>
          </cell>
          <cell r="AP346">
            <v>0</v>
          </cell>
          <cell r="AR346">
            <v>0</v>
          </cell>
          <cell r="AS346">
            <v>0</v>
          </cell>
          <cell r="AT346">
            <v>0</v>
          </cell>
        </row>
        <row r="347">
          <cell r="G347">
            <v>44887</v>
          </cell>
          <cell r="J347">
            <v>0</v>
          </cell>
          <cell r="K347">
            <v>0</v>
          </cell>
          <cell r="L347">
            <v>0</v>
          </cell>
          <cell r="M347">
            <v>0</v>
          </cell>
          <cell r="N347">
            <v>0</v>
          </cell>
          <cell r="O347">
            <v>0</v>
          </cell>
          <cell r="P347">
            <v>0</v>
          </cell>
          <cell r="Q347">
            <v>0</v>
          </cell>
          <cell r="R347">
            <v>0</v>
          </cell>
          <cell r="S347">
            <v>0</v>
          </cell>
          <cell r="T347">
            <v>0</v>
          </cell>
          <cell r="U347">
            <v>0</v>
          </cell>
          <cell r="V347">
            <v>0</v>
          </cell>
          <cell r="W347">
            <v>0</v>
          </cell>
          <cell r="X347">
            <v>0</v>
          </cell>
          <cell r="Y347">
            <v>0</v>
          </cell>
          <cell r="Z347">
            <v>0</v>
          </cell>
          <cell r="AA347">
            <v>0</v>
          </cell>
          <cell r="AB347">
            <v>0</v>
          </cell>
          <cell r="AC347">
            <v>0</v>
          </cell>
          <cell r="AD347">
            <v>0</v>
          </cell>
          <cell r="AE347">
            <v>0</v>
          </cell>
          <cell r="AF347">
            <v>0</v>
          </cell>
          <cell r="AG347">
            <v>0</v>
          </cell>
          <cell r="AH347">
            <v>0</v>
          </cell>
          <cell r="AI347">
            <v>0</v>
          </cell>
          <cell r="AJ347">
            <v>0</v>
          </cell>
          <cell r="AK347">
            <v>0</v>
          </cell>
          <cell r="AL347">
            <v>0</v>
          </cell>
          <cell r="AM347">
            <v>0</v>
          </cell>
          <cell r="AN347">
            <v>0</v>
          </cell>
          <cell r="AO347">
            <v>0</v>
          </cell>
          <cell r="AP347">
            <v>0</v>
          </cell>
          <cell r="AR347">
            <v>0</v>
          </cell>
          <cell r="AS347">
            <v>0</v>
          </cell>
          <cell r="AT347">
            <v>0</v>
          </cell>
        </row>
        <row r="348">
          <cell r="G348">
            <v>44888</v>
          </cell>
          <cell r="J348">
            <v>0</v>
          </cell>
          <cell r="K348">
            <v>0</v>
          </cell>
          <cell r="L348">
            <v>0</v>
          </cell>
          <cell r="M348">
            <v>0</v>
          </cell>
          <cell r="N348">
            <v>0</v>
          </cell>
          <cell r="O348">
            <v>0</v>
          </cell>
          <cell r="P348">
            <v>0</v>
          </cell>
          <cell r="Q348">
            <v>0</v>
          </cell>
          <cell r="R348">
            <v>0</v>
          </cell>
          <cell r="S348">
            <v>0</v>
          </cell>
          <cell r="T348">
            <v>0</v>
          </cell>
          <cell r="U348">
            <v>0</v>
          </cell>
          <cell r="V348">
            <v>0</v>
          </cell>
          <cell r="W348">
            <v>0</v>
          </cell>
          <cell r="X348">
            <v>0</v>
          </cell>
          <cell r="Y348">
            <v>0</v>
          </cell>
          <cell r="Z348">
            <v>0</v>
          </cell>
          <cell r="AA348">
            <v>0</v>
          </cell>
          <cell r="AB348">
            <v>0</v>
          </cell>
          <cell r="AC348">
            <v>0</v>
          </cell>
          <cell r="AD348">
            <v>0</v>
          </cell>
          <cell r="AE348">
            <v>0</v>
          </cell>
          <cell r="AF348">
            <v>0</v>
          </cell>
          <cell r="AG348">
            <v>0</v>
          </cell>
          <cell r="AH348">
            <v>0</v>
          </cell>
          <cell r="AI348">
            <v>0</v>
          </cell>
          <cell r="AJ348">
            <v>0</v>
          </cell>
          <cell r="AK348">
            <v>0</v>
          </cell>
          <cell r="AL348">
            <v>0</v>
          </cell>
          <cell r="AM348">
            <v>0</v>
          </cell>
          <cell r="AN348">
            <v>0</v>
          </cell>
          <cell r="AO348">
            <v>0</v>
          </cell>
          <cell r="AP348">
            <v>0</v>
          </cell>
          <cell r="AR348">
            <v>0</v>
          </cell>
          <cell r="AS348">
            <v>0</v>
          </cell>
          <cell r="AT348">
            <v>0</v>
          </cell>
        </row>
        <row r="349">
          <cell r="G349">
            <v>44889</v>
          </cell>
          <cell r="J349">
            <v>0</v>
          </cell>
          <cell r="K349">
            <v>0</v>
          </cell>
          <cell r="L349">
            <v>0</v>
          </cell>
          <cell r="M349">
            <v>0</v>
          </cell>
          <cell r="N349">
            <v>0</v>
          </cell>
          <cell r="O349">
            <v>0</v>
          </cell>
          <cell r="P349">
            <v>0</v>
          </cell>
          <cell r="Q349">
            <v>0</v>
          </cell>
          <cell r="R349">
            <v>0</v>
          </cell>
          <cell r="S349">
            <v>0</v>
          </cell>
          <cell r="T349">
            <v>0</v>
          </cell>
          <cell r="U349">
            <v>0</v>
          </cell>
          <cell r="V349">
            <v>0</v>
          </cell>
          <cell r="W349">
            <v>0</v>
          </cell>
          <cell r="X349">
            <v>0</v>
          </cell>
          <cell r="Y349">
            <v>0</v>
          </cell>
          <cell r="Z349">
            <v>0</v>
          </cell>
          <cell r="AA349">
            <v>0</v>
          </cell>
          <cell r="AB349">
            <v>0</v>
          </cell>
          <cell r="AC349">
            <v>0</v>
          </cell>
          <cell r="AD349">
            <v>0</v>
          </cell>
          <cell r="AE349">
            <v>0</v>
          </cell>
          <cell r="AF349">
            <v>0</v>
          </cell>
          <cell r="AG349">
            <v>0</v>
          </cell>
          <cell r="AH349">
            <v>0</v>
          </cell>
          <cell r="AI349">
            <v>0</v>
          </cell>
          <cell r="AJ349">
            <v>0</v>
          </cell>
          <cell r="AK349">
            <v>0</v>
          </cell>
          <cell r="AL349">
            <v>0</v>
          </cell>
          <cell r="AM349">
            <v>0</v>
          </cell>
          <cell r="AN349">
            <v>0</v>
          </cell>
          <cell r="AO349">
            <v>0</v>
          </cell>
          <cell r="AP349">
            <v>0</v>
          </cell>
          <cell r="AR349">
            <v>0</v>
          </cell>
          <cell r="AS349">
            <v>0</v>
          </cell>
          <cell r="AT349">
            <v>0</v>
          </cell>
        </row>
        <row r="350">
          <cell r="G350">
            <v>44890</v>
          </cell>
          <cell r="J350">
            <v>0</v>
          </cell>
          <cell r="K350">
            <v>0</v>
          </cell>
          <cell r="L350">
            <v>0</v>
          </cell>
          <cell r="M350">
            <v>0</v>
          </cell>
          <cell r="N350">
            <v>0</v>
          </cell>
          <cell r="O350">
            <v>0</v>
          </cell>
          <cell r="P350">
            <v>0</v>
          </cell>
          <cell r="Q350">
            <v>0</v>
          </cell>
          <cell r="R350">
            <v>0</v>
          </cell>
          <cell r="S350">
            <v>0</v>
          </cell>
          <cell r="T350">
            <v>0</v>
          </cell>
          <cell r="U350">
            <v>0</v>
          </cell>
          <cell r="V350">
            <v>0</v>
          </cell>
          <cell r="W350">
            <v>0</v>
          </cell>
          <cell r="X350">
            <v>0</v>
          </cell>
          <cell r="Y350">
            <v>0</v>
          </cell>
          <cell r="Z350">
            <v>0</v>
          </cell>
          <cell r="AA350">
            <v>0</v>
          </cell>
          <cell r="AB350">
            <v>0</v>
          </cell>
          <cell r="AC350">
            <v>0</v>
          </cell>
          <cell r="AD350">
            <v>0</v>
          </cell>
          <cell r="AE350">
            <v>0</v>
          </cell>
          <cell r="AF350">
            <v>0</v>
          </cell>
          <cell r="AG350">
            <v>0</v>
          </cell>
          <cell r="AH350">
            <v>0</v>
          </cell>
          <cell r="AI350">
            <v>0</v>
          </cell>
          <cell r="AJ350">
            <v>0</v>
          </cell>
          <cell r="AK350">
            <v>0</v>
          </cell>
          <cell r="AL350">
            <v>0</v>
          </cell>
          <cell r="AM350">
            <v>0</v>
          </cell>
          <cell r="AN350">
            <v>0</v>
          </cell>
          <cell r="AO350">
            <v>0</v>
          </cell>
          <cell r="AP350">
            <v>0</v>
          </cell>
          <cell r="AR350">
            <v>0</v>
          </cell>
          <cell r="AS350">
            <v>0</v>
          </cell>
          <cell r="AT350">
            <v>0</v>
          </cell>
        </row>
        <row r="351">
          <cell r="G351">
            <v>44891</v>
          </cell>
          <cell r="J351">
            <v>0</v>
          </cell>
          <cell r="K351">
            <v>0</v>
          </cell>
          <cell r="L351">
            <v>0</v>
          </cell>
          <cell r="M351">
            <v>0</v>
          </cell>
          <cell r="N351">
            <v>0</v>
          </cell>
          <cell r="O351">
            <v>0</v>
          </cell>
          <cell r="P351">
            <v>0</v>
          </cell>
          <cell r="Q351">
            <v>0</v>
          </cell>
          <cell r="R351">
            <v>0</v>
          </cell>
          <cell r="S351">
            <v>0</v>
          </cell>
          <cell r="T351">
            <v>0</v>
          </cell>
          <cell r="U351">
            <v>0</v>
          </cell>
          <cell r="V351">
            <v>0</v>
          </cell>
          <cell r="W351">
            <v>0</v>
          </cell>
          <cell r="X351">
            <v>0</v>
          </cell>
          <cell r="Y351">
            <v>0</v>
          </cell>
          <cell r="Z351">
            <v>0</v>
          </cell>
          <cell r="AA351">
            <v>0</v>
          </cell>
          <cell r="AB351">
            <v>0</v>
          </cell>
          <cell r="AC351">
            <v>0</v>
          </cell>
          <cell r="AD351">
            <v>0</v>
          </cell>
          <cell r="AE351">
            <v>0</v>
          </cell>
          <cell r="AF351">
            <v>0</v>
          </cell>
          <cell r="AG351">
            <v>0</v>
          </cell>
          <cell r="AH351">
            <v>0</v>
          </cell>
          <cell r="AI351">
            <v>0</v>
          </cell>
          <cell r="AJ351">
            <v>0</v>
          </cell>
          <cell r="AK351">
            <v>0</v>
          </cell>
          <cell r="AL351">
            <v>0</v>
          </cell>
          <cell r="AM351">
            <v>0</v>
          </cell>
          <cell r="AN351">
            <v>0</v>
          </cell>
          <cell r="AO351">
            <v>0</v>
          </cell>
          <cell r="AP351">
            <v>0</v>
          </cell>
          <cell r="AR351">
            <v>0</v>
          </cell>
          <cell r="AS351">
            <v>0</v>
          </cell>
          <cell r="AT351">
            <v>0</v>
          </cell>
        </row>
        <row r="352">
          <cell r="G352">
            <v>44892</v>
          </cell>
          <cell r="J352">
            <v>0</v>
          </cell>
          <cell r="K352">
            <v>0</v>
          </cell>
          <cell r="L352">
            <v>0</v>
          </cell>
          <cell r="M352">
            <v>0</v>
          </cell>
          <cell r="N352">
            <v>0</v>
          </cell>
          <cell r="O352">
            <v>0</v>
          </cell>
          <cell r="P352">
            <v>0</v>
          </cell>
          <cell r="Q352">
            <v>0</v>
          </cell>
          <cell r="R352">
            <v>0</v>
          </cell>
          <cell r="S352">
            <v>0</v>
          </cell>
          <cell r="T352">
            <v>0</v>
          </cell>
          <cell r="U352">
            <v>0</v>
          </cell>
          <cell r="V352">
            <v>0</v>
          </cell>
          <cell r="W352">
            <v>0</v>
          </cell>
          <cell r="X352">
            <v>0</v>
          </cell>
          <cell r="Y352">
            <v>0</v>
          </cell>
          <cell r="Z352">
            <v>0</v>
          </cell>
          <cell r="AA352">
            <v>0</v>
          </cell>
          <cell r="AB352">
            <v>0</v>
          </cell>
          <cell r="AC352">
            <v>0</v>
          </cell>
          <cell r="AD352">
            <v>0</v>
          </cell>
          <cell r="AE352">
            <v>0</v>
          </cell>
          <cell r="AF352">
            <v>0</v>
          </cell>
          <cell r="AG352">
            <v>0</v>
          </cell>
          <cell r="AH352">
            <v>0</v>
          </cell>
          <cell r="AI352">
            <v>0</v>
          </cell>
          <cell r="AJ352">
            <v>0</v>
          </cell>
          <cell r="AK352">
            <v>0</v>
          </cell>
          <cell r="AL352">
            <v>0</v>
          </cell>
          <cell r="AM352">
            <v>0</v>
          </cell>
          <cell r="AN352">
            <v>0</v>
          </cell>
          <cell r="AO352">
            <v>0</v>
          </cell>
          <cell r="AP352">
            <v>0</v>
          </cell>
          <cell r="AR352">
            <v>0</v>
          </cell>
          <cell r="AS352">
            <v>0</v>
          </cell>
          <cell r="AT352">
            <v>0</v>
          </cell>
        </row>
        <row r="353">
          <cell r="G353">
            <v>44893</v>
          </cell>
          <cell r="J353">
            <v>0</v>
          </cell>
          <cell r="K353">
            <v>0</v>
          </cell>
          <cell r="L353">
            <v>0</v>
          </cell>
          <cell r="M353">
            <v>0</v>
          </cell>
          <cell r="N353">
            <v>0</v>
          </cell>
          <cell r="O353">
            <v>0</v>
          </cell>
          <cell r="P353">
            <v>0</v>
          </cell>
          <cell r="Q353">
            <v>0</v>
          </cell>
          <cell r="R353">
            <v>0</v>
          </cell>
          <cell r="S353">
            <v>0</v>
          </cell>
          <cell r="T353">
            <v>0</v>
          </cell>
          <cell r="U353">
            <v>0</v>
          </cell>
          <cell r="V353">
            <v>0</v>
          </cell>
          <cell r="W353">
            <v>0</v>
          </cell>
          <cell r="X353">
            <v>0</v>
          </cell>
          <cell r="Y353">
            <v>0</v>
          </cell>
          <cell r="Z353">
            <v>0</v>
          </cell>
          <cell r="AA353">
            <v>0</v>
          </cell>
          <cell r="AB353">
            <v>0</v>
          </cell>
          <cell r="AC353">
            <v>0</v>
          </cell>
          <cell r="AD353">
            <v>0</v>
          </cell>
          <cell r="AE353">
            <v>0</v>
          </cell>
          <cell r="AF353">
            <v>0</v>
          </cell>
          <cell r="AG353">
            <v>0</v>
          </cell>
          <cell r="AH353">
            <v>0</v>
          </cell>
          <cell r="AI353">
            <v>0</v>
          </cell>
          <cell r="AJ353">
            <v>0</v>
          </cell>
          <cell r="AK353">
            <v>0</v>
          </cell>
          <cell r="AL353">
            <v>0</v>
          </cell>
          <cell r="AM353">
            <v>0</v>
          </cell>
          <cell r="AN353">
            <v>0</v>
          </cell>
          <cell r="AO353">
            <v>0</v>
          </cell>
          <cell r="AP353">
            <v>0</v>
          </cell>
          <cell r="AR353">
            <v>0</v>
          </cell>
          <cell r="AS353">
            <v>0</v>
          </cell>
          <cell r="AT353">
            <v>0</v>
          </cell>
        </row>
        <row r="354">
          <cell r="G354">
            <v>44894</v>
          </cell>
          <cell r="J354">
            <v>0</v>
          </cell>
          <cell r="K354">
            <v>0</v>
          </cell>
          <cell r="L354">
            <v>0</v>
          </cell>
          <cell r="M354">
            <v>0</v>
          </cell>
          <cell r="N354">
            <v>0</v>
          </cell>
          <cell r="O354">
            <v>0</v>
          </cell>
          <cell r="P354">
            <v>0</v>
          </cell>
          <cell r="Q354">
            <v>0</v>
          </cell>
          <cell r="R354">
            <v>0</v>
          </cell>
          <cell r="S354">
            <v>0</v>
          </cell>
          <cell r="T354">
            <v>0</v>
          </cell>
          <cell r="U354">
            <v>0</v>
          </cell>
          <cell r="V354">
            <v>0</v>
          </cell>
          <cell r="W354">
            <v>0</v>
          </cell>
          <cell r="X354">
            <v>0</v>
          </cell>
          <cell r="Y354">
            <v>0</v>
          </cell>
          <cell r="Z354">
            <v>0</v>
          </cell>
          <cell r="AA354">
            <v>0</v>
          </cell>
          <cell r="AB354">
            <v>0</v>
          </cell>
          <cell r="AC354">
            <v>0</v>
          </cell>
          <cell r="AD354">
            <v>0</v>
          </cell>
          <cell r="AE354">
            <v>0</v>
          </cell>
          <cell r="AF354">
            <v>0</v>
          </cell>
          <cell r="AG354">
            <v>0</v>
          </cell>
          <cell r="AH354">
            <v>0</v>
          </cell>
          <cell r="AI354">
            <v>0</v>
          </cell>
          <cell r="AJ354">
            <v>0</v>
          </cell>
          <cell r="AK354">
            <v>0</v>
          </cell>
          <cell r="AL354">
            <v>0</v>
          </cell>
          <cell r="AM354">
            <v>0</v>
          </cell>
          <cell r="AN354">
            <v>0</v>
          </cell>
          <cell r="AO354">
            <v>0</v>
          </cell>
          <cell r="AP354">
            <v>0</v>
          </cell>
          <cell r="AR354">
            <v>0</v>
          </cell>
          <cell r="AS354">
            <v>0</v>
          </cell>
          <cell r="AT354">
            <v>0</v>
          </cell>
        </row>
        <row r="355">
          <cell r="G355">
            <v>44895</v>
          </cell>
          <cell r="J355">
            <v>0</v>
          </cell>
          <cell r="K355">
            <v>0</v>
          </cell>
          <cell r="L355">
            <v>0</v>
          </cell>
          <cell r="M355">
            <v>0</v>
          </cell>
          <cell r="N355">
            <v>0</v>
          </cell>
          <cell r="O355">
            <v>0</v>
          </cell>
          <cell r="P355">
            <v>0</v>
          </cell>
          <cell r="Q355">
            <v>0</v>
          </cell>
          <cell r="R355">
            <v>0</v>
          </cell>
          <cell r="S355">
            <v>0</v>
          </cell>
          <cell r="T355">
            <v>0</v>
          </cell>
          <cell r="U355">
            <v>0</v>
          </cell>
          <cell r="V355">
            <v>0</v>
          </cell>
          <cell r="W355">
            <v>0</v>
          </cell>
          <cell r="X355">
            <v>0</v>
          </cell>
          <cell r="Y355">
            <v>0</v>
          </cell>
          <cell r="Z355">
            <v>0</v>
          </cell>
          <cell r="AA355">
            <v>0</v>
          </cell>
          <cell r="AB355">
            <v>0</v>
          </cell>
          <cell r="AC355">
            <v>0</v>
          </cell>
          <cell r="AD355">
            <v>0</v>
          </cell>
          <cell r="AE355">
            <v>0</v>
          </cell>
          <cell r="AF355">
            <v>0</v>
          </cell>
          <cell r="AG355">
            <v>0</v>
          </cell>
          <cell r="AH355">
            <v>0</v>
          </cell>
          <cell r="AI355">
            <v>0</v>
          </cell>
          <cell r="AJ355">
            <v>0</v>
          </cell>
          <cell r="AK355">
            <v>0</v>
          </cell>
          <cell r="AL355">
            <v>0</v>
          </cell>
          <cell r="AM355">
            <v>0</v>
          </cell>
          <cell r="AN355">
            <v>0</v>
          </cell>
          <cell r="AO355">
            <v>0</v>
          </cell>
          <cell r="AP355">
            <v>0</v>
          </cell>
          <cell r="AR355">
            <v>0</v>
          </cell>
          <cell r="AS355">
            <v>0</v>
          </cell>
          <cell r="AT355">
            <v>0</v>
          </cell>
        </row>
        <row r="356">
          <cell r="G356">
            <v>44896</v>
          </cell>
          <cell r="J356">
            <v>0</v>
          </cell>
          <cell r="K356">
            <v>0</v>
          </cell>
          <cell r="L356">
            <v>0</v>
          </cell>
          <cell r="M356">
            <v>0</v>
          </cell>
          <cell r="N356">
            <v>0</v>
          </cell>
          <cell r="O356">
            <v>0</v>
          </cell>
          <cell r="P356">
            <v>0</v>
          </cell>
          <cell r="Q356">
            <v>0</v>
          </cell>
          <cell r="R356">
            <v>0</v>
          </cell>
          <cell r="S356">
            <v>0</v>
          </cell>
          <cell r="T356">
            <v>0</v>
          </cell>
          <cell r="U356">
            <v>0</v>
          </cell>
          <cell r="V356">
            <v>0</v>
          </cell>
          <cell r="W356">
            <v>0</v>
          </cell>
          <cell r="X356">
            <v>0</v>
          </cell>
          <cell r="Y356">
            <v>0</v>
          </cell>
          <cell r="Z356">
            <v>0</v>
          </cell>
          <cell r="AA356">
            <v>0</v>
          </cell>
          <cell r="AB356">
            <v>0</v>
          </cell>
          <cell r="AC356">
            <v>0</v>
          </cell>
          <cell r="AD356">
            <v>0</v>
          </cell>
          <cell r="AE356">
            <v>0</v>
          </cell>
          <cell r="AF356">
            <v>0</v>
          </cell>
          <cell r="AG356">
            <v>0</v>
          </cell>
          <cell r="AH356">
            <v>0</v>
          </cell>
          <cell r="AI356">
            <v>0</v>
          </cell>
          <cell r="AJ356">
            <v>0</v>
          </cell>
          <cell r="AK356">
            <v>0</v>
          </cell>
          <cell r="AL356">
            <v>0</v>
          </cell>
          <cell r="AM356">
            <v>0</v>
          </cell>
          <cell r="AN356">
            <v>0</v>
          </cell>
          <cell r="AO356">
            <v>0</v>
          </cell>
          <cell r="AP356">
            <v>0</v>
          </cell>
          <cell r="AR356">
            <v>0</v>
          </cell>
          <cell r="AS356">
            <v>0</v>
          </cell>
          <cell r="AT356">
            <v>0</v>
          </cell>
        </row>
        <row r="357">
          <cell r="G357">
            <v>44897</v>
          </cell>
          <cell r="J357">
            <v>0</v>
          </cell>
          <cell r="K357">
            <v>0</v>
          </cell>
          <cell r="L357">
            <v>0</v>
          </cell>
          <cell r="M357">
            <v>0</v>
          </cell>
          <cell r="N357">
            <v>0</v>
          </cell>
          <cell r="O357">
            <v>0</v>
          </cell>
          <cell r="P357">
            <v>0</v>
          </cell>
          <cell r="Q357">
            <v>0</v>
          </cell>
          <cell r="R357">
            <v>0</v>
          </cell>
          <cell r="S357">
            <v>0</v>
          </cell>
          <cell r="T357">
            <v>0</v>
          </cell>
          <cell r="U357">
            <v>0</v>
          </cell>
          <cell r="V357">
            <v>0</v>
          </cell>
          <cell r="W357">
            <v>0</v>
          </cell>
          <cell r="X357">
            <v>0</v>
          </cell>
          <cell r="Y357">
            <v>0</v>
          </cell>
          <cell r="Z357">
            <v>0</v>
          </cell>
          <cell r="AA357">
            <v>0</v>
          </cell>
          <cell r="AB357">
            <v>0</v>
          </cell>
          <cell r="AC357">
            <v>0</v>
          </cell>
          <cell r="AD357">
            <v>0</v>
          </cell>
          <cell r="AE357">
            <v>0</v>
          </cell>
          <cell r="AF357">
            <v>0</v>
          </cell>
          <cell r="AG357">
            <v>0</v>
          </cell>
          <cell r="AH357">
            <v>0</v>
          </cell>
          <cell r="AI357">
            <v>0</v>
          </cell>
          <cell r="AJ357">
            <v>0</v>
          </cell>
          <cell r="AK357">
            <v>0</v>
          </cell>
          <cell r="AL357">
            <v>0</v>
          </cell>
          <cell r="AM357">
            <v>0</v>
          </cell>
          <cell r="AN357">
            <v>0</v>
          </cell>
          <cell r="AO357">
            <v>0</v>
          </cell>
          <cell r="AP357">
            <v>0</v>
          </cell>
          <cell r="AR357">
            <v>0</v>
          </cell>
          <cell r="AS357">
            <v>0</v>
          </cell>
          <cell r="AT357">
            <v>0</v>
          </cell>
        </row>
        <row r="358">
          <cell r="G358">
            <v>44898</v>
          </cell>
          <cell r="J358">
            <v>0</v>
          </cell>
          <cell r="K358">
            <v>0</v>
          </cell>
          <cell r="L358">
            <v>0</v>
          </cell>
          <cell r="M358">
            <v>0</v>
          </cell>
          <cell r="N358">
            <v>0</v>
          </cell>
          <cell r="O358">
            <v>0</v>
          </cell>
          <cell r="P358">
            <v>0</v>
          </cell>
          <cell r="Q358">
            <v>0</v>
          </cell>
          <cell r="R358">
            <v>0</v>
          </cell>
          <cell r="S358">
            <v>0</v>
          </cell>
          <cell r="T358">
            <v>0</v>
          </cell>
          <cell r="U358">
            <v>0</v>
          </cell>
          <cell r="V358">
            <v>0</v>
          </cell>
          <cell r="W358">
            <v>0</v>
          </cell>
          <cell r="X358">
            <v>0</v>
          </cell>
          <cell r="Y358">
            <v>0</v>
          </cell>
          <cell r="Z358">
            <v>0</v>
          </cell>
          <cell r="AA358">
            <v>0</v>
          </cell>
          <cell r="AB358">
            <v>0</v>
          </cell>
          <cell r="AC358">
            <v>0</v>
          </cell>
          <cell r="AD358">
            <v>0</v>
          </cell>
          <cell r="AE358">
            <v>0</v>
          </cell>
          <cell r="AF358">
            <v>0</v>
          </cell>
          <cell r="AG358">
            <v>0</v>
          </cell>
          <cell r="AH358">
            <v>0</v>
          </cell>
          <cell r="AI358">
            <v>0</v>
          </cell>
          <cell r="AJ358">
            <v>0</v>
          </cell>
          <cell r="AK358">
            <v>0</v>
          </cell>
          <cell r="AL358">
            <v>0</v>
          </cell>
          <cell r="AM358">
            <v>0</v>
          </cell>
          <cell r="AN358">
            <v>0</v>
          </cell>
          <cell r="AO358">
            <v>0</v>
          </cell>
          <cell r="AP358">
            <v>0</v>
          </cell>
          <cell r="AR358">
            <v>0</v>
          </cell>
          <cell r="AS358">
            <v>0</v>
          </cell>
          <cell r="AT358">
            <v>0</v>
          </cell>
        </row>
        <row r="359">
          <cell r="G359">
            <v>44899</v>
          </cell>
          <cell r="J359">
            <v>0</v>
          </cell>
          <cell r="K359">
            <v>0</v>
          </cell>
          <cell r="L359">
            <v>0</v>
          </cell>
          <cell r="M359">
            <v>0</v>
          </cell>
          <cell r="N359">
            <v>0</v>
          </cell>
          <cell r="O359">
            <v>0</v>
          </cell>
          <cell r="P359">
            <v>0</v>
          </cell>
          <cell r="Q359">
            <v>0</v>
          </cell>
          <cell r="R359">
            <v>0</v>
          </cell>
          <cell r="S359">
            <v>0</v>
          </cell>
          <cell r="T359">
            <v>0</v>
          </cell>
          <cell r="U359">
            <v>0</v>
          </cell>
          <cell r="V359">
            <v>0</v>
          </cell>
          <cell r="W359">
            <v>0</v>
          </cell>
          <cell r="X359">
            <v>0</v>
          </cell>
          <cell r="Y359">
            <v>0</v>
          </cell>
          <cell r="Z359">
            <v>0</v>
          </cell>
          <cell r="AA359">
            <v>0</v>
          </cell>
          <cell r="AB359">
            <v>0</v>
          </cell>
          <cell r="AC359">
            <v>0</v>
          </cell>
          <cell r="AD359">
            <v>0</v>
          </cell>
          <cell r="AE359">
            <v>0</v>
          </cell>
          <cell r="AF359">
            <v>0</v>
          </cell>
          <cell r="AG359">
            <v>0</v>
          </cell>
          <cell r="AH359">
            <v>0</v>
          </cell>
          <cell r="AI359">
            <v>0</v>
          </cell>
          <cell r="AJ359">
            <v>0</v>
          </cell>
          <cell r="AK359">
            <v>0</v>
          </cell>
          <cell r="AL359">
            <v>0</v>
          </cell>
          <cell r="AM359">
            <v>0</v>
          </cell>
          <cell r="AN359">
            <v>0</v>
          </cell>
          <cell r="AO359">
            <v>0</v>
          </cell>
          <cell r="AP359">
            <v>0</v>
          </cell>
          <cell r="AR359">
            <v>0</v>
          </cell>
          <cell r="AS359">
            <v>0</v>
          </cell>
          <cell r="AT359">
            <v>0</v>
          </cell>
        </row>
        <row r="360">
          <cell r="G360">
            <v>44900</v>
          </cell>
          <cell r="J360">
            <v>0</v>
          </cell>
          <cell r="K360">
            <v>0</v>
          </cell>
          <cell r="L360">
            <v>0</v>
          </cell>
          <cell r="M360">
            <v>0</v>
          </cell>
          <cell r="N360">
            <v>0</v>
          </cell>
          <cell r="O360">
            <v>0</v>
          </cell>
          <cell r="P360">
            <v>0</v>
          </cell>
          <cell r="Q360">
            <v>0</v>
          </cell>
          <cell r="R360">
            <v>0</v>
          </cell>
          <cell r="S360">
            <v>0</v>
          </cell>
          <cell r="T360">
            <v>0</v>
          </cell>
          <cell r="U360">
            <v>0</v>
          </cell>
          <cell r="V360">
            <v>0</v>
          </cell>
          <cell r="W360">
            <v>0</v>
          </cell>
          <cell r="X360">
            <v>0</v>
          </cell>
          <cell r="Y360">
            <v>0</v>
          </cell>
          <cell r="Z360">
            <v>0</v>
          </cell>
          <cell r="AA360">
            <v>0</v>
          </cell>
          <cell r="AB360">
            <v>0</v>
          </cell>
          <cell r="AC360">
            <v>0</v>
          </cell>
          <cell r="AD360">
            <v>0</v>
          </cell>
          <cell r="AE360">
            <v>0</v>
          </cell>
          <cell r="AF360">
            <v>0</v>
          </cell>
          <cell r="AG360">
            <v>0</v>
          </cell>
          <cell r="AH360">
            <v>0</v>
          </cell>
          <cell r="AI360">
            <v>0</v>
          </cell>
          <cell r="AJ360">
            <v>0</v>
          </cell>
          <cell r="AK360">
            <v>0</v>
          </cell>
          <cell r="AL360">
            <v>0</v>
          </cell>
          <cell r="AM360">
            <v>0</v>
          </cell>
          <cell r="AN360">
            <v>0</v>
          </cell>
          <cell r="AO360">
            <v>0</v>
          </cell>
          <cell r="AP360">
            <v>0</v>
          </cell>
          <cell r="AR360">
            <v>0</v>
          </cell>
          <cell r="AS360">
            <v>0</v>
          </cell>
          <cell r="AT360">
            <v>0</v>
          </cell>
        </row>
        <row r="361">
          <cell r="G361">
            <v>44901</v>
          </cell>
          <cell r="J361">
            <v>0</v>
          </cell>
          <cell r="K361">
            <v>0</v>
          </cell>
          <cell r="L361">
            <v>0</v>
          </cell>
          <cell r="M361">
            <v>0</v>
          </cell>
          <cell r="N361">
            <v>0</v>
          </cell>
          <cell r="O361">
            <v>0</v>
          </cell>
          <cell r="P361">
            <v>0</v>
          </cell>
          <cell r="Q361">
            <v>0</v>
          </cell>
          <cell r="R361">
            <v>0</v>
          </cell>
          <cell r="S361">
            <v>0</v>
          </cell>
          <cell r="T361">
            <v>0</v>
          </cell>
          <cell r="U361">
            <v>0</v>
          </cell>
          <cell r="V361">
            <v>0</v>
          </cell>
          <cell r="W361">
            <v>0</v>
          </cell>
          <cell r="X361">
            <v>0</v>
          </cell>
          <cell r="Y361">
            <v>0</v>
          </cell>
          <cell r="Z361">
            <v>0</v>
          </cell>
          <cell r="AA361">
            <v>0</v>
          </cell>
          <cell r="AB361">
            <v>0</v>
          </cell>
          <cell r="AC361">
            <v>0</v>
          </cell>
          <cell r="AD361">
            <v>0</v>
          </cell>
          <cell r="AE361">
            <v>0</v>
          </cell>
          <cell r="AF361">
            <v>0</v>
          </cell>
          <cell r="AG361">
            <v>0</v>
          </cell>
          <cell r="AH361">
            <v>0</v>
          </cell>
          <cell r="AI361">
            <v>0</v>
          </cell>
          <cell r="AJ361">
            <v>0</v>
          </cell>
          <cell r="AK361">
            <v>0</v>
          </cell>
          <cell r="AL361">
            <v>0</v>
          </cell>
          <cell r="AM361">
            <v>0</v>
          </cell>
          <cell r="AN361">
            <v>0</v>
          </cell>
          <cell r="AO361">
            <v>0</v>
          </cell>
          <cell r="AP361">
            <v>0</v>
          </cell>
          <cell r="AR361">
            <v>0</v>
          </cell>
          <cell r="AS361">
            <v>0</v>
          </cell>
          <cell r="AT361">
            <v>0</v>
          </cell>
        </row>
        <row r="362">
          <cell r="G362">
            <v>44902</v>
          </cell>
          <cell r="J362">
            <v>0</v>
          </cell>
          <cell r="K362">
            <v>0</v>
          </cell>
          <cell r="L362">
            <v>0</v>
          </cell>
          <cell r="M362">
            <v>0</v>
          </cell>
          <cell r="N362">
            <v>0</v>
          </cell>
          <cell r="O362">
            <v>0</v>
          </cell>
          <cell r="P362">
            <v>0</v>
          </cell>
          <cell r="Q362">
            <v>0</v>
          </cell>
          <cell r="R362">
            <v>0</v>
          </cell>
          <cell r="S362">
            <v>0</v>
          </cell>
          <cell r="T362">
            <v>0</v>
          </cell>
          <cell r="U362">
            <v>0</v>
          </cell>
          <cell r="V362">
            <v>0</v>
          </cell>
          <cell r="W362">
            <v>0</v>
          </cell>
          <cell r="X362">
            <v>0</v>
          </cell>
          <cell r="Y362">
            <v>0</v>
          </cell>
          <cell r="Z362">
            <v>0</v>
          </cell>
          <cell r="AA362">
            <v>0</v>
          </cell>
          <cell r="AB362">
            <v>0</v>
          </cell>
          <cell r="AC362">
            <v>0</v>
          </cell>
          <cell r="AD362">
            <v>0</v>
          </cell>
          <cell r="AE362">
            <v>0</v>
          </cell>
          <cell r="AF362">
            <v>0</v>
          </cell>
          <cell r="AG362">
            <v>0</v>
          </cell>
          <cell r="AH362">
            <v>0</v>
          </cell>
          <cell r="AI362">
            <v>0</v>
          </cell>
          <cell r="AJ362">
            <v>0</v>
          </cell>
          <cell r="AK362">
            <v>0</v>
          </cell>
          <cell r="AL362">
            <v>0</v>
          </cell>
          <cell r="AM362">
            <v>0</v>
          </cell>
          <cell r="AN362">
            <v>0</v>
          </cell>
          <cell r="AO362">
            <v>0</v>
          </cell>
          <cell r="AP362">
            <v>0</v>
          </cell>
          <cell r="AR362">
            <v>0</v>
          </cell>
          <cell r="AS362">
            <v>0</v>
          </cell>
          <cell r="AT362">
            <v>0</v>
          </cell>
        </row>
        <row r="363">
          <cell r="G363">
            <v>44903</v>
          </cell>
          <cell r="J363">
            <v>0</v>
          </cell>
          <cell r="K363">
            <v>0</v>
          </cell>
          <cell r="L363">
            <v>0</v>
          </cell>
          <cell r="M363">
            <v>0</v>
          </cell>
          <cell r="N363">
            <v>0</v>
          </cell>
          <cell r="O363">
            <v>0</v>
          </cell>
          <cell r="P363">
            <v>0</v>
          </cell>
          <cell r="Q363">
            <v>0</v>
          </cell>
          <cell r="R363">
            <v>0</v>
          </cell>
          <cell r="S363">
            <v>0</v>
          </cell>
          <cell r="T363">
            <v>0</v>
          </cell>
          <cell r="U363">
            <v>0</v>
          </cell>
          <cell r="V363">
            <v>0</v>
          </cell>
          <cell r="W363">
            <v>0</v>
          </cell>
          <cell r="X363">
            <v>0</v>
          </cell>
          <cell r="Y363">
            <v>0</v>
          </cell>
          <cell r="Z363">
            <v>0</v>
          </cell>
          <cell r="AA363">
            <v>0</v>
          </cell>
          <cell r="AB363">
            <v>0</v>
          </cell>
          <cell r="AC363">
            <v>0</v>
          </cell>
          <cell r="AD363">
            <v>0</v>
          </cell>
          <cell r="AE363">
            <v>0</v>
          </cell>
          <cell r="AF363">
            <v>0</v>
          </cell>
          <cell r="AG363">
            <v>0</v>
          </cell>
          <cell r="AH363">
            <v>0</v>
          </cell>
          <cell r="AI363">
            <v>0</v>
          </cell>
          <cell r="AJ363">
            <v>0</v>
          </cell>
          <cell r="AK363">
            <v>0</v>
          </cell>
          <cell r="AL363">
            <v>0</v>
          </cell>
          <cell r="AM363">
            <v>0</v>
          </cell>
          <cell r="AN363">
            <v>0</v>
          </cell>
          <cell r="AO363">
            <v>0</v>
          </cell>
          <cell r="AP363">
            <v>0</v>
          </cell>
          <cell r="AR363">
            <v>0</v>
          </cell>
          <cell r="AS363">
            <v>0</v>
          </cell>
          <cell r="AT363">
            <v>0</v>
          </cell>
        </row>
        <row r="364">
          <cell r="G364">
            <v>44904</v>
          </cell>
          <cell r="J364">
            <v>0</v>
          </cell>
          <cell r="K364">
            <v>0</v>
          </cell>
          <cell r="L364">
            <v>0</v>
          </cell>
          <cell r="M364">
            <v>0</v>
          </cell>
          <cell r="N364">
            <v>0</v>
          </cell>
          <cell r="O364">
            <v>0</v>
          </cell>
          <cell r="P364">
            <v>0</v>
          </cell>
          <cell r="Q364">
            <v>0</v>
          </cell>
          <cell r="R364">
            <v>0</v>
          </cell>
          <cell r="S364">
            <v>0</v>
          </cell>
          <cell r="T364">
            <v>0</v>
          </cell>
          <cell r="U364">
            <v>0</v>
          </cell>
          <cell r="V364">
            <v>0</v>
          </cell>
          <cell r="W364">
            <v>0</v>
          </cell>
          <cell r="X364">
            <v>0</v>
          </cell>
          <cell r="Y364">
            <v>0</v>
          </cell>
          <cell r="Z364">
            <v>0</v>
          </cell>
          <cell r="AA364">
            <v>0</v>
          </cell>
          <cell r="AB364">
            <v>0</v>
          </cell>
          <cell r="AC364">
            <v>0</v>
          </cell>
          <cell r="AD364">
            <v>0</v>
          </cell>
          <cell r="AE364">
            <v>0</v>
          </cell>
          <cell r="AF364">
            <v>0</v>
          </cell>
          <cell r="AG364">
            <v>0</v>
          </cell>
          <cell r="AH364">
            <v>0</v>
          </cell>
          <cell r="AI364">
            <v>0</v>
          </cell>
          <cell r="AJ364">
            <v>0</v>
          </cell>
          <cell r="AK364">
            <v>0</v>
          </cell>
          <cell r="AL364">
            <v>0</v>
          </cell>
          <cell r="AM364">
            <v>0</v>
          </cell>
          <cell r="AN364">
            <v>0</v>
          </cell>
          <cell r="AO364">
            <v>0</v>
          </cell>
          <cell r="AP364">
            <v>0</v>
          </cell>
          <cell r="AR364">
            <v>0</v>
          </cell>
          <cell r="AS364">
            <v>0</v>
          </cell>
          <cell r="AT364">
            <v>0</v>
          </cell>
        </row>
        <row r="365">
          <cell r="G365">
            <v>44905</v>
          </cell>
          <cell r="J365">
            <v>0</v>
          </cell>
          <cell r="K365">
            <v>0</v>
          </cell>
          <cell r="L365">
            <v>0</v>
          </cell>
          <cell r="M365">
            <v>0</v>
          </cell>
          <cell r="N365">
            <v>0</v>
          </cell>
          <cell r="O365">
            <v>0</v>
          </cell>
          <cell r="P365">
            <v>0</v>
          </cell>
          <cell r="Q365">
            <v>0</v>
          </cell>
          <cell r="R365">
            <v>0</v>
          </cell>
          <cell r="S365">
            <v>0</v>
          </cell>
          <cell r="T365">
            <v>0</v>
          </cell>
          <cell r="U365">
            <v>0</v>
          </cell>
          <cell r="V365">
            <v>0</v>
          </cell>
          <cell r="W365">
            <v>0</v>
          </cell>
          <cell r="X365">
            <v>0</v>
          </cell>
          <cell r="Y365">
            <v>0</v>
          </cell>
          <cell r="Z365">
            <v>0</v>
          </cell>
          <cell r="AA365">
            <v>0</v>
          </cell>
          <cell r="AB365">
            <v>0</v>
          </cell>
          <cell r="AC365">
            <v>0</v>
          </cell>
          <cell r="AD365">
            <v>0</v>
          </cell>
          <cell r="AE365">
            <v>0</v>
          </cell>
          <cell r="AF365">
            <v>0</v>
          </cell>
          <cell r="AG365">
            <v>0</v>
          </cell>
          <cell r="AH365">
            <v>0</v>
          </cell>
          <cell r="AI365">
            <v>0</v>
          </cell>
          <cell r="AJ365">
            <v>0</v>
          </cell>
          <cell r="AK365">
            <v>0</v>
          </cell>
          <cell r="AL365">
            <v>0</v>
          </cell>
          <cell r="AM365">
            <v>0</v>
          </cell>
          <cell r="AN365">
            <v>0</v>
          </cell>
          <cell r="AO365">
            <v>0</v>
          </cell>
          <cell r="AP365">
            <v>0</v>
          </cell>
          <cell r="AR365">
            <v>0</v>
          </cell>
          <cell r="AS365">
            <v>0</v>
          </cell>
          <cell r="AT365">
            <v>0</v>
          </cell>
        </row>
        <row r="366">
          <cell r="G366">
            <v>44906</v>
          </cell>
          <cell r="J366">
            <v>0</v>
          </cell>
          <cell r="K366">
            <v>0</v>
          </cell>
          <cell r="L366">
            <v>0</v>
          </cell>
          <cell r="M366">
            <v>0</v>
          </cell>
          <cell r="N366">
            <v>0</v>
          </cell>
          <cell r="O366">
            <v>0</v>
          </cell>
          <cell r="P366">
            <v>0</v>
          </cell>
          <cell r="Q366">
            <v>0</v>
          </cell>
          <cell r="R366">
            <v>0</v>
          </cell>
          <cell r="S366">
            <v>0</v>
          </cell>
          <cell r="T366">
            <v>0</v>
          </cell>
          <cell r="U366">
            <v>0</v>
          </cell>
          <cell r="V366">
            <v>0</v>
          </cell>
          <cell r="W366">
            <v>0</v>
          </cell>
          <cell r="X366">
            <v>0</v>
          </cell>
          <cell r="Y366">
            <v>0</v>
          </cell>
          <cell r="Z366">
            <v>0</v>
          </cell>
          <cell r="AA366">
            <v>0</v>
          </cell>
          <cell r="AB366">
            <v>0</v>
          </cell>
          <cell r="AC366">
            <v>0</v>
          </cell>
          <cell r="AD366">
            <v>0</v>
          </cell>
          <cell r="AE366">
            <v>0</v>
          </cell>
          <cell r="AF366">
            <v>0</v>
          </cell>
          <cell r="AG366">
            <v>0</v>
          </cell>
          <cell r="AH366">
            <v>0</v>
          </cell>
          <cell r="AI366">
            <v>0</v>
          </cell>
          <cell r="AJ366">
            <v>0</v>
          </cell>
          <cell r="AK366">
            <v>0</v>
          </cell>
          <cell r="AL366">
            <v>0</v>
          </cell>
          <cell r="AM366">
            <v>0</v>
          </cell>
          <cell r="AN366">
            <v>0</v>
          </cell>
          <cell r="AO366">
            <v>0</v>
          </cell>
          <cell r="AP366">
            <v>0</v>
          </cell>
          <cell r="AR366">
            <v>0</v>
          </cell>
          <cell r="AS366">
            <v>0</v>
          </cell>
          <cell r="AT366">
            <v>0</v>
          </cell>
        </row>
        <row r="367">
          <cell r="G367">
            <v>44907</v>
          </cell>
          <cell r="J367">
            <v>0</v>
          </cell>
          <cell r="K367">
            <v>0</v>
          </cell>
          <cell r="L367">
            <v>0</v>
          </cell>
          <cell r="M367">
            <v>0</v>
          </cell>
          <cell r="N367">
            <v>0</v>
          </cell>
          <cell r="O367">
            <v>0</v>
          </cell>
          <cell r="P367">
            <v>0</v>
          </cell>
          <cell r="Q367">
            <v>0</v>
          </cell>
          <cell r="R367">
            <v>0</v>
          </cell>
          <cell r="S367">
            <v>0</v>
          </cell>
          <cell r="T367">
            <v>0</v>
          </cell>
          <cell r="U367">
            <v>0</v>
          </cell>
          <cell r="V367">
            <v>0</v>
          </cell>
          <cell r="W367">
            <v>0</v>
          </cell>
          <cell r="X367">
            <v>0</v>
          </cell>
          <cell r="Y367">
            <v>0</v>
          </cell>
          <cell r="Z367">
            <v>0</v>
          </cell>
          <cell r="AA367">
            <v>0</v>
          </cell>
          <cell r="AB367">
            <v>0</v>
          </cell>
          <cell r="AC367">
            <v>0</v>
          </cell>
          <cell r="AD367">
            <v>0</v>
          </cell>
          <cell r="AE367">
            <v>0</v>
          </cell>
          <cell r="AF367">
            <v>0</v>
          </cell>
          <cell r="AG367">
            <v>0</v>
          </cell>
          <cell r="AH367">
            <v>0</v>
          </cell>
          <cell r="AI367">
            <v>0</v>
          </cell>
          <cell r="AJ367">
            <v>0</v>
          </cell>
          <cell r="AK367">
            <v>0</v>
          </cell>
          <cell r="AL367">
            <v>0</v>
          </cell>
          <cell r="AM367">
            <v>0</v>
          </cell>
          <cell r="AN367">
            <v>0</v>
          </cell>
          <cell r="AO367">
            <v>0</v>
          </cell>
          <cell r="AP367">
            <v>0</v>
          </cell>
          <cell r="AR367">
            <v>0</v>
          </cell>
          <cell r="AS367">
            <v>0</v>
          </cell>
          <cell r="AT367">
            <v>0</v>
          </cell>
        </row>
        <row r="368">
          <cell r="G368">
            <v>44908</v>
          </cell>
          <cell r="J368">
            <v>0</v>
          </cell>
          <cell r="K368">
            <v>0</v>
          </cell>
          <cell r="L368">
            <v>0</v>
          </cell>
          <cell r="M368">
            <v>0</v>
          </cell>
          <cell r="N368">
            <v>0</v>
          </cell>
          <cell r="O368">
            <v>0</v>
          </cell>
          <cell r="P368">
            <v>0</v>
          </cell>
          <cell r="Q368">
            <v>0</v>
          </cell>
          <cell r="R368">
            <v>0</v>
          </cell>
          <cell r="S368">
            <v>0</v>
          </cell>
          <cell r="T368">
            <v>0</v>
          </cell>
          <cell r="U368">
            <v>0</v>
          </cell>
          <cell r="V368">
            <v>0</v>
          </cell>
          <cell r="W368">
            <v>0</v>
          </cell>
          <cell r="X368">
            <v>0</v>
          </cell>
          <cell r="Y368">
            <v>0</v>
          </cell>
          <cell r="Z368">
            <v>0</v>
          </cell>
          <cell r="AA368">
            <v>0</v>
          </cell>
          <cell r="AB368">
            <v>0</v>
          </cell>
          <cell r="AC368">
            <v>0</v>
          </cell>
          <cell r="AD368">
            <v>0</v>
          </cell>
          <cell r="AE368">
            <v>0</v>
          </cell>
          <cell r="AF368">
            <v>0</v>
          </cell>
          <cell r="AG368">
            <v>0</v>
          </cell>
          <cell r="AH368">
            <v>0</v>
          </cell>
          <cell r="AI368">
            <v>0</v>
          </cell>
          <cell r="AJ368">
            <v>0</v>
          </cell>
          <cell r="AK368">
            <v>0</v>
          </cell>
          <cell r="AL368">
            <v>0</v>
          </cell>
          <cell r="AM368">
            <v>0</v>
          </cell>
          <cell r="AN368">
            <v>0</v>
          </cell>
          <cell r="AO368">
            <v>0</v>
          </cell>
          <cell r="AP368">
            <v>0</v>
          </cell>
          <cell r="AR368">
            <v>0</v>
          </cell>
          <cell r="AS368">
            <v>0</v>
          </cell>
          <cell r="AT368">
            <v>0</v>
          </cell>
        </row>
        <row r="369">
          <cell r="G369">
            <v>44909</v>
          </cell>
          <cell r="J369">
            <v>0</v>
          </cell>
          <cell r="K369">
            <v>0</v>
          </cell>
          <cell r="L369">
            <v>0</v>
          </cell>
          <cell r="M369">
            <v>0</v>
          </cell>
          <cell r="N369">
            <v>0</v>
          </cell>
          <cell r="O369">
            <v>0</v>
          </cell>
          <cell r="P369">
            <v>0</v>
          </cell>
          <cell r="Q369">
            <v>0</v>
          </cell>
          <cell r="R369">
            <v>0</v>
          </cell>
          <cell r="S369">
            <v>0</v>
          </cell>
          <cell r="T369">
            <v>0</v>
          </cell>
          <cell r="U369">
            <v>0</v>
          </cell>
          <cell r="V369">
            <v>0</v>
          </cell>
          <cell r="W369">
            <v>0</v>
          </cell>
          <cell r="X369">
            <v>0</v>
          </cell>
          <cell r="Y369">
            <v>0</v>
          </cell>
          <cell r="Z369">
            <v>0</v>
          </cell>
          <cell r="AA369">
            <v>0</v>
          </cell>
          <cell r="AB369">
            <v>0</v>
          </cell>
          <cell r="AC369">
            <v>0</v>
          </cell>
          <cell r="AD369">
            <v>0</v>
          </cell>
          <cell r="AE369">
            <v>0</v>
          </cell>
          <cell r="AF369">
            <v>0</v>
          </cell>
          <cell r="AG369">
            <v>0</v>
          </cell>
          <cell r="AH369">
            <v>0</v>
          </cell>
          <cell r="AI369">
            <v>0</v>
          </cell>
          <cell r="AJ369">
            <v>0</v>
          </cell>
          <cell r="AK369">
            <v>0</v>
          </cell>
          <cell r="AL369">
            <v>0</v>
          </cell>
          <cell r="AM369">
            <v>0</v>
          </cell>
          <cell r="AN369">
            <v>0</v>
          </cell>
          <cell r="AO369">
            <v>0</v>
          </cell>
          <cell r="AP369">
            <v>0</v>
          </cell>
          <cell r="AR369">
            <v>0</v>
          </cell>
          <cell r="AS369">
            <v>0</v>
          </cell>
          <cell r="AT369">
            <v>0</v>
          </cell>
        </row>
        <row r="370">
          <cell r="G370">
            <v>44910</v>
          </cell>
          <cell r="J370">
            <v>0</v>
          </cell>
          <cell r="K370">
            <v>0</v>
          </cell>
          <cell r="L370">
            <v>0</v>
          </cell>
          <cell r="M370">
            <v>0</v>
          </cell>
          <cell r="N370">
            <v>0</v>
          </cell>
          <cell r="O370">
            <v>0</v>
          </cell>
          <cell r="P370">
            <v>0</v>
          </cell>
          <cell r="Q370">
            <v>0</v>
          </cell>
          <cell r="R370">
            <v>0</v>
          </cell>
          <cell r="S370">
            <v>0</v>
          </cell>
          <cell r="T370">
            <v>0</v>
          </cell>
          <cell r="U370">
            <v>0</v>
          </cell>
          <cell r="V370">
            <v>0</v>
          </cell>
          <cell r="W370">
            <v>0</v>
          </cell>
          <cell r="X370">
            <v>0</v>
          </cell>
          <cell r="Y370">
            <v>0</v>
          </cell>
          <cell r="Z370">
            <v>0</v>
          </cell>
          <cell r="AA370">
            <v>0</v>
          </cell>
          <cell r="AB370">
            <v>0</v>
          </cell>
          <cell r="AC370">
            <v>0</v>
          </cell>
          <cell r="AD370">
            <v>0</v>
          </cell>
          <cell r="AE370">
            <v>0</v>
          </cell>
          <cell r="AF370">
            <v>0</v>
          </cell>
          <cell r="AG370">
            <v>0</v>
          </cell>
          <cell r="AH370">
            <v>0</v>
          </cell>
          <cell r="AI370">
            <v>0</v>
          </cell>
          <cell r="AJ370">
            <v>0</v>
          </cell>
          <cell r="AK370">
            <v>0</v>
          </cell>
          <cell r="AL370">
            <v>0</v>
          </cell>
          <cell r="AM370">
            <v>0</v>
          </cell>
          <cell r="AN370">
            <v>0</v>
          </cell>
          <cell r="AO370">
            <v>0</v>
          </cell>
          <cell r="AP370">
            <v>0</v>
          </cell>
          <cell r="AR370">
            <v>0</v>
          </cell>
          <cell r="AS370">
            <v>0</v>
          </cell>
          <cell r="AT370">
            <v>0</v>
          </cell>
        </row>
        <row r="371">
          <cell r="G371">
            <v>44911</v>
          </cell>
          <cell r="J371">
            <v>0</v>
          </cell>
          <cell r="K371">
            <v>0</v>
          </cell>
          <cell r="L371">
            <v>0</v>
          </cell>
          <cell r="M371">
            <v>0</v>
          </cell>
          <cell r="N371">
            <v>0</v>
          </cell>
          <cell r="O371">
            <v>0</v>
          </cell>
          <cell r="P371">
            <v>0</v>
          </cell>
          <cell r="Q371">
            <v>0</v>
          </cell>
          <cell r="R371">
            <v>0</v>
          </cell>
          <cell r="S371">
            <v>0</v>
          </cell>
          <cell r="T371">
            <v>0</v>
          </cell>
          <cell r="U371">
            <v>0</v>
          </cell>
          <cell r="V371">
            <v>0</v>
          </cell>
          <cell r="W371">
            <v>0</v>
          </cell>
          <cell r="X371">
            <v>0</v>
          </cell>
          <cell r="Y371">
            <v>0</v>
          </cell>
          <cell r="Z371">
            <v>0</v>
          </cell>
          <cell r="AA371">
            <v>0</v>
          </cell>
          <cell r="AB371">
            <v>0</v>
          </cell>
          <cell r="AC371">
            <v>0</v>
          </cell>
          <cell r="AD371">
            <v>0</v>
          </cell>
          <cell r="AE371">
            <v>0</v>
          </cell>
          <cell r="AF371">
            <v>0</v>
          </cell>
          <cell r="AG371">
            <v>0</v>
          </cell>
          <cell r="AH371">
            <v>0</v>
          </cell>
          <cell r="AI371">
            <v>0</v>
          </cell>
          <cell r="AJ371">
            <v>0</v>
          </cell>
          <cell r="AK371">
            <v>0</v>
          </cell>
          <cell r="AL371">
            <v>0</v>
          </cell>
          <cell r="AM371">
            <v>0</v>
          </cell>
          <cell r="AN371">
            <v>0</v>
          </cell>
          <cell r="AO371">
            <v>0</v>
          </cell>
          <cell r="AP371">
            <v>0</v>
          </cell>
          <cell r="AR371">
            <v>0</v>
          </cell>
          <cell r="AS371">
            <v>0</v>
          </cell>
          <cell r="AT371">
            <v>0</v>
          </cell>
        </row>
        <row r="372">
          <cell r="G372">
            <v>44912</v>
          </cell>
          <cell r="J372">
            <v>0</v>
          </cell>
          <cell r="K372">
            <v>0</v>
          </cell>
          <cell r="L372">
            <v>0</v>
          </cell>
          <cell r="M372">
            <v>0</v>
          </cell>
          <cell r="N372">
            <v>0</v>
          </cell>
          <cell r="O372">
            <v>0</v>
          </cell>
          <cell r="P372">
            <v>0</v>
          </cell>
          <cell r="Q372">
            <v>0</v>
          </cell>
          <cell r="R372">
            <v>0</v>
          </cell>
          <cell r="S372">
            <v>0</v>
          </cell>
          <cell r="T372">
            <v>0</v>
          </cell>
          <cell r="U372">
            <v>0</v>
          </cell>
          <cell r="V372">
            <v>0</v>
          </cell>
          <cell r="W372">
            <v>0</v>
          </cell>
          <cell r="X372">
            <v>0</v>
          </cell>
          <cell r="Y372">
            <v>0</v>
          </cell>
          <cell r="Z372">
            <v>0</v>
          </cell>
          <cell r="AA372">
            <v>0</v>
          </cell>
          <cell r="AB372">
            <v>0</v>
          </cell>
          <cell r="AC372">
            <v>0</v>
          </cell>
          <cell r="AD372">
            <v>0</v>
          </cell>
          <cell r="AE372">
            <v>0</v>
          </cell>
          <cell r="AF372">
            <v>0</v>
          </cell>
          <cell r="AG372">
            <v>0</v>
          </cell>
          <cell r="AH372">
            <v>0</v>
          </cell>
          <cell r="AI372">
            <v>0</v>
          </cell>
          <cell r="AJ372">
            <v>0</v>
          </cell>
          <cell r="AK372">
            <v>0</v>
          </cell>
          <cell r="AL372">
            <v>0</v>
          </cell>
          <cell r="AM372">
            <v>0</v>
          </cell>
          <cell r="AN372">
            <v>0</v>
          </cell>
          <cell r="AO372">
            <v>0</v>
          </cell>
          <cell r="AP372">
            <v>0</v>
          </cell>
          <cell r="AR372">
            <v>0</v>
          </cell>
          <cell r="AS372">
            <v>0</v>
          </cell>
          <cell r="AT372">
            <v>0</v>
          </cell>
        </row>
        <row r="373">
          <cell r="G373">
            <v>44913</v>
          </cell>
          <cell r="J373">
            <v>0</v>
          </cell>
          <cell r="K373">
            <v>0</v>
          </cell>
          <cell r="L373">
            <v>0</v>
          </cell>
          <cell r="M373">
            <v>0</v>
          </cell>
          <cell r="N373">
            <v>0</v>
          </cell>
          <cell r="O373">
            <v>0</v>
          </cell>
          <cell r="P373">
            <v>0</v>
          </cell>
          <cell r="Q373">
            <v>0</v>
          </cell>
          <cell r="R373">
            <v>0</v>
          </cell>
          <cell r="S373">
            <v>0</v>
          </cell>
          <cell r="T373">
            <v>0</v>
          </cell>
          <cell r="U373">
            <v>0</v>
          </cell>
          <cell r="V373">
            <v>0</v>
          </cell>
          <cell r="W373">
            <v>0</v>
          </cell>
          <cell r="X373">
            <v>0</v>
          </cell>
          <cell r="Y373">
            <v>0</v>
          </cell>
          <cell r="Z373">
            <v>0</v>
          </cell>
          <cell r="AA373">
            <v>0</v>
          </cell>
          <cell r="AB373">
            <v>0</v>
          </cell>
          <cell r="AC373">
            <v>0</v>
          </cell>
          <cell r="AD373">
            <v>0</v>
          </cell>
          <cell r="AE373">
            <v>0</v>
          </cell>
          <cell r="AF373">
            <v>0</v>
          </cell>
          <cell r="AG373">
            <v>0</v>
          </cell>
          <cell r="AH373">
            <v>0</v>
          </cell>
          <cell r="AI373">
            <v>0</v>
          </cell>
          <cell r="AJ373">
            <v>0</v>
          </cell>
          <cell r="AK373">
            <v>0</v>
          </cell>
          <cell r="AL373">
            <v>0</v>
          </cell>
          <cell r="AM373">
            <v>0</v>
          </cell>
          <cell r="AN373">
            <v>0</v>
          </cell>
          <cell r="AO373">
            <v>0</v>
          </cell>
          <cell r="AP373">
            <v>0</v>
          </cell>
          <cell r="AR373">
            <v>0</v>
          </cell>
          <cell r="AS373">
            <v>0</v>
          </cell>
          <cell r="AT373">
            <v>0</v>
          </cell>
        </row>
        <row r="374">
          <cell r="G374">
            <v>44914</v>
          </cell>
          <cell r="J374">
            <v>0</v>
          </cell>
          <cell r="K374">
            <v>0</v>
          </cell>
          <cell r="L374">
            <v>0</v>
          </cell>
          <cell r="M374">
            <v>0</v>
          </cell>
          <cell r="N374">
            <v>0</v>
          </cell>
          <cell r="O374">
            <v>0</v>
          </cell>
          <cell r="P374">
            <v>0</v>
          </cell>
          <cell r="Q374">
            <v>0</v>
          </cell>
          <cell r="R374">
            <v>0</v>
          </cell>
          <cell r="S374">
            <v>0</v>
          </cell>
          <cell r="T374">
            <v>0</v>
          </cell>
          <cell r="U374">
            <v>0</v>
          </cell>
          <cell r="V374">
            <v>0</v>
          </cell>
          <cell r="W374">
            <v>0</v>
          </cell>
          <cell r="X374">
            <v>0</v>
          </cell>
          <cell r="Y374">
            <v>0</v>
          </cell>
          <cell r="Z374">
            <v>0</v>
          </cell>
          <cell r="AA374">
            <v>0</v>
          </cell>
          <cell r="AB374">
            <v>0</v>
          </cell>
          <cell r="AC374">
            <v>0</v>
          </cell>
          <cell r="AD374">
            <v>0</v>
          </cell>
          <cell r="AE374">
            <v>0</v>
          </cell>
          <cell r="AF374">
            <v>0</v>
          </cell>
          <cell r="AG374">
            <v>0</v>
          </cell>
          <cell r="AH374">
            <v>0</v>
          </cell>
          <cell r="AI374">
            <v>0</v>
          </cell>
          <cell r="AJ374">
            <v>0</v>
          </cell>
          <cell r="AK374">
            <v>0</v>
          </cell>
          <cell r="AL374">
            <v>0</v>
          </cell>
          <cell r="AM374">
            <v>0</v>
          </cell>
          <cell r="AN374">
            <v>0</v>
          </cell>
          <cell r="AO374">
            <v>0</v>
          </cell>
          <cell r="AP374">
            <v>0</v>
          </cell>
          <cell r="AR374">
            <v>0</v>
          </cell>
          <cell r="AS374">
            <v>0</v>
          </cell>
          <cell r="AT374">
            <v>0</v>
          </cell>
        </row>
        <row r="375">
          <cell r="G375">
            <v>44915</v>
          </cell>
          <cell r="J375">
            <v>0</v>
          </cell>
          <cell r="K375">
            <v>0</v>
          </cell>
          <cell r="L375">
            <v>0</v>
          </cell>
          <cell r="M375">
            <v>0</v>
          </cell>
          <cell r="N375">
            <v>0</v>
          </cell>
          <cell r="O375">
            <v>0</v>
          </cell>
          <cell r="P375">
            <v>0</v>
          </cell>
          <cell r="Q375">
            <v>0</v>
          </cell>
          <cell r="R375">
            <v>0</v>
          </cell>
          <cell r="S375">
            <v>0</v>
          </cell>
          <cell r="T375">
            <v>0</v>
          </cell>
          <cell r="U375">
            <v>0</v>
          </cell>
          <cell r="V375">
            <v>0</v>
          </cell>
          <cell r="W375">
            <v>0</v>
          </cell>
          <cell r="X375">
            <v>0</v>
          </cell>
          <cell r="Y375">
            <v>0</v>
          </cell>
          <cell r="Z375">
            <v>0</v>
          </cell>
          <cell r="AA375">
            <v>0</v>
          </cell>
          <cell r="AB375">
            <v>0</v>
          </cell>
          <cell r="AC375">
            <v>0</v>
          </cell>
          <cell r="AD375">
            <v>0</v>
          </cell>
          <cell r="AE375">
            <v>0</v>
          </cell>
          <cell r="AF375">
            <v>0</v>
          </cell>
          <cell r="AG375">
            <v>0</v>
          </cell>
          <cell r="AH375">
            <v>0</v>
          </cell>
          <cell r="AI375">
            <v>0</v>
          </cell>
          <cell r="AJ375">
            <v>0</v>
          </cell>
          <cell r="AK375">
            <v>0</v>
          </cell>
          <cell r="AL375">
            <v>0</v>
          </cell>
          <cell r="AM375">
            <v>0</v>
          </cell>
          <cell r="AN375">
            <v>0</v>
          </cell>
          <cell r="AO375">
            <v>0</v>
          </cell>
          <cell r="AP375">
            <v>0</v>
          </cell>
          <cell r="AR375">
            <v>0</v>
          </cell>
          <cell r="AS375">
            <v>0</v>
          </cell>
          <cell r="AT375">
            <v>0</v>
          </cell>
        </row>
        <row r="376">
          <cell r="G376">
            <v>44916</v>
          </cell>
          <cell r="J376">
            <v>0</v>
          </cell>
          <cell r="K376">
            <v>0</v>
          </cell>
          <cell r="L376">
            <v>0</v>
          </cell>
          <cell r="M376">
            <v>0</v>
          </cell>
          <cell r="N376">
            <v>0</v>
          </cell>
          <cell r="O376">
            <v>0</v>
          </cell>
          <cell r="P376">
            <v>0</v>
          </cell>
          <cell r="Q376">
            <v>0</v>
          </cell>
          <cell r="R376">
            <v>0</v>
          </cell>
          <cell r="S376">
            <v>0</v>
          </cell>
          <cell r="T376">
            <v>0</v>
          </cell>
          <cell r="U376">
            <v>0</v>
          </cell>
          <cell r="V376">
            <v>0</v>
          </cell>
          <cell r="W376">
            <v>0</v>
          </cell>
          <cell r="X376">
            <v>0</v>
          </cell>
          <cell r="Y376">
            <v>0</v>
          </cell>
          <cell r="Z376">
            <v>0</v>
          </cell>
          <cell r="AA376">
            <v>0</v>
          </cell>
          <cell r="AB376">
            <v>0</v>
          </cell>
          <cell r="AC376">
            <v>0</v>
          </cell>
          <cell r="AD376">
            <v>0</v>
          </cell>
          <cell r="AE376">
            <v>0</v>
          </cell>
          <cell r="AF376">
            <v>0</v>
          </cell>
          <cell r="AG376">
            <v>0</v>
          </cell>
          <cell r="AH376">
            <v>0</v>
          </cell>
          <cell r="AI376">
            <v>0</v>
          </cell>
          <cell r="AJ376">
            <v>0</v>
          </cell>
          <cell r="AK376">
            <v>0</v>
          </cell>
          <cell r="AL376">
            <v>0</v>
          </cell>
          <cell r="AM376">
            <v>0</v>
          </cell>
          <cell r="AN376">
            <v>0</v>
          </cell>
          <cell r="AO376">
            <v>0</v>
          </cell>
          <cell r="AP376">
            <v>0</v>
          </cell>
          <cell r="AR376">
            <v>0</v>
          </cell>
          <cell r="AS376">
            <v>0</v>
          </cell>
          <cell r="AT376">
            <v>0</v>
          </cell>
        </row>
        <row r="377">
          <cell r="G377">
            <v>44917</v>
          </cell>
          <cell r="J377">
            <v>0</v>
          </cell>
          <cell r="K377">
            <v>0</v>
          </cell>
          <cell r="L377">
            <v>0</v>
          </cell>
          <cell r="M377">
            <v>0</v>
          </cell>
          <cell r="N377">
            <v>0</v>
          </cell>
          <cell r="O377">
            <v>0</v>
          </cell>
          <cell r="P377">
            <v>0</v>
          </cell>
          <cell r="Q377">
            <v>0</v>
          </cell>
          <cell r="R377">
            <v>0</v>
          </cell>
          <cell r="S377">
            <v>0</v>
          </cell>
          <cell r="T377">
            <v>0</v>
          </cell>
          <cell r="U377">
            <v>0</v>
          </cell>
          <cell r="V377">
            <v>0</v>
          </cell>
          <cell r="W377">
            <v>0</v>
          </cell>
          <cell r="X377">
            <v>0</v>
          </cell>
          <cell r="Y377">
            <v>0</v>
          </cell>
          <cell r="Z377">
            <v>0</v>
          </cell>
          <cell r="AA377">
            <v>0</v>
          </cell>
          <cell r="AB377">
            <v>0</v>
          </cell>
          <cell r="AC377">
            <v>0</v>
          </cell>
          <cell r="AD377">
            <v>0</v>
          </cell>
          <cell r="AE377">
            <v>0</v>
          </cell>
          <cell r="AF377">
            <v>0</v>
          </cell>
          <cell r="AG377">
            <v>0</v>
          </cell>
          <cell r="AH377">
            <v>0</v>
          </cell>
          <cell r="AI377">
            <v>0</v>
          </cell>
          <cell r="AJ377">
            <v>0</v>
          </cell>
          <cell r="AK377">
            <v>0</v>
          </cell>
          <cell r="AL377">
            <v>0</v>
          </cell>
          <cell r="AM377">
            <v>0</v>
          </cell>
          <cell r="AN377">
            <v>0</v>
          </cell>
          <cell r="AO377">
            <v>0</v>
          </cell>
          <cell r="AP377">
            <v>0</v>
          </cell>
          <cell r="AR377">
            <v>0</v>
          </cell>
          <cell r="AS377">
            <v>0</v>
          </cell>
          <cell r="AT377">
            <v>0</v>
          </cell>
        </row>
        <row r="378">
          <cell r="G378">
            <v>44918</v>
          </cell>
          <cell r="J378">
            <v>1</v>
          </cell>
          <cell r="K378">
            <v>0</v>
          </cell>
          <cell r="L378">
            <v>0</v>
          </cell>
          <cell r="M378">
            <v>0</v>
          </cell>
          <cell r="N378">
            <v>0</v>
          </cell>
          <cell r="O378">
            <v>0</v>
          </cell>
          <cell r="P378">
            <v>0</v>
          </cell>
          <cell r="Q378">
            <v>0</v>
          </cell>
          <cell r="R378">
            <v>0</v>
          </cell>
          <cell r="S378">
            <v>0</v>
          </cell>
          <cell r="T378">
            <v>0</v>
          </cell>
          <cell r="U378">
            <v>0</v>
          </cell>
          <cell r="V378">
            <v>0</v>
          </cell>
          <cell r="W378">
            <v>0</v>
          </cell>
          <cell r="X378">
            <v>0</v>
          </cell>
          <cell r="Y378">
            <v>0</v>
          </cell>
          <cell r="Z378">
            <v>0</v>
          </cell>
          <cell r="AA378">
            <v>0</v>
          </cell>
          <cell r="AB378">
            <v>5400</v>
          </cell>
          <cell r="AC378">
            <v>0</v>
          </cell>
          <cell r="AD378">
            <v>0</v>
          </cell>
          <cell r="AE378">
            <v>0</v>
          </cell>
          <cell r="AF378">
            <v>0</v>
          </cell>
          <cell r="AG378">
            <v>0</v>
          </cell>
          <cell r="AH378">
            <v>0</v>
          </cell>
          <cell r="AI378">
            <v>0</v>
          </cell>
          <cell r="AJ378">
            <v>0</v>
          </cell>
          <cell r="AK378">
            <v>0</v>
          </cell>
          <cell r="AL378">
            <v>0</v>
          </cell>
          <cell r="AM378">
            <v>0</v>
          </cell>
          <cell r="AN378">
            <v>0</v>
          </cell>
          <cell r="AO378">
            <v>0</v>
          </cell>
          <cell r="AP378">
            <v>0</v>
          </cell>
          <cell r="AR378">
            <v>0</v>
          </cell>
          <cell r="AS378">
            <v>0</v>
          </cell>
          <cell r="AT378">
            <v>0</v>
          </cell>
        </row>
        <row r="379">
          <cell r="G379">
            <v>44919</v>
          </cell>
          <cell r="J379">
            <v>1</v>
          </cell>
          <cell r="K379">
            <v>0</v>
          </cell>
          <cell r="L379">
            <v>0</v>
          </cell>
          <cell r="M379">
            <v>0</v>
          </cell>
          <cell r="N379">
            <v>0</v>
          </cell>
          <cell r="O379">
            <v>0</v>
          </cell>
          <cell r="P379">
            <v>0</v>
          </cell>
          <cell r="Q379">
            <v>0</v>
          </cell>
          <cell r="R379">
            <v>0</v>
          </cell>
          <cell r="S379">
            <v>0</v>
          </cell>
          <cell r="T379">
            <v>0</v>
          </cell>
          <cell r="U379">
            <v>0</v>
          </cell>
          <cell r="V379">
            <v>0</v>
          </cell>
          <cell r="W379">
            <v>0</v>
          </cell>
          <cell r="X379">
            <v>0</v>
          </cell>
          <cell r="Y379">
            <v>0</v>
          </cell>
          <cell r="Z379">
            <v>0</v>
          </cell>
          <cell r="AA379">
            <v>0</v>
          </cell>
          <cell r="AB379">
            <v>5400</v>
          </cell>
          <cell r="AC379">
            <v>0</v>
          </cell>
          <cell r="AD379">
            <v>0</v>
          </cell>
          <cell r="AE379">
            <v>0</v>
          </cell>
          <cell r="AF379">
            <v>0</v>
          </cell>
          <cell r="AG379">
            <v>0</v>
          </cell>
          <cell r="AH379">
            <v>0</v>
          </cell>
          <cell r="AI379">
            <v>0</v>
          </cell>
          <cell r="AJ379">
            <v>0</v>
          </cell>
          <cell r="AK379">
            <v>0</v>
          </cell>
          <cell r="AL379">
            <v>0</v>
          </cell>
          <cell r="AM379">
            <v>0</v>
          </cell>
          <cell r="AN379">
            <v>0</v>
          </cell>
          <cell r="AO379">
            <v>0</v>
          </cell>
          <cell r="AP379">
            <v>0</v>
          </cell>
          <cell r="AR379">
            <v>0</v>
          </cell>
          <cell r="AS379">
            <v>0</v>
          </cell>
          <cell r="AT379">
            <v>0</v>
          </cell>
        </row>
        <row r="380">
          <cell r="G380">
            <v>44920</v>
          </cell>
          <cell r="J380">
            <v>1</v>
          </cell>
          <cell r="K380">
            <v>0</v>
          </cell>
          <cell r="L380">
            <v>0</v>
          </cell>
          <cell r="M380">
            <v>0</v>
          </cell>
          <cell r="N380">
            <v>0</v>
          </cell>
          <cell r="O380">
            <v>0</v>
          </cell>
          <cell r="P380">
            <v>0</v>
          </cell>
          <cell r="Q380">
            <v>0</v>
          </cell>
          <cell r="R380">
            <v>0</v>
          </cell>
          <cell r="S380">
            <v>0</v>
          </cell>
          <cell r="T380">
            <v>0</v>
          </cell>
          <cell r="U380">
            <v>0</v>
          </cell>
          <cell r="V380">
            <v>0</v>
          </cell>
          <cell r="W380">
            <v>0</v>
          </cell>
          <cell r="X380">
            <v>0</v>
          </cell>
          <cell r="Y380">
            <v>0</v>
          </cell>
          <cell r="Z380">
            <v>0</v>
          </cell>
          <cell r="AA380">
            <v>0</v>
          </cell>
          <cell r="AB380">
            <v>5400</v>
          </cell>
          <cell r="AC380">
            <v>0</v>
          </cell>
          <cell r="AD380">
            <v>0</v>
          </cell>
          <cell r="AE380">
            <v>0</v>
          </cell>
          <cell r="AF380">
            <v>0</v>
          </cell>
          <cell r="AG380">
            <v>0</v>
          </cell>
          <cell r="AH380">
            <v>0</v>
          </cell>
          <cell r="AI380">
            <v>0</v>
          </cell>
          <cell r="AJ380">
            <v>0</v>
          </cell>
          <cell r="AK380">
            <v>0</v>
          </cell>
          <cell r="AL380">
            <v>0</v>
          </cell>
          <cell r="AM380">
            <v>0</v>
          </cell>
          <cell r="AN380">
            <v>0</v>
          </cell>
          <cell r="AO380">
            <v>0</v>
          </cell>
          <cell r="AP380">
            <v>0</v>
          </cell>
          <cell r="AR380">
            <v>0</v>
          </cell>
          <cell r="AS380">
            <v>0</v>
          </cell>
          <cell r="AT380">
            <v>0</v>
          </cell>
        </row>
        <row r="381">
          <cell r="G381">
            <v>44921</v>
          </cell>
          <cell r="J381">
            <v>1</v>
          </cell>
          <cell r="K381">
            <v>0</v>
          </cell>
          <cell r="L381">
            <v>0</v>
          </cell>
          <cell r="M381">
            <v>0</v>
          </cell>
          <cell r="N381">
            <v>0</v>
          </cell>
          <cell r="O381">
            <v>0</v>
          </cell>
          <cell r="P381">
            <v>0</v>
          </cell>
          <cell r="Q381">
            <v>0</v>
          </cell>
          <cell r="R381">
            <v>0</v>
          </cell>
          <cell r="S381">
            <v>0</v>
          </cell>
          <cell r="T381">
            <v>0</v>
          </cell>
          <cell r="U381">
            <v>0</v>
          </cell>
          <cell r="V381">
            <v>0</v>
          </cell>
          <cell r="W381">
            <v>0</v>
          </cell>
          <cell r="X381">
            <v>0</v>
          </cell>
          <cell r="Y381">
            <v>0</v>
          </cell>
          <cell r="Z381">
            <v>0</v>
          </cell>
          <cell r="AA381">
            <v>0</v>
          </cell>
          <cell r="AB381">
            <v>5400</v>
          </cell>
          <cell r="AC381">
            <v>0</v>
          </cell>
          <cell r="AD381">
            <v>0</v>
          </cell>
          <cell r="AE381">
            <v>0</v>
          </cell>
          <cell r="AF381">
            <v>0</v>
          </cell>
          <cell r="AG381">
            <v>0</v>
          </cell>
          <cell r="AH381">
            <v>0</v>
          </cell>
          <cell r="AI381">
            <v>0</v>
          </cell>
          <cell r="AJ381">
            <v>0</v>
          </cell>
          <cell r="AK381">
            <v>0</v>
          </cell>
          <cell r="AL381">
            <v>0</v>
          </cell>
          <cell r="AM381">
            <v>0</v>
          </cell>
          <cell r="AN381">
            <v>0</v>
          </cell>
          <cell r="AO381">
            <v>0</v>
          </cell>
          <cell r="AP381">
            <v>0</v>
          </cell>
          <cell r="AR381">
            <v>0</v>
          </cell>
          <cell r="AS381">
            <v>0</v>
          </cell>
          <cell r="AT381">
            <v>0</v>
          </cell>
        </row>
        <row r="382">
          <cell r="G382">
            <v>44922</v>
          </cell>
          <cell r="J382">
            <v>1</v>
          </cell>
          <cell r="K382">
            <v>0</v>
          </cell>
          <cell r="L382">
            <v>0</v>
          </cell>
          <cell r="M382">
            <v>0</v>
          </cell>
          <cell r="N382">
            <v>0</v>
          </cell>
          <cell r="O382">
            <v>0</v>
          </cell>
          <cell r="P382">
            <v>0</v>
          </cell>
          <cell r="Q382">
            <v>0</v>
          </cell>
          <cell r="R382">
            <v>0</v>
          </cell>
          <cell r="S382">
            <v>0</v>
          </cell>
          <cell r="T382">
            <v>0</v>
          </cell>
          <cell r="U382">
            <v>0</v>
          </cell>
          <cell r="V382">
            <v>0</v>
          </cell>
          <cell r="W382">
            <v>0</v>
          </cell>
          <cell r="X382">
            <v>0</v>
          </cell>
          <cell r="Y382">
            <v>0</v>
          </cell>
          <cell r="Z382">
            <v>0</v>
          </cell>
          <cell r="AA382">
            <v>0</v>
          </cell>
          <cell r="AB382">
            <v>5400</v>
          </cell>
          <cell r="AC382">
            <v>0</v>
          </cell>
          <cell r="AD382">
            <v>0</v>
          </cell>
          <cell r="AE382">
            <v>0</v>
          </cell>
          <cell r="AF382">
            <v>0</v>
          </cell>
          <cell r="AG382">
            <v>0</v>
          </cell>
          <cell r="AH382">
            <v>0</v>
          </cell>
          <cell r="AI382">
            <v>0</v>
          </cell>
          <cell r="AJ382">
            <v>0</v>
          </cell>
          <cell r="AK382">
            <v>0</v>
          </cell>
          <cell r="AL382">
            <v>0</v>
          </cell>
          <cell r="AM382">
            <v>0</v>
          </cell>
          <cell r="AN382">
            <v>0</v>
          </cell>
          <cell r="AO382">
            <v>0</v>
          </cell>
          <cell r="AP382">
            <v>0</v>
          </cell>
          <cell r="AR382">
            <v>0</v>
          </cell>
          <cell r="AS382">
            <v>0</v>
          </cell>
          <cell r="AT382">
            <v>0</v>
          </cell>
        </row>
        <row r="383">
          <cell r="G383">
            <v>44923</v>
          </cell>
          <cell r="J383">
            <v>1</v>
          </cell>
          <cell r="K383">
            <v>0</v>
          </cell>
          <cell r="L383">
            <v>0</v>
          </cell>
          <cell r="M383">
            <v>0</v>
          </cell>
          <cell r="N383">
            <v>0</v>
          </cell>
          <cell r="O383">
            <v>0</v>
          </cell>
          <cell r="P383">
            <v>0</v>
          </cell>
          <cell r="Q383">
            <v>0</v>
          </cell>
          <cell r="R383">
            <v>0</v>
          </cell>
          <cell r="S383">
            <v>0</v>
          </cell>
          <cell r="T383">
            <v>0</v>
          </cell>
          <cell r="U383">
            <v>0</v>
          </cell>
          <cell r="V383">
            <v>0</v>
          </cell>
          <cell r="W383">
            <v>0</v>
          </cell>
          <cell r="X383">
            <v>0</v>
          </cell>
          <cell r="Y383">
            <v>0</v>
          </cell>
          <cell r="Z383">
            <v>0</v>
          </cell>
          <cell r="AA383">
            <v>0</v>
          </cell>
          <cell r="AB383">
            <v>5400</v>
          </cell>
          <cell r="AC383">
            <v>0</v>
          </cell>
          <cell r="AD383">
            <v>0</v>
          </cell>
          <cell r="AE383">
            <v>0</v>
          </cell>
          <cell r="AF383">
            <v>0</v>
          </cell>
          <cell r="AG383">
            <v>0</v>
          </cell>
          <cell r="AH383">
            <v>0</v>
          </cell>
          <cell r="AI383">
            <v>0</v>
          </cell>
          <cell r="AJ383">
            <v>0</v>
          </cell>
          <cell r="AK383">
            <v>0</v>
          </cell>
          <cell r="AL383">
            <v>0</v>
          </cell>
          <cell r="AM383">
            <v>0</v>
          </cell>
          <cell r="AN383">
            <v>0</v>
          </cell>
          <cell r="AO383">
            <v>0</v>
          </cell>
          <cell r="AP383">
            <v>0</v>
          </cell>
          <cell r="AR383">
            <v>0</v>
          </cell>
          <cell r="AS383">
            <v>0</v>
          </cell>
          <cell r="AT383">
            <v>0</v>
          </cell>
        </row>
        <row r="384">
          <cell r="G384">
            <v>44924</v>
          </cell>
          <cell r="J384">
            <v>1</v>
          </cell>
          <cell r="K384">
            <v>0</v>
          </cell>
          <cell r="L384">
            <v>0</v>
          </cell>
          <cell r="M384">
            <v>0</v>
          </cell>
          <cell r="N384">
            <v>0</v>
          </cell>
          <cell r="O384">
            <v>0</v>
          </cell>
          <cell r="P384">
            <v>0</v>
          </cell>
          <cell r="Q384">
            <v>0</v>
          </cell>
          <cell r="R384">
            <v>0</v>
          </cell>
          <cell r="S384">
            <v>0</v>
          </cell>
          <cell r="T384">
            <v>0</v>
          </cell>
          <cell r="U384">
            <v>0</v>
          </cell>
          <cell r="V384">
            <v>0</v>
          </cell>
          <cell r="W384">
            <v>0</v>
          </cell>
          <cell r="X384">
            <v>0</v>
          </cell>
          <cell r="Y384">
            <v>0</v>
          </cell>
          <cell r="Z384">
            <v>0</v>
          </cell>
          <cell r="AA384">
            <v>0</v>
          </cell>
          <cell r="AB384">
            <v>5400</v>
          </cell>
          <cell r="AC384">
            <v>0</v>
          </cell>
          <cell r="AD384">
            <v>0</v>
          </cell>
          <cell r="AE384">
            <v>0</v>
          </cell>
          <cell r="AF384">
            <v>0</v>
          </cell>
          <cell r="AG384">
            <v>0</v>
          </cell>
          <cell r="AH384">
            <v>0</v>
          </cell>
          <cell r="AI384">
            <v>0</v>
          </cell>
          <cell r="AJ384">
            <v>0</v>
          </cell>
          <cell r="AK384">
            <v>0</v>
          </cell>
          <cell r="AL384">
            <v>0</v>
          </cell>
          <cell r="AM384">
            <v>0</v>
          </cell>
          <cell r="AN384">
            <v>0</v>
          </cell>
          <cell r="AO384">
            <v>0</v>
          </cell>
          <cell r="AP384">
            <v>0</v>
          </cell>
          <cell r="AR384">
            <v>0</v>
          </cell>
          <cell r="AS384">
            <v>0</v>
          </cell>
          <cell r="AT384">
            <v>0</v>
          </cell>
        </row>
        <row r="385">
          <cell r="G385">
            <v>44925</v>
          </cell>
          <cell r="J385">
            <v>1</v>
          </cell>
          <cell r="K385">
            <v>0</v>
          </cell>
          <cell r="L385">
            <v>0</v>
          </cell>
          <cell r="M385">
            <v>0</v>
          </cell>
          <cell r="N385">
            <v>0</v>
          </cell>
          <cell r="O385">
            <v>0</v>
          </cell>
          <cell r="P385">
            <v>0</v>
          </cell>
          <cell r="Q385">
            <v>0</v>
          </cell>
          <cell r="R385">
            <v>0</v>
          </cell>
          <cell r="S385">
            <v>0</v>
          </cell>
          <cell r="T385">
            <v>0</v>
          </cell>
          <cell r="U385">
            <v>0</v>
          </cell>
          <cell r="V385">
            <v>0</v>
          </cell>
          <cell r="W385">
            <v>0</v>
          </cell>
          <cell r="X385">
            <v>0</v>
          </cell>
          <cell r="Y385">
            <v>0</v>
          </cell>
          <cell r="Z385">
            <v>0</v>
          </cell>
          <cell r="AA385">
            <v>0</v>
          </cell>
          <cell r="AB385">
            <v>5400</v>
          </cell>
          <cell r="AC385">
            <v>0</v>
          </cell>
          <cell r="AD385">
            <v>0</v>
          </cell>
          <cell r="AE385">
            <v>0</v>
          </cell>
          <cell r="AF385">
            <v>0</v>
          </cell>
          <cell r="AG385">
            <v>0</v>
          </cell>
          <cell r="AH385">
            <v>0</v>
          </cell>
          <cell r="AI385">
            <v>0</v>
          </cell>
          <cell r="AJ385">
            <v>0</v>
          </cell>
          <cell r="AK385">
            <v>0</v>
          </cell>
          <cell r="AL385">
            <v>0</v>
          </cell>
          <cell r="AM385">
            <v>0</v>
          </cell>
          <cell r="AN385">
            <v>0</v>
          </cell>
          <cell r="AO385">
            <v>0</v>
          </cell>
          <cell r="AP385">
            <v>0</v>
          </cell>
          <cell r="AR385">
            <v>0</v>
          </cell>
          <cell r="AS385">
            <v>0</v>
          </cell>
          <cell r="AT385">
            <v>0</v>
          </cell>
        </row>
        <row r="386">
          <cell r="G386">
            <v>44926</v>
          </cell>
          <cell r="J386">
            <v>0</v>
          </cell>
          <cell r="K386">
            <v>0</v>
          </cell>
          <cell r="L386">
            <v>0</v>
          </cell>
          <cell r="M386">
            <v>0</v>
          </cell>
          <cell r="N386">
            <v>0</v>
          </cell>
          <cell r="O386">
            <v>0</v>
          </cell>
          <cell r="P386">
            <v>0</v>
          </cell>
          <cell r="Q386">
            <v>0</v>
          </cell>
          <cell r="R386">
            <v>0</v>
          </cell>
          <cell r="S386">
            <v>0</v>
          </cell>
          <cell r="T386">
            <v>0</v>
          </cell>
          <cell r="U386">
            <v>0</v>
          </cell>
          <cell r="V386">
            <v>0</v>
          </cell>
          <cell r="W386">
            <v>0</v>
          </cell>
          <cell r="X386">
            <v>0</v>
          </cell>
          <cell r="Y386">
            <v>0</v>
          </cell>
          <cell r="Z386">
            <v>0</v>
          </cell>
          <cell r="AA386">
            <v>0</v>
          </cell>
          <cell r="AB386">
            <v>0</v>
          </cell>
          <cell r="AC386">
            <v>0</v>
          </cell>
          <cell r="AD386">
            <v>0</v>
          </cell>
          <cell r="AE386">
            <v>0</v>
          </cell>
          <cell r="AF386">
            <v>0</v>
          </cell>
          <cell r="AG386">
            <v>0</v>
          </cell>
          <cell r="AH386">
            <v>0</v>
          </cell>
          <cell r="AI386">
            <v>0</v>
          </cell>
          <cell r="AJ386">
            <v>0</v>
          </cell>
          <cell r="AK386">
            <v>0</v>
          </cell>
          <cell r="AL386">
            <v>0</v>
          </cell>
          <cell r="AM386">
            <v>0</v>
          </cell>
          <cell r="AN386">
            <v>0</v>
          </cell>
          <cell r="AO386">
            <v>0</v>
          </cell>
          <cell r="AP386">
            <v>0</v>
          </cell>
          <cell r="AR386">
            <v>0</v>
          </cell>
          <cell r="AS386">
            <v>0</v>
          </cell>
          <cell r="AT386">
            <v>0</v>
          </cell>
        </row>
        <row r="387">
          <cell r="G387" t="str">
            <v/>
          </cell>
          <cell r="J387">
            <v>0</v>
          </cell>
          <cell r="K387">
            <v>0</v>
          </cell>
          <cell r="L387">
            <v>0</v>
          </cell>
          <cell r="M387">
            <v>0</v>
          </cell>
          <cell r="N387">
            <v>0</v>
          </cell>
          <cell r="O387">
            <v>0</v>
          </cell>
          <cell r="P387">
            <v>0</v>
          </cell>
          <cell r="Q387">
            <v>0</v>
          </cell>
          <cell r="R387">
            <v>0</v>
          </cell>
          <cell r="S387">
            <v>0</v>
          </cell>
          <cell r="T387">
            <v>0</v>
          </cell>
          <cell r="U387">
            <v>0</v>
          </cell>
          <cell r="V387">
            <v>0</v>
          </cell>
          <cell r="W387">
            <v>0</v>
          </cell>
          <cell r="X387">
            <v>0</v>
          </cell>
          <cell r="Y387">
            <v>0</v>
          </cell>
          <cell r="Z387">
            <v>0</v>
          </cell>
          <cell r="AA387">
            <v>0</v>
          </cell>
          <cell r="AB387">
            <v>0</v>
          </cell>
          <cell r="AC387">
            <v>0</v>
          </cell>
          <cell r="AD387">
            <v>0</v>
          </cell>
          <cell r="AE387">
            <v>0</v>
          </cell>
          <cell r="AF387">
            <v>0</v>
          </cell>
          <cell r="AG387">
            <v>0</v>
          </cell>
          <cell r="AH387">
            <v>0</v>
          </cell>
          <cell r="AI387">
            <v>0</v>
          </cell>
          <cell r="AJ387">
            <v>0</v>
          </cell>
          <cell r="AK387">
            <v>0</v>
          </cell>
          <cell r="AL387">
            <v>0</v>
          </cell>
          <cell r="AM387">
            <v>0</v>
          </cell>
          <cell r="AN387">
            <v>0</v>
          </cell>
          <cell r="AO387">
            <v>0</v>
          </cell>
          <cell r="AP387">
            <v>0</v>
          </cell>
          <cell r="AR387">
            <v>0</v>
          </cell>
          <cell r="AS387">
            <v>0</v>
          </cell>
          <cell r="AT387">
            <v>0</v>
          </cell>
        </row>
      </sheetData>
      <sheetData sheetId="21"/>
      <sheetData sheetId="22"/>
      <sheetData sheetId="23"/>
      <sheetData sheetId="24"/>
      <sheetData sheetId="25"/>
      <sheetData sheetId="26"/>
      <sheetData sheetId="27">
        <row r="5">
          <cell r="X5">
            <v>44562</v>
          </cell>
          <cell r="Y5">
            <v>44198</v>
          </cell>
        </row>
        <row r="6">
          <cell r="P6">
            <v>44562</v>
          </cell>
          <cell r="Q6" t="str">
            <v>New Year</v>
          </cell>
          <cell r="R6" t="str">
            <v xml:space="preserve">High </v>
          </cell>
          <cell r="X6">
            <v>44563</v>
          </cell>
          <cell r="Y6">
            <v>44199</v>
          </cell>
        </row>
        <row r="7">
          <cell r="P7">
            <v>44563</v>
          </cell>
          <cell r="Q7"/>
          <cell r="R7"/>
          <cell r="X7">
            <v>44564</v>
          </cell>
          <cell r="Y7">
            <v>44200</v>
          </cell>
        </row>
        <row r="8">
          <cell r="P8">
            <v>44564</v>
          </cell>
          <cell r="Q8"/>
          <cell r="R8"/>
          <cell r="X8">
            <v>44565</v>
          </cell>
          <cell r="Y8">
            <v>44201</v>
          </cell>
          <cell r="AB8">
            <v>1</v>
          </cell>
          <cell r="AC8" t="str">
            <v>January</v>
          </cell>
        </row>
        <row r="9">
          <cell r="P9">
            <v>44565</v>
          </cell>
          <cell r="Q9"/>
          <cell r="R9"/>
          <cell r="X9">
            <v>44566</v>
          </cell>
          <cell r="Y9">
            <v>44202</v>
          </cell>
          <cell r="AB9">
            <v>2</v>
          </cell>
          <cell r="AC9" t="str">
            <v>February</v>
          </cell>
        </row>
        <row r="10">
          <cell r="P10">
            <v>44566</v>
          </cell>
          <cell r="Q10"/>
          <cell r="R10"/>
          <cell r="X10">
            <v>44567</v>
          </cell>
          <cell r="Y10">
            <v>44203</v>
          </cell>
          <cell r="AB10">
            <v>3</v>
          </cell>
          <cell r="AC10" t="str">
            <v>March</v>
          </cell>
        </row>
        <row r="11">
          <cell r="P11">
            <v>44567</v>
          </cell>
          <cell r="Q11"/>
          <cell r="R11"/>
          <cell r="X11">
            <v>44568</v>
          </cell>
          <cell r="Y11">
            <v>44204</v>
          </cell>
          <cell r="AB11">
            <v>4</v>
          </cell>
          <cell r="AC11" t="str">
            <v>April</v>
          </cell>
        </row>
        <row r="12">
          <cell r="P12">
            <v>44568</v>
          </cell>
          <cell r="Q12"/>
          <cell r="R12"/>
          <cell r="X12">
            <v>44569</v>
          </cell>
          <cell r="Y12">
            <v>44205</v>
          </cell>
          <cell r="AB12">
            <v>5</v>
          </cell>
          <cell r="AC12" t="str">
            <v>May</v>
          </cell>
        </row>
        <row r="13">
          <cell r="P13">
            <v>44569</v>
          </cell>
          <cell r="Q13"/>
          <cell r="R13"/>
          <cell r="X13">
            <v>44570</v>
          </cell>
          <cell r="Y13">
            <v>44206</v>
          </cell>
          <cell r="AB13">
            <v>6</v>
          </cell>
          <cell r="AC13" t="str">
            <v>June</v>
          </cell>
        </row>
        <row r="14">
          <cell r="P14">
            <v>44570</v>
          </cell>
          <cell r="Q14"/>
          <cell r="R14"/>
          <cell r="X14">
            <v>44571</v>
          </cell>
          <cell r="Y14">
            <v>44207</v>
          </cell>
          <cell r="AB14">
            <v>7</v>
          </cell>
          <cell r="AC14" t="str">
            <v>July</v>
          </cell>
        </row>
        <row r="15">
          <cell r="P15">
            <v>44571</v>
          </cell>
          <cell r="Q15"/>
          <cell r="R15"/>
          <cell r="X15">
            <v>44572</v>
          </cell>
          <cell r="Y15">
            <v>44208</v>
          </cell>
          <cell r="AB15">
            <v>8</v>
          </cell>
          <cell r="AC15" t="str">
            <v>August</v>
          </cell>
        </row>
        <row r="16">
          <cell r="P16">
            <v>44572</v>
          </cell>
          <cell r="Q16"/>
          <cell r="R16"/>
          <cell r="X16">
            <v>44573</v>
          </cell>
          <cell r="Y16">
            <v>44209</v>
          </cell>
          <cell r="AB16">
            <v>9</v>
          </cell>
          <cell r="AC16" t="str">
            <v>September</v>
          </cell>
        </row>
        <row r="17">
          <cell r="P17">
            <v>44573</v>
          </cell>
          <cell r="Q17"/>
          <cell r="R17"/>
          <cell r="X17">
            <v>44574</v>
          </cell>
          <cell r="Y17">
            <v>44210</v>
          </cell>
          <cell r="AB17">
            <v>10</v>
          </cell>
          <cell r="AC17" t="str">
            <v>October</v>
          </cell>
        </row>
        <row r="18">
          <cell r="P18">
            <v>44574</v>
          </cell>
          <cell r="Q18"/>
          <cell r="R18"/>
          <cell r="X18">
            <v>44575</v>
          </cell>
          <cell r="Y18">
            <v>44211</v>
          </cell>
          <cell r="AB18">
            <v>11</v>
          </cell>
          <cell r="AC18" t="str">
            <v>November</v>
          </cell>
        </row>
        <row r="19">
          <cell r="P19">
            <v>44575</v>
          </cell>
          <cell r="Q19" t="str">
            <v>Pongal</v>
          </cell>
          <cell r="R19" t="str">
            <v xml:space="preserve">Medium </v>
          </cell>
          <cell r="X19">
            <v>44576</v>
          </cell>
          <cell r="Y19">
            <v>44212</v>
          </cell>
          <cell r="AB19">
            <v>12</v>
          </cell>
          <cell r="AC19" t="str">
            <v>December</v>
          </cell>
        </row>
        <row r="20">
          <cell r="P20">
            <v>44576</v>
          </cell>
          <cell r="Q20" t="str">
            <v>Thiruvalluvar Day</v>
          </cell>
          <cell r="R20" t="str">
            <v xml:space="preserve">Medium </v>
          </cell>
          <cell r="X20">
            <v>44577</v>
          </cell>
          <cell r="Y20">
            <v>44213</v>
          </cell>
        </row>
        <row r="21">
          <cell r="P21">
            <v>44577</v>
          </cell>
          <cell r="Q21" t="str">
            <v>Pongal</v>
          </cell>
          <cell r="R21" t="str">
            <v xml:space="preserve">Medium </v>
          </cell>
          <cell r="X21">
            <v>44578</v>
          </cell>
          <cell r="Y21">
            <v>44214</v>
          </cell>
        </row>
        <row r="22">
          <cell r="P22">
            <v>44578</v>
          </cell>
          <cell r="Q22"/>
          <cell r="R22"/>
          <cell r="X22">
            <v>44579</v>
          </cell>
          <cell r="Y22">
            <v>44215</v>
          </cell>
        </row>
        <row r="23">
          <cell r="P23">
            <v>44579</v>
          </cell>
          <cell r="Q23"/>
          <cell r="R23"/>
          <cell r="X23">
            <v>44580</v>
          </cell>
          <cell r="Y23">
            <v>44216</v>
          </cell>
        </row>
        <row r="24">
          <cell r="P24">
            <v>44580</v>
          </cell>
          <cell r="Q24"/>
          <cell r="R24"/>
          <cell r="X24">
            <v>44581</v>
          </cell>
          <cell r="Y24">
            <v>44217</v>
          </cell>
        </row>
        <row r="25">
          <cell r="P25">
            <v>44581</v>
          </cell>
          <cell r="Q25"/>
          <cell r="R25"/>
          <cell r="X25">
            <v>44582</v>
          </cell>
          <cell r="Y25">
            <v>44218</v>
          </cell>
        </row>
        <row r="26">
          <cell r="P26">
            <v>44582</v>
          </cell>
          <cell r="Q26"/>
          <cell r="R26"/>
          <cell r="X26">
            <v>44583</v>
          </cell>
          <cell r="Y26">
            <v>44219</v>
          </cell>
        </row>
        <row r="27">
          <cell r="P27">
            <v>44583</v>
          </cell>
          <cell r="Q27"/>
          <cell r="R27"/>
          <cell r="X27">
            <v>44584</v>
          </cell>
          <cell r="Y27">
            <v>44220</v>
          </cell>
        </row>
        <row r="28">
          <cell r="P28">
            <v>44584</v>
          </cell>
          <cell r="Q28"/>
          <cell r="R28"/>
          <cell r="X28">
            <v>44585</v>
          </cell>
          <cell r="Y28">
            <v>44221</v>
          </cell>
        </row>
        <row r="29">
          <cell r="P29">
            <v>44585</v>
          </cell>
          <cell r="Q29"/>
          <cell r="R29"/>
          <cell r="X29">
            <v>44586</v>
          </cell>
          <cell r="Y29">
            <v>44222</v>
          </cell>
        </row>
        <row r="30">
          <cell r="P30">
            <v>44586</v>
          </cell>
          <cell r="Q30"/>
          <cell r="R30"/>
          <cell r="X30">
            <v>44587</v>
          </cell>
          <cell r="Y30">
            <v>44223</v>
          </cell>
        </row>
        <row r="31">
          <cell r="P31">
            <v>44587</v>
          </cell>
          <cell r="Q31" t="str">
            <v>Republic Day</v>
          </cell>
          <cell r="R31"/>
          <cell r="X31">
            <v>44588</v>
          </cell>
          <cell r="Y31">
            <v>44224</v>
          </cell>
        </row>
        <row r="32">
          <cell r="P32">
            <v>44588</v>
          </cell>
          <cell r="Q32"/>
          <cell r="R32"/>
          <cell r="X32">
            <v>44589</v>
          </cell>
          <cell r="Y32">
            <v>44225</v>
          </cell>
        </row>
        <row r="33">
          <cell r="P33">
            <v>44589</v>
          </cell>
          <cell r="Q33"/>
          <cell r="R33"/>
          <cell r="X33">
            <v>44590</v>
          </cell>
          <cell r="Y33">
            <v>44226</v>
          </cell>
        </row>
        <row r="34">
          <cell r="P34">
            <v>44590</v>
          </cell>
          <cell r="Q34"/>
          <cell r="R34"/>
          <cell r="X34">
            <v>44591</v>
          </cell>
          <cell r="Y34">
            <v>44227</v>
          </cell>
        </row>
        <row r="35">
          <cell r="P35">
            <v>44591</v>
          </cell>
          <cell r="Q35"/>
          <cell r="R35"/>
          <cell r="X35">
            <v>44592</v>
          </cell>
          <cell r="Y35">
            <v>44228</v>
          </cell>
        </row>
        <row r="36">
          <cell r="P36">
            <v>44592</v>
          </cell>
          <cell r="Q36"/>
          <cell r="R36"/>
          <cell r="X36">
            <v>44593</v>
          </cell>
          <cell r="Y36">
            <v>44229</v>
          </cell>
        </row>
        <row r="37">
          <cell r="P37">
            <v>44593</v>
          </cell>
          <cell r="Q37"/>
          <cell r="R37"/>
          <cell r="X37">
            <v>44594</v>
          </cell>
          <cell r="Y37">
            <v>44230</v>
          </cell>
        </row>
        <row r="38">
          <cell r="P38">
            <v>44594</v>
          </cell>
          <cell r="Q38"/>
          <cell r="R38"/>
          <cell r="X38">
            <v>44595</v>
          </cell>
          <cell r="Y38">
            <v>44231</v>
          </cell>
        </row>
        <row r="39">
          <cell r="P39">
            <v>44595</v>
          </cell>
          <cell r="Q39"/>
          <cell r="R39"/>
          <cell r="X39">
            <v>44596</v>
          </cell>
          <cell r="Y39">
            <v>44232</v>
          </cell>
        </row>
        <row r="40">
          <cell r="P40">
            <v>44596</v>
          </cell>
          <cell r="Q40"/>
          <cell r="R40"/>
          <cell r="X40">
            <v>44597</v>
          </cell>
          <cell r="Y40">
            <v>44233</v>
          </cell>
        </row>
        <row r="41">
          <cell r="P41">
            <v>44597</v>
          </cell>
          <cell r="Q41"/>
          <cell r="R41"/>
          <cell r="X41">
            <v>44598</v>
          </cell>
          <cell r="Y41">
            <v>44234</v>
          </cell>
        </row>
        <row r="42">
          <cell r="P42">
            <v>44598</v>
          </cell>
          <cell r="Q42"/>
          <cell r="R42"/>
          <cell r="X42">
            <v>44599</v>
          </cell>
          <cell r="Y42">
            <v>44235</v>
          </cell>
        </row>
        <row r="43">
          <cell r="P43">
            <v>44599</v>
          </cell>
          <cell r="Q43"/>
          <cell r="R43"/>
          <cell r="X43">
            <v>44600</v>
          </cell>
          <cell r="Y43">
            <v>44236</v>
          </cell>
        </row>
        <row r="44">
          <cell r="P44">
            <v>44600</v>
          </cell>
          <cell r="Q44"/>
          <cell r="R44"/>
          <cell r="X44">
            <v>44601</v>
          </cell>
          <cell r="Y44">
            <v>44237</v>
          </cell>
        </row>
        <row r="45">
          <cell r="P45">
            <v>44601</v>
          </cell>
          <cell r="Q45"/>
          <cell r="R45"/>
          <cell r="X45">
            <v>44602</v>
          </cell>
          <cell r="Y45">
            <v>44238</v>
          </cell>
        </row>
        <row r="46">
          <cell r="P46">
            <v>44602</v>
          </cell>
          <cell r="Q46"/>
          <cell r="R46"/>
          <cell r="X46">
            <v>44603</v>
          </cell>
          <cell r="Y46">
            <v>44239</v>
          </cell>
        </row>
        <row r="47">
          <cell r="P47">
            <v>44603</v>
          </cell>
          <cell r="Q47"/>
          <cell r="R47"/>
          <cell r="X47">
            <v>44604</v>
          </cell>
          <cell r="Y47">
            <v>44240</v>
          </cell>
        </row>
        <row r="48">
          <cell r="P48">
            <v>44604</v>
          </cell>
          <cell r="Q48" t="str">
            <v>Chinese New Year</v>
          </cell>
          <cell r="R48" t="str">
            <v xml:space="preserve">Medium </v>
          </cell>
          <cell r="X48">
            <v>44605</v>
          </cell>
          <cell r="Y48">
            <v>44241</v>
          </cell>
        </row>
        <row r="49">
          <cell r="P49">
            <v>44240</v>
          </cell>
          <cell r="Q49" t="str">
            <v>Chinese New Year</v>
          </cell>
          <cell r="R49" t="str">
            <v xml:space="preserve">Medium </v>
          </cell>
          <cell r="X49"/>
          <cell r="Y49"/>
        </row>
        <row r="50">
          <cell r="P50">
            <v>44241</v>
          </cell>
          <cell r="Q50"/>
          <cell r="R50"/>
          <cell r="X50">
            <v>44606</v>
          </cell>
          <cell r="Y50">
            <v>44242</v>
          </cell>
        </row>
        <row r="51">
          <cell r="P51">
            <v>44242</v>
          </cell>
          <cell r="Q51"/>
          <cell r="R51"/>
          <cell r="X51">
            <v>44607</v>
          </cell>
          <cell r="Y51">
            <v>44243</v>
          </cell>
        </row>
        <row r="52">
          <cell r="P52">
            <v>44243</v>
          </cell>
          <cell r="Q52"/>
          <cell r="R52"/>
          <cell r="X52">
            <v>44608</v>
          </cell>
          <cell r="Y52">
            <v>44244</v>
          </cell>
        </row>
        <row r="53">
          <cell r="P53">
            <v>44244</v>
          </cell>
          <cell r="Q53"/>
          <cell r="R53"/>
          <cell r="X53">
            <v>44609</v>
          </cell>
          <cell r="Y53">
            <v>44245</v>
          </cell>
        </row>
        <row r="54">
          <cell r="P54">
            <v>44245</v>
          </cell>
          <cell r="Q54"/>
          <cell r="R54"/>
          <cell r="X54">
            <v>44610</v>
          </cell>
          <cell r="Y54">
            <v>44246</v>
          </cell>
        </row>
        <row r="55">
          <cell r="P55">
            <v>44246</v>
          </cell>
          <cell r="Q55"/>
          <cell r="R55"/>
          <cell r="X55">
            <v>44611</v>
          </cell>
          <cell r="Y55">
            <v>44247</v>
          </cell>
        </row>
        <row r="56">
          <cell r="P56">
            <v>44247</v>
          </cell>
          <cell r="Q56"/>
          <cell r="R56"/>
          <cell r="X56">
            <v>44612</v>
          </cell>
          <cell r="Y56">
            <v>44248</v>
          </cell>
        </row>
        <row r="57">
          <cell r="P57">
            <v>44248</v>
          </cell>
          <cell r="Q57"/>
          <cell r="R57"/>
          <cell r="X57">
            <v>44613</v>
          </cell>
          <cell r="Y57">
            <v>44249</v>
          </cell>
          <cell r="AO57"/>
          <cell r="AP57" t="str">
            <v>Jan</v>
          </cell>
          <cell r="AQ57" t="str">
            <v>Feb</v>
          </cell>
          <cell r="AR57" t="str">
            <v>Mar</v>
          </cell>
          <cell r="AS57" t="str">
            <v>Apr</v>
          </cell>
          <cell r="AT57" t="str">
            <v>May</v>
          </cell>
          <cell r="AU57" t="str">
            <v>Jun</v>
          </cell>
          <cell r="AV57" t="str">
            <v>Jul</v>
          </cell>
          <cell r="AW57" t="str">
            <v>Aug</v>
          </cell>
          <cell r="AX57" t="str">
            <v>Sep</v>
          </cell>
          <cell r="AY57" t="str">
            <v>Oct</v>
          </cell>
          <cell r="AZ57" t="str">
            <v>Nov</v>
          </cell>
          <cell r="BA57" t="str">
            <v>Dec</v>
          </cell>
          <cell r="BB57" t="str">
            <v>Total</v>
          </cell>
        </row>
        <row r="58">
          <cell r="P58">
            <v>44249</v>
          </cell>
          <cell r="Q58"/>
          <cell r="R58"/>
          <cell r="X58">
            <v>44614</v>
          </cell>
          <cell r="Y58">
            <v>44250</v>
          </cell>
          <cell r="AO58" t="str">
            <v>Best Flexible Rate</v>
          </cell>
          <cell r="AP58">
            <v>127.02400000000002</v>
          </cell>
          <cell r="AQ58">
            <v>119.71400000000001</v>
          </cell>
          <cell r="AR58">
            <v>138.04000000000002</v>
          </cell>
          <cell r="AS58">
            <v>136.30600000000001</v>
          </cell>
          <cell r="AT58">
            <v>146.37</v>
          </cell>
          <cell r="AU58">
            <v>146.982</v>
          </cell>
          <cell r="AV58">
            <v>154.63200000000001</v>
          </cell>
          <cell r="AW58">
            <v>162.92800000000003</v>
          </cell>
          <cell r="AX58">
            <v>165.68200000000002</v>
          </cell>
          <cell r="AY58">
            <v>182.274</v>
          </cell>
          <cell r="AZ58">
            <v>181.73000000000002</v>
          </cell>
          <cell r="BA58">
            <v>193.29000000000002</v>
          </cell>
          <cell r="BB58">
            <v>1854.9720000000002</v>
          </cell>
        </row>
        <row r="59">
          <cell r="P59">
            <v>44250</v>
          </cell>
          <cell r="Q59"/>
          <cell r="R59"/>
          <cell r="X59">
            <v>44615</v>
          </cell>
          <cell r="Y59">
            <v>44251</v>
          </cell>
          <cell r="AO59" t="str">
            <v>Public Discount</v>
          </cell>
          <cell r="AP59">
            <v>287.67199999999997</v>
          </cell>
          <cell r="AQ59">
            <v>271.11700000000002</v>
          </cell>
          <cell r="AR59">
            <v>312.62</v>
          </cell>
          <cell r="AS59">
            <v>308.69299999999998</v>
          </cell>
          <cell r="AT59">
            <v>331.48500000000001</v>
          </cell>
          <cell r="AU59">
            <v>332.87099999999998</v>
          </cell>
          <cell r="AV59">
            <v>350.19599999999997</v>
          </cell>
          <cell r="AW59">
            <v>368.98399999999998</v>
          </cell>
          <cell r="AX59">
            <v>375.221</v>
          </cell>
          <cell r="AY59">
            <v>412.79699999999997</v>
          </cell>
          <cell r="AZ59">
            <v>411.565</v>
          </cell>
          <cell r="BA59">
            <v>437.745</v>
          </cell>
          <cell r="BB59">
            <v>4200.9660000000003</v>
          </cell>
        </row>
        <row r="60">
          <cell r="P60">
            <v>44251</v>
          </cell>
          <cell r="Q60"/>
          <cell r="R60"/>
          <cell r="X60">
            <v>44616</v>
          </cell>
          <cell r="Y60">
            <v>44252</v>
          </cell>
          <cell r="AO60" t="str">
            <v>Corporate Discount</v>
          </cell>
          <cell r="AP60">
            <v>127.3976</v>
          </cell>
          <cell r="AQ60">
            <v>120.06609999999999</v>
          </cell>
          <cell r="AR60">
            <v>138.446</v>
          </cell>
          <cell r="AS60">
            <v>136.70689999999999</v>
          </cell>
          <cell r="AT60">
            <v>146.8005</v>
          </cell>
          <cell r="AU60">
            <v>147.4143</v>
          </cell>
          <cell r="AV60">
            <v>155.08679999999998</v>
          </cell>
          <cell r="AW60">
            <v>163.40719999999999</v>
          </cell>
          <cell r="AX60">
            <v>166.16929999999999</v>
          </cell>
          <cell r="AY60">
            <v>182.81009999999998</v>
          </cell>
          <cell r="AZ60">
            <v>182.2645</v>
          </cell>
          <cell r="BA60">
            <v>193.85849999999999</v>
          </cell>
          <cell r="BB60">
            <v>1860.4277999999997</v>
          </cell>
        </row>
        <row r="61">
          <cell r="P61">
            <v>44252</v>
          </cell>
          <cell r="Q61"/>
          <cell r="R61"/>
          <cell r="X61">
            <v>44617</v>
          </cell>
          <cell r="Y61">
            <v>44253</v>
          </cell>
          <cell r="AO61" t="str">
            <v>Partnership Discount</v>
          </cell>
          <cell r="AP61">
            <v>0</v>
          </cell>
          <cell r="AQ61">
            <v>0</v>
          </cell>
          <cell r="AR61">
            <v>0</v>
          </cell>
          <cell r="AS61">
            <v>0</v>
          </cell>
          <cell r="AT61">
            <v>0</v>
          </cell>
          <cell r="AU61">
            <v>0</v>
          </cell>
          <cell r="AV61">
            <v>0</v>
          </cell>
          <cell r="AW61">
            <v>0</v>
          </cell>
          <cell r="AX61">
            <v>0</v>
          </cell>
          <cell r="AY61">
            <v>0</v>
          </cell>
          <cell r="AZ61">
            <v>0</v>
          </cell>
          <cell r="BA61">
            <v>0</v>
          </cell>
          <cell r="BB61">
            <v>0</v>
          </cell>
        </row>
        <row r="62">
          <cell r="P62">
            <v>44253</v>
          </cell>
          <cell r="Q62"/>
          <cell r="R62"/>
          <cell r="X62">
            <v>44618</v>
          </cell>
          <cell r="Y62">
            <v>44254</v>
          </cell>
          <cell r="AO62" t="str">
            <v>Ascott Star Rewards</v>
          </cell>
          <cell r="AP62">
            <v>186.8</v>
          </cell>
          <cell r="AQ62">
            <v>176.05</v>
          </cell>
          <cell r="AR62">
            <v>203</v>
          </cell>
          <cell r="AS62">
            <v>200.45000000000002</v>
          </cell>
          <cell r="AT62">
            <v>215.25</v>
          </cell>
          <cell r="AU62">
            <v>216.15</v>
          </cell>
          <cell r="AV62">
            <v>227.4</v>
          </cell>
          <cell r="AW62">
            <v>239.60000000000002</v>
          </cell>
          <cell r="AX62">
            <v>243.65</v>
          </cell>
          <cell r="AY62">
            <v>268.05</v>
          </cell>
          <cell r="AZ62">
            <v>267.25</v>
          </cell>
          <cell r="BA62">
            <v>284.25</v>
          </cell>
          <cell r="BB62">
            <v>2727.9000000000005</v>
          </cell>
        </row>
        <row r="63">
          <cell r="P63">
            <v>44254</v>
          </cell>
          <cell r="Q63"/>
          <cell r="R63"/>
          <cell r="X63">
            <v>44619</v>
          </cell>
          <cell r="Y63">
            <v>44255</v>
          </cell>
          <cell r="AO63" t="str">
            <v>Work Space</v>
          </cell>
          <cell r="AP63">
            <v>0</v>
          </cell>
          <cell r="AQ63">
            <v>0</v>
          </cell>
          <cell r="AR63">
            <v>0</v>
          </cell>
          <cell r="AS63">
            <v>0</v>
          </cell>
          <cell r="AT63">
            <v>0</v>
          </cell>
          <cell r="AU63">
            <v>0</v>
          </cell>
          <cell r="AV63">
            <v>0</v>
          </cell>
          <cell r="AW63">
            <v>0</v>
          </cell>
          <cell r="AX63">
            <v>0</v>
          </cell>
          <cell r="AY63">
            <v>0</v>
          </cell>
          <cell r="AZ63">
            <v>0</v>
          </cell>
          <cell r="BA63">
            <v>0</v>
          </cell>
          <cell r="BB63">
            <v>0</v>
          </cell>
        </row>
        <row r="64">
          <cell r="P64">
            <v>44255</v>
          </cell>
          <cell r="Q64"/>
          <cell r="R64"/>
          <cell r="X64">
            <v>44620</v>
          </cell>
          <cell r="Y64">
            <v>44256</v>
          </cell>
          <cell r="AO64" t="str">
            <v>Employee Travel</v>
          </cell>
          <cell r="AP64">
            <v>10.460800000000001</v>
          </cell>
          <cell r="AQ64">
            <v>9.8588000000000005</v>
          </cell>
          <cell r="AR64">
            <v>11.368</v>
          </cell>
          <cell r="AS64">
            <v>11.225199999999999</v>
          </cell>
          <cell r="AT64">
            <v>12.054</v>
          </cell>
          <cell r="AU64">
            <v>12.1044</v>
          </cell>
          <cell r="AV64">
            <v>12.734399999999999</v>
          </cell>
          <cell r="AW64">
            <v>13.4176</v>
          </cell>
          <cell r="AX64">
            <v>13.644399999999999</v>
          </cell>
          <cell r="AY64">
            <v>15.0108</v>
          </cell>
          <cell r="AZ64">
            <v>14.965999999999999</v>
          </cell>
          <cell r="BA64">
            <v>15.917999999999999</v>
          </cell>
          <cell r="BB64">
            <v>152.76240000000001</v>
          </cell>
        </row>
        <row r="65">
          <cell r="P65">
            <v>44256</v>
          </cell>
          <cell r="Q65"/>
          <cell r="R65"/>
          <cell r="X65">
            <v>44621</v>
          </cell>
          <cell r="Y65">
            <v>44257</v>
          </cell>
          <cell r="AO65" t="str">
            <v>Corporate Contract (below 1 mth)</v>
          </cell>
          <cell r="AP65">
            <v>261.52000000000004</v>
          </cell>
          <cell r="AQ65">
            <v>246.47000000000003</v>
          </cell>
          <cell r="AR65">
            <v>284.20000000000005</v>
          </cell>
          <cell r="AS65">
            <v>280.63000000000005</v>
          </cell>
          <cell r="AT65">
            <v>301.35000000000002</v>
          </cell>
          <cell r="AU65">
            <v>302.61</v>
          </cell>
          <cell r="AV65">
            <v>318.36</v>
          </cell>
          <cell r="AW65">
            <v>335.44000000000005</v>
          </cell>
          <cell r="AX65">
            <v>341.11</v>
          </cell>
          <cell r="AY65">
            <v>375.27000000000004</v>
          </cell>
          <cell r="AZ65">
            <v>374.15000000000003</v>
          </cell>
          <cell r="BA65">
            <v>397.95000000000005</v>
          </cell>
          <cell r="BB65">
            <v>3819.0600000000004</v>
          </cell>
        </row>
        <row r="66">
          <cell r="P66">
            <v>44257</v>
          </cell>
          <cell r="Q66"/>
          <cell r="R66"/>
          <cell r="X66">
            <v>44622</v>
          </cell>
          <cell r="Y66">
            <v>44258</v>
          </cell>
          <cell r="AO66" t="str">
            <v>Monthly Contract (1 to 6 mth)</v>
          </cell>
          <cell r="AP66">
            <v>2568.5</v>
          </cell>
          <cell r="AQ66">
            <v>2420.6875</v>
          </cell>
          <cell r="AR66">
            <v>2791.25</v>
          </cell>
          <cell r="AS66">
            <v>2756.1875</v>
          </cell>
          <cell r="AT66">
            <v>2959.6875</v>
          </cell>
          <cell r="AU66">
            <v>2972.0625</v>
          </cell>
          <cell r="AV66">
            <v>3126.75</v>
          </cell>
          <cell r="AW66">
            <v>3294.5</v>
          </cell>
          <cell r="AX66">
            <v>3350.1875</v>
          </cell>
          <cell r="AY66">
            <v>3685.6875</v>
          </cell>
          <cell r="AZ66">
            <v>3674.6875</v>
          </cell>
          <cell r="BA66">
            <v>3908.4375</v>
          </cell>
          <cell r="BB66">
            <v>37508.625</v>
          </cell>
        </row>
        <row r="67">
          <cell r="P67">
            <v>44258</v>
          </cell>
          <cell r="Q67"/>
          <cell r="R67"/>
          <cell r="X67">
            <v>44623</v>
          </cell>
          <cell r="Y67">
            <v>44259</v>
          </cell>
          <cell r="AO67" t="str">
            <v>Long Term Contract (above 6 mth)</v>
          </cell>
          <cell r="AP67">
            <v>87.422399999999996</v>
          </cell>
          <cell r="AQ67">
            <v>82.391400000000004</v>
          </cell>
          <cell r="AR67">
            <v>95.004000000000005</v>
          </cell>
          <cell r="AS67">
            <v>93.810600000000008</v>
          </cell>
          <cell r="AT67">
            <v>100.73700000000001</v>
          </cell>
          <cell r="AU67">
            <v>101.15820000000001</v>
          </cell>
          <cell r="AV67">
            <v>106.42320000000001</v>
          </cell>
          <cell r="AW67">
            <v>112.1328</v>
          </cell>
          <cell r="AX67">
            <v>114.0282</v>
          </cell>
          <cell r="AY67">
            <v>125.4474</v>
          </cell>
          <cell r="AZ67">
            <v>125.07300000000001</v>
          </cell>
          <cell r="BA67">
            <v>133.029</v>
          </cell>
          <cell r="BB67">
            <v>1276.6572000000001</v>
          </cell>
        </row>
        <row r="68">
          <cell r="P68">
            <v>44259</v>
          </cell>
          <cell r="Q68"/>
          <cell r="R68"/>
          <cell r="X68">
            <v>44624</v>
          </cell>
          <cell r="Y68">
            <v>44260</v>
          </cell>
          <cell r="AO68" t="str">
            <v>Wholesale</v>
          </cell>
          <cell r="AP68">
            <v>20.547999999999998</v>
          </cell>
          <cell r="AQ68">
            <v>19.365499999999997</v>
          </cell>
          <cell r="AR68">
            <v>22.33</v>
          </cell>
          <cell r="AS68">
            <v>22.049499999999998</v>
          </cell>
          <cell r="AT68">
            <v>23.677499999999998</v>
          </cell>
          <cell r="AU68">
            <v>23.776499999999999</v>
          </cell>
          <cell r="AV68">
            <v>25.013999999999999</v>
          </cell>
          <cell r="AW68">
            <v>26.355999999999998</v>
          </cell>
          <cell r="AX68">
            <v>26.801499999999997</v>
          </cell>
          <cell r="AY68">
            <v>29.485499999999998</v>
          </cell>
          <cell r="AZ68">
            <v>29.397499999999997</v>
          </cell>
          <cell r="BA68">
            <v>31.267499999999998</v>
          </cell>
          <cell r="BB68">
            <v>300.06899999999996</v>
          </cell>
        </row>
        <row r="69">
          <cell r="P69">
            <v>44260</v>
          </cell>
          <cell r="Q69"/>
          <cell r="R69"/>
          <cell r="X69">
            <v>44625</v>
          </cell>
          <cell r="Y69">
            <v>44261</v>
          </cell>
          <cell r="AO69" t="str">
            <v>Corporate Group (below 1 mth)</v>
          </cell>
          <cell r="AP69">
            <v>0</v>
          </cell>
          <cell r="AQ69">
            <v>0</v>
          </cell>
          <cell r="AR69">
            <v>0</v>
          </cell>
          <cell r="AS69">
            <v>0</v>
          </cell>
          <cell r="AT69">
            <v>0</v>
          </cell>
          <cell r="AU69">
            <v>0</v>
          </cell>
          <cell r="AV69">
            <v>0</v>
          </cell>
          <cell r="AW69">
            <v>0</v>
          </cell>
          <cell r="AX69">
            <v>0</v>
          </cell>
          <cell r="AY69">
            <v>0</v>
          </cell>
          <cell r="AZ69">
            <v>0</v>
          </cell>
          <cell r="BA69">
            <v>0</v>
          </cell>
          <cell r="BB69">
            <v>0</v>
          </cell>
        </row>
        <row r="70">
          <cell r="P70">
            <v>44261</v>
          </cell>
          <cell r="Q70"/>
          <cell r="R70"/>
          <cell r="X70">
            <v>44626</v>
          </cell>
          <cell r="Y70">
            <v>44262</v>
          </cell>
          <cell r="AO70" t="str">
            <v>Corp Monthly Group (above 1 mth)</v>
          </cell>
          <cell r="AP70">
            <v>0</v>
          </cell>
          <cell r="AQ70">
            <v>0</v>
          </cell>
          <cell r="AR70">
            <v>0</v>
          </cell>
          <cell r="AS70">
            <v>0</v>
          </cell>
          <cell r="AT70">
            <v>0</v>
          </cell>
          <cell r="AU70">
            <v>0</v>
          </cell>
          <cell r="AV70">
            <v>0</v>
          </cell>
          <cell r="AW70">
            <v>0</v>
          </cell>
          <cell r="AX70">
            <v>0</v>
          </cell>
          <cell r="AY70">
            <v>0</v>
          </cell>
          <cell r="AZ70">
            <v>0</v>
          </cell>
          <cell r="BA70">
            <v>0</v>
          </cell>
          <cell r="BB70">
            <v>0</v>
          </cell>
        </row>
        <row r="71">
          <cell r="P71">
            <v>44262</v>
          </cell>
          <cell r="Q71"/>
          <cell r="R71"/>
          <cell r="X71">
            <v>44627</v>
          </cell>
          <cell r="Y71">
            <v>44263</v>
          </cell>
          <cell r="AO71" t="str">
            <v>Leisure Group</v>
          </cell>
          <cell r="AP71">
            <v>0</v>
          </cell>
          <cell r="AQ71">
            <v>0</v>
          </cell>
          <cell r="AR71">
            <v>0</v>
          </cell>
          <cell r="AS71">
            <v>0</v>
          </cell>
          <cell r="AT71">
            <v>0</v>
          </cell>
          <cell r="AU71">
            <v>0</v>
          </cell>
          <cell r="AV71">
            <v>0</v>
          </cell>
          <cell r="AW71">
            <v>0</v>
          </cell>
          <cell r="AX71">
            <v>0</v>
          </cell>
          <cell r="AY71">
            <v>0</v>
          </cell>
          <cell r="AZ71">
            <v>0</v>
          </cell>
          <cell r="BA71">
            <v>0</v>
          </cell>
          <cell r="BB71">
            <v>0</v>
          </cell>
        </row>
        <row r="72">
          <cell r="P72">
            <v>44263</v>
          </cell>
          <cell r="Q72"/>
          <cell r="R72"/>
          <cell r="X72">
            <v>44628</v>
          </cell>
          <cell r="Y72">
            <v>44264</v>
          </cell>
          <cell r="AO72" t="str">
            <v>Airline Crew Group</v>
          </cell>
          <cell r="AP72">
            <v>0</v>
          </cell>
          <cell r="AQ72">
            <v>0</v>
          </cell>
          <cell r="AR72">
            <v>0</v>
          </cell>
          <cell r="AS72">
            <v>0</v>
          </cell>
          <cell r="AT72">
            <v>0</v>
          </cell>
          <cell r="AU72">
            <v>0</v>
          </cell>
          <cell r="AV72">
            <v>0</v>
          </cell>
          <cell r="AW72">
            <v>0</v>
          </cell>
          <cell r="AX72">
            <v>0</v>
          </cell>
          <cell r="AY72">
            <v>0</v>
          </cell>
          <cell r="AZ72">
            <v>0</v>
          </cell>
          <cell r="BA72">
            <v>0</v>
          </cell>
          <cell r="BB72">
            <v>0</v>
          </cell>
        </row>
        <row r="73">
          <cell r="P73">
            <v>44264</v>
          </cell>
          <cell r="Q73"/>
          <cell r="R73"/>
          <cell r="X73">
            <v>44629</v>
          </cell>
          <cell r="Y73">
            <v>44265</v>
          </cell>
          <cell r="AO73" t="str">
            <v>Complimentary</v>
          </cell>
          <cell r="AP73">
            <v>8.5928000000000004</v>
          </cell>
          <cell r="AQ73">
            <v>8.0983000000000001</v>
          </cell>
          <cell r="AR73">
            <v>9.3379999999999992</v>
          </cell>
          <cell r="AS73">
            <v>9.220699999999999</v>
          </cell>
          <cell r="AT73">
            <v>9.9015000000000004</v>
          </cell>
          <cell r="AU73">
            <v>9.9428999999999998</v>
          </cell>
          <cell r="AV73">
            <v>10.4604</v>
          </cell>
          <cell r="AW73">
            <v>11.021599999999999</v>
          </cell>
          <cell r="AX73">
            <v>11.2079</v>
          </cell>
          <cell r="AY73">
            <v>12.330299999999999</v>
          </cell>
          <cell r="AZ73">
            <v>12.2935</v>
          </cell>
          <cell r="BA73">
            <v>13.0755</v>
          </cell>
          <cell r="BB73">
            <v>125.48339999999999</v>
          </cell>
        </row>
        <row r="74">
          <cell r="P74">
            <v>44265</v>
          </cell>
          <cell r="Q74"/>
          <cell r="R74"/>
          <cell r="X74">
            <v>44630</v>
          </cell>
          <cell r="Y74">
            <v>44266</v>
          </cell>
          <cell r="AO74" t="str">
            <v>House Use</v>
          </cell>
          <cell r="AP74">
            <v>50.062400000000004</v>
          </cell>
          <cell r="AQ74">
            <v>47.181400000000004</v>
          </cell>
          <cell r="AR74">
            <v>54.404000000000003</v>
          </cell>
          <cell r="AS74">
            <v>53.720600000000005</v>
          </cell>
          <cell r="AT74">
            <v>57.687000000000005</v>
          </cell>
          <cell r="AU74">
            <v>57.928200000000004</v>
          </cell>
          <cell r="AV74">
            <v>60.943200000000004</v>
          </cell>
          <cell r="AW74">
            <v>64.212800000000001</v>
          </cell>
          <cell r="AX74">
            <v>65.298200000000008</v>
          </cell>
          <cell r="AY74">
            <v>71.837400000000002</v>
          </cell>
          <cell r="AZ74">
            <v>71.623000000000005</v>
          </cell>
          <cell r="BA74">
            <v>76.179000000000002</v>
          </cell>
          <cell r="BB74">
            <v>731.07720000000006</v>
          </cell>
        </row>
        <row r="75">
          <cell r="P75">
            <v>44266</v>
          </cell>
          <cell r="Q75" t="str">
            <v>Maha Shivratri</v>
          </cell>
          <cell r="R75" t="str">
            <v xml:space="preserve">Low </v>
          </cell>
          <cell r="X75">
            <v>44631</v>
          </cell>
          <cell r="Y75">
            <v>44267</v>
          </cell>
          <cell r="AO75" t="str">
            <v>System Use</v>
          </cell>
          <cell r="AP75">
            <v>0</v>
          </cell>
          <cell r="AQ75">
            <v>0</v>
          </cell>
          <cell r="AR75">
            <v>0</v>
          </cell>
          <cell r="AS75">
            <v>0</v>
          </cell>
          <cell r="AT75">
            <v>0</v>
          </cell>
          <cell r="AU75">
            <v>0</v>
          </cell>
          <cell r="AV75">
            <v>0</v>
          </cell>
          <cell r="AW75">
            <v>0</v>
          </cell>
          <cell r="AX75">
            <v>0</v>
          </cell>
          <cell r="AY75">
            <v>0</v>
          </cell>
          <cell r="AZ75">
            <v>0</v>
          </cell>
          <cell r="BA75">
            <v>0</v>
          </cell>
          <cell r="BB75">
            <v>0</v>
          </cell>
        </row>
        <row r="76">
          <cell r="P76">
            <v>44267</v>
          </cell>
          <cell r="Q76"/>
          <cell r="R76"/>
          <cell r="X76">
            <v>44632</v>
          </cell>
          <cell r="Y76">
            <v>44268</v>
          </cell>
          <cell r="AO76" t="str">
            <v>Total</v>
          </cell>
          <cell r="AP76">
            <v>3735.9999999999991</v>
          </cell>
          <cell r="AQ76">
            <v>3521</v>
          </cell>
          <cell r="AR76">
            <v>4060</v>
          </cell>
          <cell r="AS76">
            <v>4009</v>
          </cell>
          <cell r="AT76">
            <v>4305</v>
          </cell>
          <cell r="AU76">
            <v>4323</v>
          </cell>
          <cell r="AV76">
            <v>4548</v>
          </cell>
          <cell r="AW76">
            <v>4792</v>
          </cell>
          <cell r="AX76">
            <v>4873</v>
          </cell>
          <cell r="AY76">
            <v>5361</v>
          </cell>
          <cell r="AZ76">
            <v>5345</v>
          </cell>
          <cell r="BA76">
            <v>5685.0000000000009</v>
          </cell>
          <cell r="BB76">
            <v>54558</v>
          </cell>
        </row>
        <row r="77">
          <cell r="P77">
            <v>44268</v>
          </cell>
          <cell r="Q77"/>
          <cell r="R77"/>
          <cell r="X77">
            <v>44633</v>
          </cell>
          <cell r="Y77">
            <v>44269</v>
          </cell>
        </row>
        <row r="78">
          <cell r="P78">
            <v>44269</v>
          </cell>
          <cell r="Q78"/>
          <cell r="R78"/>
          <cell r="X78">
            <v>44634</v>
          </cell>
          <cell r="Y78">
            <v>44270</v>
          </cell>
        </row>
        <row r="79">
          <cell r="P79">
            <v>44270</v>
          </cell>
          <cell r="Q79"/>
          <cell r="R79"/>
          <cell r="X79">
            <v>44635</v>
          </cell>
          <cell r="Y79">
            <v>44271</v>
          </cell>
        </row>
        <row r="80">
          <cell r="P80">
            <v>44271</v>
          </cell>
          <cell r="Q80"/>
          <cell r="R80"/>
          <cell r="X80">
            <v>44636</v>
          </cell>
          <cell r="Y80">
            <v>44272</v>
          </cell>
        </row>
        <row r="81">
          <cell r="P81">
            <v>44272</v>
          </cell>
          <cell r="Q81"/>
          <cell r="R81"/>
          <cell r="X81">
            <v>44637</v>
          </cell>
          <cell r="Y81">
            <v>44273</v>
          </cell>
        </row>
        <row r="82">
          <cell r="P82">
            <v>44273</v>
          </cell>
          <cell r="Q82"/>
          <cell r="R82"/>
          <cell r="X82">
            <v>44638</v>
          </cell>
          <cell r="Y82">
            <v>44274</v>
          </cell>
          <cell r="AO82"/>
          <cell r="AP82" t="str">
            <v>Jan</v>
          </cell>
          <cell r="AQ82" t="str">
            <v>Feb</v>
          </cell>
          <cell r="AR82" t="str">
            <v>Mar</v>
          </cell>
          <cell r="AS82" t="str">
            <v>Apr</v>
          </cell>
          <cell r="AT82" t="str">
            <v>May</v>
          </cell>
          <cell r="AU82" t="str">
            <v>Jun</v>
          </cell>
          <cell r="AV82" t="str">
            <v>Jul</v>
          </cell>
          <cell r="AW82" t="str">
            <v>Aug</v>
          </cell>
          <cell r="AX82" t="str">
            <v>Sep</v>
          </cell>
          <cell r="AY82" t="str">
            <v>Oct</v>
          </cell>
          <cell r="AZ82" t="str">
            <v>Nov</v>
          </cell>
          <cell r="BA82" t="str">
            <v>Dec</v>
          </cell>
          <cell r="BB82" t="str">
            <v>Total</v>
          </cell>
        </row>
        <row r="83">
          <cell r="P83">
            <v>44274</v>
          </cell>
          <cell r="Q83"/>
          <cell r="R83"/>
          <cell r="X83">
            <v>44639</v>
          </cell>
          <cell r="Y83">
            <v>44275</v>
          </cell>
          <cell r="AO83" t="str">
            <v>Best Flexible Rate</v>
          </cell>
          <cell r="AP83">
            <v>277636.68779999996</v>
          </cell>
          <cell r="AQ83">
            <v>265062.57209999999</v>
          </cell>
          <cell r="AR83">
            <v>303734.37299999996</v>
          </cell>
          <cell r="AS83">
            <v>295311.55769999995</v>
          </cell>
          <cell r="AT83">
            <v>316431.23909999995</v>
          </cell>
          <cell r="AU83">
            <v>317085.53339999996</v>
          </cell>
          <cell r="AV83">
            <v>332152.40669999999</v>
          </cell>
          <cell r="AW83">
            <v>352253.65139999997</v>
          </cell>
          <cell r="AX83">
            <v>355877.61299999995</v>
          </cell>
          <cell r="AY83">
            <v>402650.13779999997</v>
          </cell>
          <cell r="AZ83">
            <v>403184.98799999995</v>
          </cell>
          <cell r="BA83">
            <v>430703.16239999997</v>
          </cell>
          <cell r="BB83">
            <v>4052083.9223999996</v>
          </cell>
        </row>
        <row r="84">
          <cell r="P84">
            <v>44275</v>
          </cell>
          <cell r="Q84"/>
          <cell r="R84"/>
          <cell r="X84">
            <v>44640</v>
          </cell>
          <cell r="Y84">
            <v>44276</v>
          </cell>
          <cell r="AO84" t="str">
            <v>Public Discount</v>
          </cell>
          <cell r="AP84">
            <v>534515.49239999999</v>
          </cell>
          <cell r="AQ84">
            <v>510307.38180000003</v>
          </cell>
          <cell r="AR84">
            <v>584759.63399999996</v>
          </cell>
          <cell r="AS84">
            <v>568543.74659999995</v>
          </cell>
          <cell r="AT84">
            <v>609204.06779999996</v>
          </cell>
          <cell r="AU84">
            <v>610463.73719999997</v>
          </cell>
          <cell r="AV84">
            <v>639470.98860000004</v>
          </cell>
          <cell r="AW84">
            <v>678170.58120000002</v>
          </cell>
          <cell r="AX84">
            <v>685147.554</v>
          </cell>
          <cell r="AY84">
            <v>775195.59239999996</v>
          </cell>
          <cell r="AZ84">
            <v>776225.304</v>
          </cell>
          <cell r="BA84">
            <v>829204.21920000005</v>
          </cell>
          <cell r="BB84">
            <v>7801208.2991999984</v>
          </cell>
        </row>
        <row r="85">
          <cell r="P85">
            <v>44276</v>
          </cell>
          <cell r="Q85"/>
          <cell r="R85"/>
          <cell r="X85">
            <v>44641</v>
          </cell>
          <cell r="Y85">
            <v>44277</v>
          </cell>
          <cell r="AO85" t="str">
            <v>Corporate Discount</v>
          </cell>
          <cell r="AP85">
            <v>257743.7164</v>
          </cell>
          <cell r="AQ85">
            <v>246070.54980000001</v>
          </cell>
          <cell r="AR85">
            <v>281971.47399999999</v>
          </cell>
          <cell r="AS85">
            <v>274152.16259999998</v>
          </cell>
          <cell r="AT85">
            <v>293758.59580000001</v>
          </cell>
          <cell r="AU85">
            <v>294366.00920000003</v>
          </cell>
          <cell r="AV85">
            <v>308353.32459999999</v>
          </cell>
          <cell r="AW85">
            <v>327014.29320000001</v>
          </cell>
          <cell r="AX85">
            <v>330378.59399999998</v>
          </cell>
          <cell r="AY85">
            <v>373799.81640000001</v>
          </cell>
          <cell r="AZ85">
            <v>374296.34399999998</v>
          </cell>
          <cell r="BA85">
            <v>399842.8112</v>
          </cell>
          <cell r="BB85">
            <v>3761747.6911999998</v>
          </cell>
        </row>
        <row r="86">
          <cell r="P86">
            <v>44277</v>
          </cell>
          <cell r="Q86"/>
          <cell r="R86"/>
          <cell r="X86">
            <v>44642</v>
          </cell>
          <cell r="Y86">
            <v>44278</v>
          </cell>
          <cell r="AO86" t="str">
            <v>Partnership Discount</v>
          </cell>
          <cell r="AP86">
            <v>0</v>
          </cell>
          <cell r="AQ86">
            <v>0</v>
          </cell>
          <cell r="AR86">
            <v>0</v>
          </cell>
          <cell r="AS86">
            <v>0</v>
          </cell>
          <cell r="AT86">
            <v>0</v>
          </cell>
          <cell r="AU86">
            <v>0</v>
          </cell>
          <cell r="AV86">
            <v>0</v>
          </cell>
          <cell r="AW86">
            <v>0</v>
          </cell>
          <cell r="AX86">
            <v>0</v>
          </cell>
          <cell r="AY86">
            <v>0</v>
          </cell>
          <cell r="AZ86">
            <v>0</v>
          </cell>
          <cell r="BA86">
            <v>0</v>
          </cell>
          <cell r="BB86">
            <v>0</v>
          </cell>
        </row>
        <row r="87">
          <cell r="P87">
            <v>44278</v>
          </cell>
          <cell r="Q87"/>
          <cell r="R87"/>
          <cell r="X87">
            <v>44643</v>
          </cell>
          <cell r="Y87">
            <v>44279</v>
          </cell>
          <cell r="AO87" t="str">
            <v>Ascott Star Rewards</v>
          </cell>
          <cell r="AP87">
            <v>330396.3076</v>
          </cell>
          <cell r="AQ87">
            <v>315432.7182</v>
          </cell>
          <cell r="AR87">
            <v>361453.36599999998</v>
          </cell>
          <cell r="AS87">
            <v>351429.9534</v>
          </cell>
          <cell r="AT87">
            <v>376563.03219999996</v>
          </cell>
          <cell r="AU87">
            <v>377341.66279999999</v>
          </cell>
          <cell r="AV87">
            <v>395271.71139999997</v>
          </cell>
          <cell r="AW87">
            <v>419192.81879999995</v>
          </cell>
          <cell r="AX87">
            <v>423505.446</v>
          </cell>
          <cell r="AY87">
            <v>479166.20759999997</v>
          </cell>
          <cell r="AZ87">
            <v>479802.696</v>
          </cell>
          <cell r="BA87">
            <v>512550.18079999997</v>
          </cell>
          <cell r="BB87">
            <v>4822106.1008000001</v>
          </cell>
        </row>
        <row r="88">
          <cell r="P88">
            <v>44279</v>
          </cell>
          <cell r="Q88"/>
          <cell r="R88"/>
          <cell r="X88">
            <v>44644</v>
          </cell>
          <cell r="Y88">
            <v>44280</v>
          </cell>
          <cell r="AO88" t="str">
            <v>Work Space</v>
          </cell>
          <cell r="AP88">
            <v>0</v>
          </cell>
          <cell r="AQ88">
            <v>0</v>
          </cell>
          <cell r="AR88">
            <v>0</v>
          </cell>
          <cell r="AS88">
            <v>0</v>
          </cell>
          <cell r="AT88">
            <v>0</v>
          </cell>
          <cell r="AU88">
            <v>0</v>
          </cell>
          <cell r="AV88">
            <v>0</v>
          </cell>
          <cell r="AW88">
            <v>0</v>
          </cell>
          <cell r="AX88">
            <v>0</v>
          </cell>
          <cell r="AY88">
            <v>0</v>
          </cell>
          <cell r="AZ88">
            <v>0</v>
          </cell>
          <cell r="BA88">
            <v>0</v>
          </cell>
          <cell r="BB88">
            <v>0</v>
          </cell>
        </row>
        <row r="89">
          <cell r="P89">
            <v>44279</v>
          </cell>
          <cell r="Q89"/>
          <cell r="R89"/>
          <cell r="X89">
            <v>44645</v>
          </cell>
          <cell r="Y89">
            <v>44281</v>
          </cell>
          <cell r="AO89" t="str">
            <v>Employee Travel</v>
          </cell>
          <cell r="AP89">
            <v>19028.059600000001</v>
          </cell>
          <cell r="AQ89">
            <v>18166.282200000001</v>
          </cell>
          <cell r="AR89">
            <v>20816.686000000002</v>
          </cell>
          <cell r="AS89">
            <v>20239.421400000003</v>
          </cell>
          <cell r="AT89">
            <v>21686.876200000002</v>
          </cell>
          <cell r="AU89">
            <v>21731.718800000002</v>
          </cell>
          <cell r="AV89">
            <v>22764.339400000001</v>
          </cell>
          <cell r="AW89">
            <v>24141.9948</v>
          </cell>
          <cell r="AX89">
            <v>24390.366000000002</v>
          </cell>
          <cell r="AY89">
            <v>27595.959600000002</v>
          </cell>
          <cell r="AZ89">
            <v>27632.616000000002</v>
          </cell>
          <cell r="BA89">
            <v>29518.596800000003</v>
          </cell>
          <cell r="BB89">
            <v>277712.91680000001</v>
          </cell>
        </row>
        <row r="90">
          <cell r="P90">
            <v>44280</v>
          </cell>
          <cell r="Q90"/>
          <cell r="R90"/>
          <cell r="X90">
            <v>44645</v>
          </cell>
          <cell r="Y90">
            <v>44281</v>
          </cell>
          <cell r="AO90" t="str">
            <v>Corporate Contract (below 1 mth)</v>
          </cell>
          <cell r="AP90">
            <v>508568.1384</v>
          </cell>
          <cell r="AQ90">
            <v>485535.17879999999</v>
          </cell>
          <cell r="AR90">
            <v>556373.24399999995</v>
          </cell>
          <cell r="AS90">
            <v>540944.53559999994</v>
          </cell>
          <cell r="AT90">
            <v>579631.05479999993</v>
          </cell>
          <cell r="AU90">
            <v>580829.57519999996</v>
          </cell>
          <cell r="AV90">
            <v>608428.70759999997</v>
          </cell>
          <cell r="AW90">
            <v>645249.67920000001</v>
          </cell>
          <cell r="AX90">
            <v>651887.96400000004</v>
          </cell>
          <cell r="AY90">
            <v>737564.73840000003</v>
          </cell>
          <cell r="AZ90">
            <v>738544.46399999992</v>
          </cell>
          <cell r="BA90">
            <v>788951.58719999995</v>
          </cell>
          <cell r="BB90">
            <v>7422508.8671999993</v>
          </cell>
        </row>
        <row r="91">
          <cell r="P91">
            <v>44281</v>
          </cell>
          <cell r="Q91"/>
          <cell r="R91"/>
          <cell r="X91">
            <v>44646</v>
          </cell>
          <cell r="Y91">
            <v>44282</v>
          </cell>
          <cell r="AO91" t="str">
            <v>Monthly Contract (1 to 6 mth)</v>
          </cell>
          <cell r="AP91">
            <v>6446187.6453999998</v>
          </cell>
          <cell r="AQ91">
            <v>6154240.9652999993</v>
          </cell>
          <cell r="AR91">
            <v>7052125.4890000001</v>
          </cell>
          <cell r="AS91">
            <v>6856563.9860999994</v>
          </cell>
          <cell r="AT91">
            <v>7346922.1963</v>
          </cell>
          <cell r="AU91">
            <v>7362113.6461999994</v>
          </cell>
          <cell r="AV91">
            <v>7711937.3430999992</v>
          </cell>
          <cell r="AW91">
            <v>8178649.4201999996</v>
          </cell>
          <cell r="AX91">
            <v>8262790.8089999994</v>
          </cell>
          <cell r="AY91">
            <v>9348758.4954000004</v>
          </cell>
          <cell r="AZ91">
            <v>9361176.6840000004</v>
          </cell>
          <cell r="BA91">
            <v>10000095.543199999</v>
          </cell>
          <cell r="BB91">
            <v>94081562.223199993</v>
          </cell>
        </row>
        <row r="92">
          <cell r="P92">
            <v>44282</v>
          </cell>
          <cell r="Q92"/>
          <cell r="R92"/>
          <cell r="X92">
            <v>44647</v>
          </cell>
          <cell r="Y92">
            <v>44283</v>
          </cell>
          <cell r="AO92" t="str">
            <v>Long Term Contract (above 6 mth)</v>
          </cell>
          <cell r="AP92">
            <v>237850.745</v>
          </cell>
          <cell r="AQ92">
            <v>227078.5275</v>
          </cell>
          <cell r="AR92">
            <v>260208.57500000001</v>
          </cell>
          <cell r="AS92">
            <v>252992.76749999999</v>
          </cell>
          <cell r="AT92">
            <v>271085.95250000001</v>
          </cell>
          <cell r="AU92">
            <v>271646.48499999999</v>
          </cell>
          <cell r="AV92">
            <v>284554.24249999999</v>
          </cell>
          <cell r="AW92">
            <v>301774.935</v>
          </cell>
          <cell r="AX92">
            <v>304879.57500000001</v>
          </cell>
          <cell r="AY92">
            <v>344949.495</v>
          </cell>
          <cell r="AZ92">
            <v>345407.7</v>
          </cell>
          <cell r="BA92">
            <v>368982.46</v>
          </cell>
          <cell r="BB92">
            <v>3471411.46</v>
          </cell>
        </row>
        <row r="93">
          <cell r="P93">
            <v>44283</v>
          </cell>
          <cell r="Q93"/>
          <cell r="R93"/>
          <cell r="X93">
            <v>44648</v>
          </cell>
          <cell r="Y93">
            <v>44284</v>
          </cell>
          <cell r="AO93" t="str">
            <v>Wholesale</v>
          </cell>
          <cell r="AP93">
            <v>37191.207399999999</v>
          </cell>
          <cell r="AQ93">
            <v>35506.8243</v>
          </cell>
          <cell r="AR93">
            <v>40687.159</v>
          </cell>
          <cell r="AS93">
            <v>39558.869100000004</v>
          </cell>
          <cell r="AT93">
            <v>42387.9853</v>
          </cell>
          <cell r="AU93">
            <v>42475.6322</v>
          </cell>
          <cell r="AV93">
            <v>44493.936099999999</v>
          </cell>
          <cell r="AW93">
            <v>47186.626199999999</v>
          </cell>
          <cell r="AX93">
            <v>47672.078999999998</v>
          </cell>
          <cell r="AY93">
            <v>53937.557399999998</v>
          </cell>
          <cell r="AZ93">
            <v>54009.203999999998</v>
          </cell>
          <cell r="BA93">
            <v>57695.439200000001</v>
          </cell>
          <cell r="BB93">
            <v>542802.51919999998</v>
          </cell>
        </row>
        <row r="94">
          <cell r="P94">
            <v>44284</v>
          </cell>
          <cell r="Q94" t="str">
            <v>Holi</v>
          </cell>
          <cell r="R94" t="str">
            <v xml:space="preserve">Low </v>
          </cell>
          <cell r="X94">
            <v>44649</v>
          </cell>
          <cell r="Y94">
            <v>44285</v>
          </cell>
          <cell r="AO94" t="str">
            <v>Corporate Group (below 1 mth)</v>
          </cell>
          <cell r="AP94">
            <v>0</v>
          </cell>
          <cell r="AQ94">
            <v>0</v>
          </cell>
          <cell r="AR94">
            <v>0</v>
          </cell>
          <cell r="AS94">
            <v>0</v>
          </cell>
          <cell r="AT94">
            <v>0</v>
          </cell>
          <cell r="AU94">
            <v>0</v>
          </cell>
          <cell r="AV94">
            <v>0</v>
          </cell>
          <cell r="AW94">
            <v>0</v>
          </cell>
          <cell r="AX94">
            <v>0</v>
          </cell>
          <cell r="AY94">
            <v>0</v>
          </cell>
          <cell r="AZ94">
            <v>0</v>
          </cell>
          <cell r="BA94">
            <v>0</v>
          </cell>
          <cell r="BB94">
            <v>0</v>
          </cell>
        </row>
        <row r="95">
          <cell r="P95">
            <v>44285</v>
          </cell>
          <cell r="Q95"/>
          <cell r="R95"/>
          <cell r="X95">
            <v>44650</v>
          </cell>
          <cell r="Y95">
            <v>44286</v>
          </cell>
          <cell r="AO95" t="str">
            <v>Corp Monthly Group (above 1 mth)</v>
          </cell>
          <cell r="AP95">
            <v>0</v>
          </cell>
          <cell r="AQ95">
            <v>0</v>
          </cell>
          <cell r="AR95">
            <v>0</v>
          </cell>
          <cell r="AS95">
            <v>0</v>
          </cell>
          <cell r="AT95">
            <v>0</v>
          </cell>
          <cell r="AU95">
            <v>0</v>
          </cell>
          <cell r="AV95">
            <v>0</v>
          </cell>
          <cell r="AW95">
            <v>0</v>
          </cell>
          <cell r="AX95">
            <v>0</v>
          </cell>
          <cell r="AY95">
            <v>0</v>
          </cell>
          <cell r="AZ95">
            <v>0</v>
          </cell>
          <cell r="BA95">
            <v>0</v>
          </cell>
          <cell r="BB95">
            <v>0</v>
          </cell>
        </row>
        <row r="96">
          <cell r="P96">
            <v>44286</v>
          </cell>
          <cell r="Q96"/>
          <cell r="R96"/>
          <cell r="X96">
            <v>44651</v>
          </cell>
          <cell r="Y96">
            <v>44287</v>
          </cell>
          <cell r="AO96" t="str">
            <v>Leisure Group</v>
          </cell>
          <cell r="AP96">
            <v>0</v>
          </cell>
          <cell r="AQ96">
            <v>0</v>
          </cell>
          <cell r="AR96">
            <v>0</v>
          </cell>
          <cell r="AS96">
            <v>0</v>
          </cell>
          <cell r="AT96">
            <v>0</v>
          </cell>
          <cell r="AU96">
            <v>0</v>
          </cell>
          <cell r="AV96">
            <v>0</v>
          </cell>
          <cell r="AW96">
            <v>0</v>
          </cell>
          <cell r="AX96">
            <v>0</v>
          </cell>
          <cell r="AY96">
            <v>0</v>
          </cell>
          <cell r="AZ96">
            <v>0</v>
          </cell>
          <cell r="BA96">
            <v>0</v>
          </cell>
          <cell r="BB96">
            <v>0</v>
          </cell>
        </row>
        <row r="97">
          <cell r="P97">
            <v>44287</v>
          </cell>
          <cell r="Q97"/>
          <cell r="R97"/>
          <cell r="X97">
            <v>44652</v>
          </cell>
          <cell r="Y97">
            <v>44288</v>
          </cell>
          <cell r="AO97" t="str">
            <v>Airline Crew Group</v>
          </cell>
          <cell r="AP97">
            <v>0</v>
          </cell>
          <cell r="AQ97">
            <v>0</v>
          </cell>
          <cell r="AR97">
            <v>0</v>
          </cell>
          <cell r="AS97">
            <v>0</v>
          </cell>
          <cell r="AT97">
            <v>0</v>
          </cell>
          <cell r="AU97">
            <v>0</v>
          </cell>
          <cell r="AV97">
            <v>0</v>
          </cell>
          <cell r="AW97">
            <v>0</v>
          </cell>
          <cell r="AX97">
            <v>0</v>
          </cell>
          <cell r="AY97">
            <v>0</v>
          </cell>
          <cell r="AZ97">
            <v>0</v>
          </cell>
          <cell r="BA97">
            <v>0</v>
          </cell>
          <cell r="BB97">
            <v>0</v>
          </cell>
        </row>
        <row r="98">
          <cell r="P98">
            <v>44288</v>
          </cell>
          <cell r="Q98" t="str">
            <v>Good Friday</v>
          </cell>
          <cell r="R98" t="str">
            <v xml:space="preserve">Medium </v>
          </cell>
          <cell r="X98">
            <v>44653</v>
          </cell>
          <cell r="Y98">
            <v>44289</v>
          </cell>
          <cell r="AO98" t="str">
            <v>Complimentary</v>
          </cell>
          <cell r="AP98">
            <v>0</v>
          </cell>
          <cell r="AQ98">
            <v>0</v>
          </cell>
          <cell r="AR98">
            <v>0</v>
          </cell>
          <cell r="AS98">
            <v>0</v>
          </cell>
          <cell r="AT98">
            <v>0</v>
          </cell>
          <cell r="AU98">
            <v>0</v>
          </cell>
          <cell r="AV98">
            <v>0</v>
          </cell>
          <cell r="AW98">
            <v>0</v>
          </cell>
          <cell r="AX98">
            <v>0</v>
          </cell>
          <cell r="AY98">
            <v>0</v>
          </cell>
          <cell r="AZ98">
            <v>0</v>
          </cell>
          <cell r="BA98">
            <v>0</v>
          </cell>
          <cell r="BB98">
            <v>0</v>
          </cell>
        </row>
        <row r="99">
          <cell r="P99">
            <v>44289</v>
          </cell>
          <cell r="Q99"/>
          <cell r="R99"/>
          <cell r="X99">
            <v>44654</v>
          </cell>
          <cell r="Y99">
            <v>44290</v>
          </cell>
          <cell r="AO99" t="str">
            <v>House Use</v>
          </cell>
          <cell r="AP99">
            <v>0</v>
          </cell>
          <cell r="AQ99">
            <v>0</v>
          </cell>
          <cell r="AR99">
            <v>0</v>
          </cell>
          <cell r="AS99">
            <v>0</v>
          </cell>
          <cell r="AT99">
            <v>0</v>
          </cell>
          <cell r="AU99">
            <v>0</v>
          </cell>
          <cell r="AV99">
            <v>0</v>
          </cell>
          <cell r="AW99">
            <v>0</v>
          </cell>
          <cell r="AX99">
            <v>0</v>
          </cell>
          <cell r="AY99">
            <v>0</v>
          </cell>
          <cell r="AZ99">
            <v>0</v>
          </cell>
          <cell r="BA99">
            <v>0</v>
          </cell>
          <cell r="BB99">
            <v>0</v>
          </cell>
        </row>
        <row r="100">
          <cell r="P100">
            <v>44290</v>
          </cell>
          <cell r="Q100"/>
          <cell r="R100"/>
          <cell r="X100">
            <v>44655</v>
          </cell>
          <cell r="Y100">
            <v>44291</v>
          </cell>
          <cell r="AO100" t="str">
            <v>System Use</v>
          </cell>
          <cell r="AP100">
            <v>0</v>
          </cell>
          <cell r="AQ100">
            <v>0</v>
          </cell>
          <cell r="AR100">
            <v>0</v>
          </cell>
          <cell r="AS100">
            <v>0</v>
          </cell>
          <cell r="AT100">
            <v>0</v>
          </cell>
          <cell r="AU100">
            <v>0</v>
          </cell>
          <cell r="AV100">
            <v>0</v>
          </cell>
          <cell r="AW100">
            <v>0</v>
          </cell>
          <cell r="AX100">
            <v>0</v>
          </cell>
          <cell r="AY100">
            <v>0</v>
          </cell>
          <cell r="AZ100">
            <v>0</v>
          </cell>
          <cell r="BA100">
            <v>0</v>
          </cell>
          <cell r="BB100">
            <v>0</v>
          </cell>
        </row>
        <row r="101">
          <cell r="P101">
            <v>44291</v>
          </cell>
          <cell r="Q101"/>
          <cell r="R101"/>
          <cell r="X101">
            <v>44656</v>
          </cell>
          <cell r="Y101">
            <v>44292</v>
          </cell>
          <cell r="AO101" t="str">
            <v>Total</v>
          </cell>
          <cell r="AP101">
            <v>8649117.9999999981</v>
          </cell>
          <cell r="AQ101">
            <v>8257401</v>
          </cell>
          <cell r="AR101">
            <v>9462129.9999999981</v>
          </cell>
          <cell r="AS101">
            <v>9199737</v>
          </cell>
          <cell r="AT101">
            <v>9857671.0000000019</v>
          </cell>
          <cell r="AU101">
            <v>9878054</v>
          </cell>
          <cell r="AV101">
            <v>10347426.999999998</v>
          </cell>
          <cell r="AW101">
            <v>10973634</v>
          </cell>
          <cell r="AX101">
            <v>11086529.999999998</v>
          </cell>
          <cell r="AY101">
            <v>12543617.999999998</v>
          </cell>
          <cell r="AZ101">
            <v>12560280</v>
          </cell>
          <cell r="BA101">
            <v>13417544</v>
          </cell>
          <cell r="BB101">
            <v>126233143.99999999</v>
          </cell>
        </row>
        <row r="102">
          <cell r="P102">
            <v>44292</v>
          </cell>
          <cell r="Q102"/>
          <cell r="R102"/>
          <cell r="X102">
            <v>44657</v>
          </cell>
          <cell r="Y102">
            <v>44293</v>
          </cell>
        </row>
        <row r="103">
          <cell r="P103">
            <v>44293</v>
          </cell>
          <cell r="Q103"/>
          <cell r="R103"/>
          <cell r="X103">
            <v>44658</v>
          </cell>
          <cell r="Y103">
            <v>44294</v>
          </cell>
        </row>
        <row r="104">
          <cell r="P104">
            <v>44294</v>
          </cell>
          <cell r="Q104"/>
          <cell r="R104"/>
          <cell r="X104">
            <v>44659</v>
          </cell>
          <cell r="Y104">
            <v>44295</v>
          </cell>
        </row>
        <row r="105">
          <cell r="P105">
            <v>44295</v>
          </cell>
          <cell r="Q105"/>
          <cell r="R105"/>
          <cell r="X105">
            <v>44660</v>
          </cell>
          <cell r="Y105">
            <v>44296</v>
          </cell>
        </row>
        <row r="106">
          <cell r="P106">
            <v>44296</v>
          </cell>
          <cell r="Q106"/>
          <cell r="R106"/>
          <cell r="X106">
            <v>44661</v>
          </cell>
          <cell r="Y106">
            <v>44297</v>
          </cell>
        </row>
        <row r="107">
          <cell r="P107">
            <v>44297</v>
          </cell>
          <cell r="Q107"/>
          <cell r="R107"/>
          <cell r="X107">
            <v>44662</v>
          </cell>
          <cell r="Y107">
            <v>44298</v>
          </cell>
        </row>
        <row r="108">
          <cell r="P108">
            <v>44298</v>
          </cell>
          <cell r="Q108"/>
          <cell r="R108"/>
          <cell r="X108">
            <v>44663</v>
          </cell>
          <cell r="Y108">
            <v>44299</v>
          </cell>
        </row>
        <row r="109">
          <cell r="P109">
            <v>44299</v>
          </cell>
          <cell r="Q109" t="str">
            <v>Gudi Padwa / Ugadi</v>
          </cell>
          <cell r="R109" t="str">
            <v xml:space="preserve">Low </v>
          </cell>
          <cell r="X109">
            <v>44664</v>
          </cell>
          <cell r="Y109">
            <v>44300</v>
          </cell>
        </row>
        <row r="110">
          <cell r="P110">
            <v>44300</v>
          </cell>
          <cell r="Q110"/>
          <cell r="R110"/>
          <cell r="X110">
            <v>44665</v>
          </cell>
          <cell r="Y110">
            <v>44301</v>
          </cell>
        </row>
        <row r="111">
          <cell r="P111">
            <v>44301</v>
          </cell>
          <cell r="Q111"/>
          <cell r="R111"/>
          <cell r="X111">
            <v>44666</v>
          </cell>
          <cell r="Y111">
            <v>44302</v>
          </cell>
        </row>
        <row r="112">
          <cell r="P112">
            <v>44302</v>
          </cell>
          <cell r="Q112"/>
          <cell r="R112"/>
          <cell r="X112">
            <v>44667</v>
          </cell>
          <cell r="Y112">
            <v>44303</v>
          </cell>
        </row>
        <row r="113">
          <cell r="P113">
            <v>44303</v>
          </cell>
          <cell r="Q113"/>
          <cell r="R113"/>
          <cell r="X113">
            <v>44668</v>
          </cell>
          <cell r="Y113">
            <v>44304</v>
          </cell>
        </row>
        <row r="114">
          <cell r="P114">
            <v>44304</v>
          </cell>
          <cell r="Q114"/>
          <cell r="R114"/>
          <cell r="X114">
            <v>44669</v>
          </cell>
          <cell r="Y114">
            <v>44305</v>
          </cell>
        </row>
        <row r="115">
          <cell r="P115">
            <v>44305</v>
          </cell>
          <cell r="Q115"/>
          <cell r="R115"/>
          <cell r="X115">
            <v>44670</v>
          </cell>
          <cell r="Y115">
            <v>44306</v>
          </cell>
        </row>
        <row r="116">
          <cell r="P116">
            <v>44306</v>
          </cell>
          <cell r="Q116"/>
          <cell r="R116"/>
          <cell r="X116">
            <v>44671</v>
          </cell>
          <cell r="Y116">
            <v>44307</v>
          </cell>
        </row>
        <row r="117">
          <cell r="P117">
            <v>44307</v>
          </cell>
          <cell r="Q117" t="str">
            <v>Ram Navami</v>
          </cell>
          <cell r="R117" t="str">
            <v xml:space="preserve">Low </v>
          </cell>
          <cell r="X117">
            <v>44672</v>
          </cell>
          <cell r="Y117">
            <v>44308</v>
          </cell>
        </row>
        <row r="118">
          <cell r="P118">
            <v>44308</v>
          </cell>
          <cell r="Q118"/>
          <cell r="R118"/>
          <cell r="X118">
            <v>44673</v>
          </cell>
          <cell r="Y118">
            <v>44309</v>
          </cell>
        </row>
        <row r="119">
          <cell r="P119">
            <v>44309</v>
          </cell>
          <cell r="Q119"/>
          <cell r="R119"/>
          <cell r="X119">
            <v>44674</v>
          </cell>
          <cell r="Y119">
            <v>44310</v>
          </cell>
        </row>
        <row r="120">
          <cell r="P120">
            <v>44310</v>
          </cell>
          <cell r="Q120"/>
          <cell r="R120"/>
          <cell r="X120">
            <v>44675</v>
          </cell>
          <cell r="Y120">
            <v>44311</v>
          </cell>
        </row>
        <row r="121">
          <cell r="P121">
            <v>44311</v>
          </cell>
          <cell r="Q121" t="str">
            <v>Mahavir Jayanti</v>
          </cell>
          <cell r="R121" t="str">
            <v xml:space="preserve">Low </v>
          </cell>
          <cell r="X121">
            <v>44676</v>
          </cell>
          <cell r="Y121">
            <v>44312</v>
          </cell>
        </row>
        <row r="122">
          <cell r="P122">
            <v>44312</v>
          </cell>
          <cell r="Q122"/>
          <cell r="R122"/>
          <cell r="X122">
            <v>44677</v>
          </cell>
          <cell r="Y122">
            <v>44313</v>
          </cell>
        </row>
        <row r="123">
          <cell r="P123">
            <v>44313</v>
          </cell>
          <cell r="Q123"/>
          <cell r="R123"/>
          <cell r="X123">
            <v>44678</v>
          </cell>
          <cell r="Y123">
            <v>44314</v>
          </cell>
        </row>
        <row r="124">
          <cell r="P124">
            <v>44314</v>
          </cell>
          <cell r="Q124"/>
          <cell r="R124"/>
          <cell r="X124">
            <v>44679</v>
          </cell>
          <cell r="Y124">
            <v>44315</v>
          </cell>
        </row>
        <row r="125">
          <cell r="P125">
            <v>44315</v>
          </cell>
          <cell r="Q125"/>
          <cell r="R125"/>
          <cell r="X125">
            <v>44680</v>
          </cell>
          <cell r="Y125">
            <v>44316</v>
          </cell>
        </row>
        <row r="126">
          <cell r="P126">
            <v>44316</v>
          </cell>
          <cell r="Q126"/>
          <cell r="R126"/>
          <cell r="X126">
            <v>44681</v>
          </cell>
          <cell r="Y126">
            <v>44317</v>
          </cell>
        </row>
        <row r="127">
          <cell r="P127">
            <v>44317</v>
          </cell>
          <cell r="Q127" t="str">
            <v>Labour Day</v>
          </cell>
          <cell r="R127" t="str">
            <v xml:space="preserve">Low </v>
          </cell>
          <cell r="X127">
            <v>44682</v>
          </cell>
          <cell r="Y127">
            <v>44318</v>
          </cell>
        </row>
        <row r="128">
          <cell r="P128">
            <v>44318</v>
          </cell>
          <cell r="Q128"/>
          <cell r="R128"/>
          <cell r="X128">
            <v>44683</v>
          </cell>
          <cell r="Y128">
            <v>44319</v>
          </cell>
        </row>
        <row r="129">
          <cell r="P129">
            <v>44319</v>
          </cell>
          <cell r="Q129"/>
          <cell r="R129"/>
          <cell r="X129">
            <v>44684</v>
          </cell>
          <cell r="Y129">
            <v>44320</v>
          </cell>
        </row>
        <row r="130">
          <cell r="P130">
            <v>44320</v>
          </cell>
          <cell r="Q130"/>
          <cell r="R130"/>
          <cell r="X130">
            <v>44685</v>
          </cell>
          <cell r="Y130">
            <v>44321</v>
          </cell>
        </row>
        <row r="131">
          <cell r="P131">
            <v>44321</v>
          </cell>
          <cell r="Q131"/>
          <cell r="R131"/>
          <cell r="X131">
            <v>44686</v>
          </cell>
          <cell r="Y131">
            <v>44322</v>
          </cell>
        </row>
        <row r="132">
          <cell r="P132">
            <v>44322</v>
          </cell>
          <cell r="Q132"/>
          <cell r="R132"/>
          <cell r="X132">
            <v>44687</v>
          </cell>
          <cell r="Y132">
            <v>44323</v>
          </cell>
        </row>
        <row r="133">
          <cell r="P133">
            <v>44323</v>
          </cell>
          <cell r="Q133"/>
          <cell r="R133"/>
          <cell r="X133">
            <v>44688</v>
          </cell>
          <cell r="Y133">
            <v>44324</v>
          </cell>
        </row>
        <row r="134">
          <cell r="P134">
            <v>44324</v>
          </cell>
          <cell r="Q134"/>
          <cell r="R134"/>
          <cell r="X134">
            <v>44689</v>
          </cell>
          <cell r="Y134">
            <v>44325</v>
          </cell>
        </row>
        <row r="135">
          <cell r="P135">
            <v>44325</v>
          </cell>
          <cell r="Q135"/>
          <cell r="R135"/>
          <cell r="X135">
            <v>44690</v>
          </cell>
          <cell r="Y135">
            <v>44326</v>
          </cell>
        </row>
        <row r="136">
          <cell r="P136">
            <v>44326</v>
          </cell>
          <cell r="Q136"/>
          <cell r="R136"/>
          <cell r="X136">
            <v>44691</v>
          </cell>
          <cell r="Y136">
            <v>44327</v>
          </cell>
        </row>
        <row r="137">
          <cell r="P137">
            <v>44327</v>
          </cell>
          <cell r="Q137"/>
          <cell r="R137"/>
          <cell r="X137">
            <v>44692</v>
          </cell>
          <cell r="Y137">
            <v>44328</v>
          </cell>
        </row>
        <row r="138">
          <cell r="P138">
            <v>44328</v>
          </cell>
          <cell r="Q138"/>
          <cell r="R138"/>
          <cell r="X138">
            <v>44693</v>
          </cell>
          <cell r="Y138">
            <v>44329</v>
          </cell>
        </row>
        <row r="139">
          <cell r="P139">
            <v>44329</v>
          </cell>
          <cell r="Q139" t="str">
            <v>Eid-ul-Fitar</v>
          </cell>
          <cell r="R139" t="str">
            <v xml:space="preserve">Low </v>
          </cell>
          <cell r="X139">
            <v>44694</v>
          </cell>
          <cell r="Y139">
            <v>44330</v>
          </cell>
        </row>
        <row r="140">
          <cell r="P140">
            <v>44330</v>
          </cell>
          <cell r="Q140"/>
          <cell r="R140"/>
          <cell r="X140">
            <v>44695</v>
          </cell>
          <cell r="Y140">
            <v>44331</v>
          </cell>
        </row>
        <row r="141">
          <cell r="P141">
            <v>44331</v>
          </cell>
          <cell r="Q141"/>
          <cell r="R141"/>
          <cell r="X141">
            <v>44696</v>
          </cell>
          <cell r="Y141">
            <v>44332</v>
          </cell>
        </row>
        <row r="142">
          <cell r="P142">
            <v>44332</v>
          </cell>
          <cell r="Q142"/>
          <cell r="R142"/>
          <cell r="X142">
            <v>44697</v>
          </cell>
          <cell r="Y142">
            <v>44333</v>
          </cell>
        </row>
        <row r="143">
          <cell r="P143">
            <v>44333</v>
          </cell>
          <cell r="Q143"/>
          <cell r="R143"/>
          <cell r="X143">
            <v>44698</v>
          </cell>
          <cell r="Y143">
            <v>44334</v>
          </cell>
        </row>
        <row r="144">
          <cell r="P144">
            <v>44334</v>
          </cell>
          <cell r="Q144"/>
          <cell r="R144"/>
          <cell r="X144">
            <v>44699</v>
          </cell>
          <cell r="Y144">
            <v>44335</v>
          </cell>
        </row>
        <row r="145">
          <cell r="P145">
            <v>44335</v>
          </cell>
          <cell r="Q145"/>
          <cell r="R145"/>
          <cell r="X145">
            <v>44700</v>
          </cell>
          <cell r="Y145">
            <v>44336</v>
          </cell>
        </row>
        <row r="146">
          <cell r="P146">
            <v>44336</v>
          </cell>
          <cell r="Q146"/>
          <cell r="R146"/>
          <cell r="X146">
            <v>44701</v>
          </cell>
          <cell r="Y146">
            <v>44337</v>
          </cell>
        </row>
        <row r="147">
          <cell r="P147">
            <v>44337</v>
          </cell>
          <cell r="Q147"/>
          <cell r="R147"/>
          <cell r="X147">
            <v>44702</v>
          </cell>
          <cell r="Y147">
            <v>44338</v>
          </cell>
        </row>
        <row r="148">
          <cell r="P148">
            <v>44338</v>
          </cell>
          <cell r="Q148"/>
          <cell r="R148"/>
          <cell r="X148">
            <v>44703</v>
          </cell>
          <cell r="Y148">
            <v>44339</v>
          </cell>
        </row>
        <row r="149">
          <cell r="P149">
            <v>44339</v>
          </cell>
          <cell r="Q149"/>
          <cell r="R149"/>
          <cell r="X149">
            <v>44704</v>
          </cell>
          <cell r="Y149">
            <v>44340</v>
          </cell>
        </row>
        <row r="150">
          <cell r="P150">
            <v>44340</v>
          </cell>
          <cell r="Q150"/>
          <cell r="R150"/>
          <cell r="X150">
            <v>44705</v>
          </cell>
          <cell r="Y150">
            <v>44341</v>
          </cell>
        </row>
        <row r="151">
          <cell r="P151">
            <v>44341</v>
          </cell>
          <cell r="Q151" t="str">
            <v>Eid-ul-Fitr</v>
          </cell>
          <cell r="R151" t="str">
            <v xml:space="preserve">Low </v>
          </cell>
          <cell r="X151">
            <v>44706</v>
          </cell>
          <cell r="Y151">
            <v>44342</v>
          </cell>
        </row>
        <row r="152">
          <cell r="P152">
            <v>44342</v>
          </cell>
          <cell r="Q152" t="str">
            <v>Buddha Purnima</v>
          </cell>
          <cell r="R152" t="str">
            <v xml:space="preserve">Low </v>
          </cell>
          <cell r="X152">
            <v>44707</v>
          </cell>
          <cell r="Y152">
            <v>44343</v>
          </cell>
        </row>
        <row r="153">
          <cell r="P153">
            <v>44343</v>
          </cell>
          <cell r="Q153"/>
          <cell r="R153"/>
          <cell r="X153">
            <v>44708</v>
          </cell>
          <cell r="Y153">
            <v>44344</v>
          </cell>
        </row>
        <row r="154">
          <cell r="P154">
            <v>44344</v>
          </cell>
          <cell r="Q154"/>
          <cell r="R154"/>
          <cell r="X154">
            <v>44709</v>
          </cell>
          <cell r="Y154">
            <v>44345</v>
          </cell>
        </row>
        <row r="155">
          <cell r="P155">
            <v>44345</v>
          </cell>
          <cell r="Q155"/>
          <cell r="R155"/>
          <cell r="X155">
            <v>44710</v>
          </cell>
          <cell r="Y155">
            <v>44346</v>
          </cell>
        </row>
        <row r="156">
          <cell r="P156">
            <v>44346</v>
          </cell>
          <cell r="Q156"/>
          <cell r="R156"/>
          <cell r="X156">
            <v>44711</v>
          </cell>
          <cell r="Y156">
            <v>44347</v>
          </cell>
        </row>
        <row r="157">
          <cell r="P157">
            <v>44347</v>
          </cell>
          <cell r="Q157"/>
          <cell r="R157"/>
          <cell r="X157">
            <v>44712</v>
          </cell>
          <cell r="Y157">
            <v>44348</v>
          </cell>
        </row>
        <row r="158">
          <cell r="P158">
            <v>44348</v>
          </cell>
          <cell r="Q158"/>
          <cell r="R158"/>
          <cell r="X158">
            <v>44713</v>
          </cell>
          <cell r="Y158">
            <v>44349</v>
          </cell>
        </row>
        <row r="159">
          <cell r="P159">
            <v>44349</v>
          </cell>
          <cell r="Q159"/>
          <cell r="R159"/>
          <cell r="X159">
            <v>44714</v>
          </cell>
          <cell r="Y159">
            <v>44350</v>
          </cell>
        </row>
        <row r="160">
          <cell r="P160">
            <v>44350</v>
          </cell>
          <cell r="Q160"/>
          <cell r="R160"/>
          <cell r="X160">
            <v>44715</v>
          </cell>
          <cell r="Y160">
            <v>44351</v>
          </cell>
        </row>
        <row r="161">
          <cell r="P161">
            <v>44351</v>
          </cell>
          <cell r="Q161"/>
          <cell r="R161"/>
          <cell r="X161">
            <v>44716</v>
          </cell>
          <cell r="Y161">
            <v>44352</v>
          </cell>
        </row>
        <row r="162">
          <cell r="P162">
            <v>44352</v>
          </cell>
          <cell r="Q162"/>
          <cell r="R162"/>
          <cell r="X162">
            <v>44717</v>
          </cell>
          <cell r="Y162">
            <v>44353</v>
          </cell>
        </row>
        <row r="163">
          <cell r="P163">
            <v>44353</v>
          </cell>
          <cell r="Q163"/>
          <cell r="R163"/>
          <cell r="X163">
            <v>44718</v>
          </cell>
          <cell r="Y163">
            <v>44354</v>
          </cell>
        </row>
        <row r="164">
          <cell r="P164">
            <v>44354</v>
          </cell>
          <cell r="Q164"/>
          <cell r="R164"/>
          <cell r="X164">
            <v>44719</v>
          </cell>
          <cell r="Y164">
            <v>44355</v>
          </cell>
        </row>
        <row r="165">
          <cell r="P165">
            <v>44355</v>
          </cell>
          <cell r="Q165"/>
          <cell r="R165"/>
          <cell r="X165">
            <v>44720</v>
          </cell>
          <cell r="Y165">
            <v>44356</v>
          </cell>
        </row>
        <row r="166">
          <cell r="P166">
            <v>44356</v>
          </cell>
          <cell r="Q166"/>
          <cell r="R166"/>
          <cell r="X166">
            <v>44721</v>
          </cell>
          <cell r="Y166">
            <v>44357</v>
          </cell>
        </row>
        <row r="167">
          <cell r="P167">
            <v>44357</v>
          </cell>
          <cell r="Q167"/>
          <cell r="R167"/>
          <cell r="X167">
            <v>44722</v>
          </cell>
          <cell r="Y167">
            <v>44358</v>
          </cell>
        </row>
        <row r="168">
          <cell r="P168">
            <v>44358</v>
          </cell>
          <cell r="Q168"/>
          <cell r="R168"/>
          <cell r="X168">
            <v>44723</v>
          </cell>
          <cell r="Y168">
            <v>44359</v>
          </cell>
        </row>
        <row r="169">
          <cell r="P169">
            <v>44359</v>
          </cell>
          <cell r="Q169"/>
          <cell r="R169"/>
          <cell r="X169">
            <v>44724</v>
          </cell>
          <cell r="Y169">
            <v>44360</v>
          </cell>
        </row>
        <row r="170">
          <cell r="P170">
            <v>44360</v>
          </cell>
          <cell r="Q170"/>
          <cell r="R170"/>
          <cell r="X170">
            <v>44725</v>
          </cell>
          <cell r="Y170">
            <v>44361</v>
          </cell>
        </row>
        <row r="171">
          <cell r="P171">
            <v>44361</v>
          </cell>
          <cell r="Q171"/>
          <cell r="R171"/>
          <cell r="X171">
            <v>44726</v>
          </cell>
          <cell r="Y171">
            <v>44362</v>
          </cell>
        </row>
        <row r="172">
          <cell r="P172">
            <v>44362</v>
          </cell>
          <cell r="Q172"/>
          <cell r="R172"/>
          <cell r="X172">
            <v>44727</v>
          </cell>
          <cell r="Y172">
            <v>44363</v>
          </cell>
        </row>
        <row r="173">
          <cell r="P173">
            <v>44363</v>
          </cell>
          <cell r="Q173"/>
          <cell r="R173"/>
          <cell r="X173">
            <v>44728</v>
          </cell>
          <cell r="Y173">
            <v>44364</v>
          </cell>
        </row>
        <row r="174">
          <cell r="P174">
            <v>44364</v>
          </cell>
          <cell r="Q174"/>
          <cell r="R174"/>
          <cell r="X174">
            <v>44729</v>
          </cell>
          <cell r="Y174">
            <v>44365</v>
          </cell>
        </row>
        <row r="175">
          <cell r="P175">
            <v>44365</v>
          </cell>
          <cell r="Q175"/>
          <cell r="R175"/>
          <cell r="X175">
            <v>44730</v>
          </cell>
          <cell r="Y175">
            <v>44366</v>
          </cell>
        </row>
        <row r="176">
          <cell r="P176">
            <v>44366</v>
          </cell>
          <cell r="Q176"/>
          <cell r="R176"/>
          <cell r="X176">
            <v>44731</v>
          </cell>
          <cell r="Y176">
            <v>44367</v>
          </cell>
        </row>
        <row r="177">
          <cell r="P177">
            <v>44367</v>
          </cell>
          <cell r="Q177"/>
          <cell r="R177"/>
          <cell r="X177">
            <v>44732</v>
          </cell>
          <cell r="Y177">
            <v>44368</v>
          </cell>
        </row>
        <row r="178">
          <cell r="P178">
            <v>44368</v>
          </cell>
          <cell r="Q178"/>
          <cell r="R178"/>
          <cell r="X178">
            <v>44733</v>
          </cell>
          <cell r="Y178">
            <v>44369</v>
          </cell>
        </row>
        <row r="179">
          <cell r="P179">
            <v>44369</v>
          </cell>
          <cell r="Q179"/>
          <cell r="R179"/>
          <cell r="X179">
            <v>44734</v>
          </cell>
          <cell r="Y179">
            <v>44370</v>
          </cell>
        </row>
        <row r="180">
          <cell r="P180">
            <v>44370</v>
          </cell>
          <cell r="Q180"/>
          <cell r="R180"/>
          <cell r="X180">
            <v>44735</v>
          </cell>
          <cell r="Y180">
            <v>44371</v>
          </cell>
        </row>
        <row r="181">
          <cell r="P181">
            <v>44371</v>
          </cell>
          <cell r="Q181"/>
          <cell r="R181"/>
          <cell r="X181">
            <v>44736</v>
          </cell>
          <cell r="Y181">
            <v>44372</v>
          </cell>
        </row>
        <row r="182">
          <cell r="P182">
            <v>44372</v>
          </cell>
          <cell r="Q182"/>
          <cell r="R182"/>
          <cell r="X182">
            <v>44737</v>
          </cell>
          <cell r="Y182">
            <v>44373</v>
          </cell>
        </row>
        <row r="183">
          <cell r="P183">
            <v>44373</v>
          </cell>
          <cell r="Q183"/>
          <cell r="R183"/>
          <cell r="X183">
            <v>44738</v>
          </cell>
          <cell r="Y183">
            <v>44374</v>
          </cell>
        </row>
        <row r="184">
          <cell r="P184">
            <v>44374</v>
          </cell>
          <cell r="Q184"/>
          <cell r="R184"/>
          <cell r="X184">
            <v>44739</v>
          </cell>
          <cell r="Y184">
            <v>44375</v>
          </cell>
        </row>
        <row r="185">
          <cell r="P185">
            <v>44375</v>
          </cell>
          <cell r="Q185"/>
          <cell r="R185"/>
          <cell r="X185">
            <v>44740</v>
          </cell>
          <cell r="Y185">
            <v>44376</v>
          </cell>
        </row>
        <row r="186">
          <cell r="P186">
            <v>44376</v>
          </cell>
          <cell r="Q186"/>
          <cell r="R186"/>
          <cell r="X186">
            <v>44741</v>
          </cell>
          <cell r="Y186">
            <v>44377</v>
          </cell>
        </row>
        <row r="187">
          <cell r="P187">
            <v>44377</v>
          </cell>
          <cell r="Q187"/>
          <cell r="R187"/>
          <cell r="X187">
            <v>44742</v>
          </cell>
          <cell r="Y187">
            <v>44378</v>
          </cell>
        </row>
        <row r="188">
          <cell r="P188">
            <v>44378</v>
          </cell>
          <cell r="Q188"/>
          <cell r="R188"/>
          <cell r="X188">
            <v>44743</v>
          </cell>
          <cell r="Y188">
            <v>44379</v>
          </cell>
        </row>
        <row r="189">
          <cell r="P189">
            <v>44379</v>
          </cell>
          <cell r="Q189"/>
          <cell r="R189"/>
          <cell r="X189">
            <v>44744</v>
          </cell>
          <cell r="Y189">
            <v>44380</v>
          </cell>
        </row>
        <row r="190">
          <cell r="P190">
            <v>44380</v>
          </cell>
          <cell r="Q190"/>
          <cell r="R190"/>
          <cell r="X190">
            <v>44745</v>
          </cell>
          <cell r="Y190">
            <v>44381</v>
          </cell>
        </row>
        <row r="191">
          <cell r="P191">
            <v>44381</v>
          </cell>
          <cell r="Q191"/>
          <cell r="R191"/>
          <cell r="X191">
            <v>44746</v>
          </cell>
          <cell r="Y191">
            <v>44382</v>
          </cell>
        </row>
        <row r="192">
          <cell r="P192">
            <v>44382</v>
          </cell>
          <cell r="Q192"/>
          <cell r="R192"/>
          <cell r="X192">
            <v>44747</v>
          </cell>
          <cell r="Y192">
            <v>44383</v>
          </cell>
        </row>
        <row r="193">
          <cell r="P193">
            <v>44383</v>
          </cell>
          <cell r="Q193"/>
          <cell r="R193"/>
          <cell r="X193">
            <v>44748</v>
          </cell>
          <cell r="Y193">
            <v>44384</v>
          </cell>
        </row>
        <row r="194">
          <cell r="P194">
            <v>44384</v>
          </cell>
          <cell r="Q194"/>
          <cell r="R194"/>
          <cell r="X194">
            <v>44749</v>
          </cell>
          <cell r="Y194">
            <v>44385</v>
          </cell>
        </row>
        <row r="195">
          <cell r="P195">
            <v>44385</v>
          </cell>
          <cell r="Q195"/>
          <cell r="R195"/>
          <cell r="X195">
            <v>44750</v>
          </cell>
          <cell r="Y195">
            <v>44386</v>
          </cell>
        </row>
        <row r="196">
          <cell r="P196">
            <v>44386</v>
          </cell>
          <cell r="Q196"/>
          <cell r="R196"/>
          <cell r="X196">
            <v>44751</v>
          </cell>
          <cell r="Y196">
            <v>44387</v>
          </cell>
        </row>
        <row r="197">
          <cell r="P197">
            <v>44387</v>
          </cell>
          <cell r="Q197"/>
          <cell r="R197"/>
          <cell r="X197">
            <v>44752</v>
          </cell>
          <cell r="Y197">
            <v>44388</v>
          </cell>
        </row>
        <row r="198">
          <cell r="P198">
            <v>44388</v>
          </cell>
          <cell r="Q198"/>
          <cell r="R198"/>
          <cell r="X198">
            <v>44753</v>
          </cell>
          <cell r="Y198">
            <v>44389</v>
          </cell>
        </row>
        <row r="199">
          <cell r="P199">
            <v>44389</v>
          </cell>
          <cell r="Q199"/>
          <cell r="R199"/>
          <cell r="X199">
            <v>44754</v>
          </cell>
          <cell r="Y199">
            <v>44390</v>
          </cell>
        </row>
        <row r="200">
          <cell r="P200">
            <v>44390</v>
          </cell>
          <cell r="Q200"/>
          <cell r="R200"/>
          <cell r="X200">
            <v>44755</v>
          </cell>
          <cell r="Y200">
            <v>44391</v>
          </cell>
        </row>
        <row r="201">
          <cell r="P201">
            <v>44391</v>
          </cell>
          <cell r="Q201"/>
          <cell r="R201"/>
          <cell r="X201">
            <v>44756</v>
          </cell>
          <cell r="Y201">
            <v>44392</v>
          </cell>
        </row>
        <row r="202">
          <cell r="P202">
            <v>44392</v>
          </cell>
          <cell r="Q202"/>
          <cell r="R202"/>
          <cell r="X202">
            <v>44757</v>
          </cell>
          <cell r="Y202">
            <v>44393</v>
          </cell>
        </row>
        <row r="203">
          <cell r="P203">
            <v>44393</v>
          </cell>
          <cell r="Q203"/>
          <cell r="R203"/>
          <cell r="X203">
            <v>44758</v>
          </cell>
          <cell r="Y203">
            <v>44394</v>
          </cell>
        </row>
        <row r="204">
          <cell r="P204">
            <v>44394</v>
          </cell>
          <cell r="Q204"/>
          <cell r="R204"/>
          <cell r="X204">
            <v>44759</v>
          </cell>
          <cell r="Y204">
            <v>44395</v>
          </cell>
        </row>
        <row r="205">
          <cell r="P205">
            <v>44395</v>
          </cell>
          <cell r="Q205"/>
          <cell r="R205"/>
          <cell r="X205">
            <v>44760</v>
          </cell>
          <cell r="Y205">
            <v>44396</v>
          </cell>
        </row>
        <row r="206">
          <cell r="P206">
            <v>44396</v>
          </cell>
          <cell r="Q206"/>
          <cell r="R206"/>
          <cell r="X206">
            <v>44761</v>
          </cell>
          <cell r="Y206">
            <v>44397</v>
          </cell>
        </row>
        <row r="207">
          <cell r="P207">
            <v>44397</v>
          </cell>
          <cell r="Q207" t="str">
            <v>Bakri Eid</v>
          </cell>
          <cell r="R207" t="str">
            <v xml:space="preserve">Low </v>
          </cell>
          <cell r="X207">
            <v>44762</v>
          </cell>
          <cell r="Y207">
            <v>44398</v>
          </cell>
        </row>
        <row r="208">
          <cell r="P208">
            <v>44398</v>
          </cell>
          <cell r="Q208"/>
          <cell r="R208"/>
          <cell r="X208">
            <v>44763</v>
          </cell>
          <cell r="Y208">
            <v>44399</v>
          </cell>
        </row>
        <row r="209">
          <cell r="P209">
            <v>44399</v>
          </cell>
          <cell r="Q209"/>
          <cell r="R209"/>
          <cell r="X209">
            <v>44764</v>
          </cell>
          <cell r="Y209">
            <v>44400</v>
          </cell>
        </row>
        <row r="210">
          <cell r="P210">
            <v>44400</v>
          </cell>
          <cell r="Q210"/>
          <cell r="R210"/>
          <cell r="X210">
            <v>44765</v>
          </cell>
          <cell r="Y210">
            <v>44401</v>
          </cell>
        </row>
        <row r="211">
          <cell r="P211">
            <v>44401</v>
          </cell>
          <cell r="Q211"/>
          <cell r="R211"/>
          <cell r="X211">
            <v>44766</v>
          </cell>
          <cell r="Y211">
            <v>44402</v>
          </cell>
        </row>
        <row r="212">
          <cell r="P212">
            <v>44402</v>
          </cell>
          <cell r="Q212"/>
          <cell r="R212"/>
          <cell r="X212">
            <v>44767</v>
          </cell>
          <cell r="Y212">
            <v>44403</v>
          </cell>
        </row>
        <row r="213">
          <cell r="P213">
            <v>44403</v>
          </cell>
          <cell r="Q213"/>
          <cell r="R213"/>
          <cell r="X213">
            <v>44768</v>
          </cell>
          <cell r="Y213">
            <v>44404</v>
          </cell>
        </row>
        <row r="214">
          <cell r="P214">
            <v>44404</v>
          </cell>
          <cell r="Q214"/>
          <cell r="R214"/>
          <cell r="X214">
            <v>44769</v>
          </cell>
          <cell r="Y214">
            <v>44405</v>
          </cell>
        </row>
        <row r="215">
          <cell r="P215">
            <v>44405</v>
          </cell>
          <cell r="Q215"/>
          <cell r="R215"/>
          <cell r="X215">
            <v>44770</v>
          </cell>
          <cell r="Y215">
            <v>44406</v>
          </cell>
        </row>
        <row r="216">
          <cell r="P216">
            <v>44406</v>
          </cell>
          <cell r="Q216"/>
          <cell r="R216"/>
          <cell r="X216">
            <v>44771</v>
          </cell>
          <cell r="Y216">
            <v>44407</v>
          </cell>
        </row>
        <row r="217">
          <cell r="P217">
            <v>44407</v>
          </cell>
          <cell r="Q217"/>
          <cell r="R217"/>
          <cell r="X217">
            <v>44772</v>
          </cell>
          <cell r="Y217">
            <v>44408</v>
          </cell>
        </row>
        <row r="218">
          <cell r="P218">
            <v>44408</v>
          </cell>
          <cell r="Q218"/>
          <cell r="R218"/>
          <cell r="X218">
            <v>44773</v>
          </cell>
          <cell r="Y218">
            <v>44409</v>
          </cell>
        </row>
        <row r="219">
          <cell r="P219">
            <v>44409</v>
          </cell>
          <cell r="Q219"/>
          <cell r="R219"/>
          <cell r="X219">
            <v>44774</v>
          </cell>
          <cell r="Y219">
            <v>44410</v>
          </cell>
        </row>
        <row r="220">
          <cell r="P220">
            <v>44410</v>
          </cell>
          <cell r="Q220"/>
          <cell r="R220"/>
          <cell r="X220">
            <v>44775</v>
          </cell>
          <cell r="Y220">
            <v>44411</v>
          </cell>
        </row>
        <row r="221">
          <cell r="P221">
            <v>44411</v>
          </cell>
          <cell r="Q221"/>
          <cell r="R221"/>
          <cell r="X221">
            <v>44776</v>
          </cell>
          <cell r="Y221">
            <v>44412</v>
          </cell>
        </row>
        <row r="222">
          <cell r="P222">
            <v>44412</v>
          </cell>
          <cell r="Q222"/>
          <cell r="R222"/>
          <cell r="X222">
            <v>44777</v>
          </cell>
          <cell r="Y222">
            <v>44413</v>
          </cell>
        </row>
        <row r="223">
          <cell r="P223">
            <v>44413</v>
          </cell>
          <cell r="Q223"/>
          <cell r="R223"/>
          <cell r="X223">
            <v>44778</v>
          </cell>
          <cell r="Y223">
            <v>44414</v>
          </cell>
        </row>
        <row r="224">
          <cell r="P224">
            <v>44414</v>
          </cell>
          <cell r="Q224"/>
          <cell r="R224"/>
          <cell r="X224">
            <v>44779</v>
          </cell>
          <cell r="Y224">
            <v>44415</v>
          </cell>
        </row>
        <row r="225">
          <cell r="P225">
            <v>44415</v>
          </cell>
          <cell r="Q225"/>
          <cell r="R225"/>
          <cell r="X225">
            <v>44780</v>
          </cell>
          <cell r="Y225">
            <v>44416</v>
          </cell>
        </row>
        <row r="226">
          <cell r="P226">
            <v>44416</v>
          </cell>
          <cell r="Q226"/>
          <cell r="R226"/>
          <cell r="X226">
            <v>44781</v>
          </cell>
          <cell r="Y226">
            <v>44417</v>
          </cell>
        </row>
        <row r="227">
          <cell r="P227">
            <v>44417</v>
          </cell>
          <cell r="Q227"/>
          <cell r="R227"/>
          <cell r="X227">
            <v>44782</v>
          </cell>
          <cell r="Y227">
            <v>44418</v>
          </cell>
        </row>
        <row r="228">
          <cell r="P228">
            <v>44418</v>
          </cell>
          <cell r="Q228" t="str">
            <v>Muharram</v>
          </cell>
          <cell r="R228" t="str">
            <v xml:space="preserve">Low </v>
          </cell>
          <cell r="X228">
            <v>44783</v>
          </cell>
          <cell r="Y228">
            <v>44419</v>
          </cell>
        </row>
        <row r="229">
          <cell r="P229">
            <v>44419</v>
          </cell>
          <cell r="Q229"/>
          <cell r="R229"/>
          <cell r="X229">
            <v>44784</v>
          </cell>
          <cell r="Y229">
            <v>44420</v>
          </cell>
        </row>
        <row r="230">
          <cell r="P230">
            <v>44420</v>
          </cell>
          <cell r="Q230"/>
          <cell r="R230"/>
          <cell r="X230">
            <v>44785</v>
          </cell>
          <cell r="Y230">
            <v>44421</v>
          </cell>
        </row>
        <row r="231">
          <cell r="P231">
            <v>44421</v>
          </cell>
          <cell r="Q231"/>
          <cell r="R231"/>
          <cell r="X231">
            <v>44786</v>
          </cell>
          <cell r="Y231">
            <v>44422</v>
          </cell>
        </row>
        <row r="232">
          <cell r="P232">
            <v>44422</v>
          </cell>
          <cell r="Q232"/>
          <cell r="R232"/>
          <cell r="X232">
            <v>44787</v>
          </cell>
          <cell r="Y232">
            <v>44423</v>
          </cell>
        </row>
        <row r="233">
          <cell r="P233">
            <v>44423</v>
          </cell>
          <cell r="Q233" t="str">
            <v>Independence Day</v>
          </cell>
          <cell r="R233" t="str">
            <v xml:space="preserve">Low </v>
          </cell>
          <cell r="X233">
            <v>44788</v>
          </cell>
          <cell r="Y233">
            <v>44424</v>
          </cell>
        </row>
        <row r="234">
          <cell r="P234">
            <v>44424</v>
          </cell>
          <cell r="Q234"/>
          <cell r="R234"/>
          <cell r="X234">
            <v>44789</v>
          </cell>
          <cell r="Y234">
            <v>44425</v>
          </cell>
        </row>
        <row r="235">
          <cell r="P235">
            <v>44425</v>
          </cell>
          <cell r="Q235"/>
          <cell r="R235"/>
          <cell r="X235">
            <v>44790</v>
          </cell>
          <cell r="Y235">
            <v>44426</v>
          </cell>
        </row>
        <row r="236">
          <cell r="P236">
            <v>44426</v>
          </cell>
          <cell r="Q236"/>
          <cell r="R236"/>
          <cell r="X236">
            <v>44791</v>
          </cell>
          <cell r="Y236">
            <v>44427</v>
          </cell>
        </row>
        <row r="237">
          <cell r="P237">
            <v>44427</v>
          </cell>
          <cell r="Q237"/>
          <cell r="R237"/>
          <cell r="X237">
            <v>44792</v>
          </cell>
          <cell r="Y237">
            <v>44428</v>
          </cell>
        </row>
        <row r="238">
          <cell r="P238">
            <v>44428</v>
          </cell>
          <cell r="Q238"/>
          <cell r="R238"/>
          <cell r="X238">
            <v>44793</v>
          </cell>
          <cell r="Y238">
            <v>44429</v>
          </cell>
        </row>
        <row r="239">
          <cell r="P239">
            <v>44429</v>
          </cell>
          <cell r="Q239" t="str">
            <v>Onam</v>
          </cell>
          <cell r="R239" t="str">
            <v xml:space="preserve">Low </v>
          </cell>
          <cell r="X239">
            <v>44794</v>
          </cell>
          <cell r="Y239">
            <v>44430</v>
          </cell>
        </row>
        <row r="240">
          <cell r="P240">
            <v>44430</v>
          </cell>
          <cell r="Q240"/>
          <cell r="R240"/>
          <cell r="X240">
            <v>44795</v>
          </cell>
          <cell r="Y240">
            <v>44431</v>
          </cell>
        </row>
        <row r="241">
          <cell r="P241">
            <v>44431</v>
          </cell>
          <cell r="Q241"/>
          <cell r="R241"/>
          <cell r="X241">
            <v>44796</v>
          </cell>
          <cell r="Y241">
            <v>44432</v>
          </cell>
        </row>
        <row r="242">
          <cell r="P242">
            <v>44432</v>
          </cell>
          <cell r="Q242"/>
          <cell r="R242"/>
          <cell r="X242">
            <v>44797</v>
          </cell>
          <cell r="Y242">
            <v>44433</v>
          </cell>
        </row>
        <row r="243">
          <cell r="P243">
            <v>44433</v>
          </cell>
          <cell r="Q243"/>
          <cell r="R243"/>
          <cell r="X243">
            <v>44798</v>
          </cell>
          <cell r="Y243">
            <v>44434</v>
          </cell>
        </row>
        <row r="244">
          <cell r="P244">
            <v>44434</v>
          </cell>
          <cell r="Q244"/>
          <cell r="R244"/>
          <cell r="X244">
            <v>44799</v>
          </cell>
          <cell r="Y244">
            <v>44435</v>
          </cell>
        </row>
        <row r="245">
          <cell r="P245">
            <v>44435</v>
          </cell>
          <cell r="Q245"/>
          <cell r="R245"/>
          <cell r="X245">
            <v>44800</v>
          </cell>
          <cell r="Y245">
            <v>44436</v>
          </cell>
        </row>
        <row r="246">
          <cell r="P246">
            <v>44436</v>
          </cell>
          <cell r="Q246"/>
          <cell r="R246"/>
          <cell r="X246">
            <v>44801</v>
          </cell>
          <cell r="Y246">
            <v>44437</v>
          </cell>
        </row>
        <row r="247">
          <cell r="P247">
            <v>44437</v>
          </cell>
          <cell r="Q247"/>
          <cell r="R247"/>
          <cell r="X247">
            <v>44802</v>
          </cell>
          <cell r="Y247">
            <v>44438</v>
          </cell>
        </row>
        <row r="248">
          <cell r="P248">
            <v>44438</v>
          </cell>
          <cell r="Q248" t="str">
            <v>Janamashtami</v>
          </cell>
          <cell r="R248" t="str">
            <v xml:space="preserve">Low </v>
          </cell>
          <cell r="X248">
            <v>44803</v>
          </cell>
          <cell r="Y248">
            <v>44439</v>
          </cell>
        </row>
        <row r="249">
          <cell r="P249">
            <v>44439</v>
          </cell>
          <cell r="Q249"/>
          <cell r="R249"/>
          <cell r="X249">
            <v>44804</v>
          </cell>
          <cell r="Y249">
            <v>44440</v>
          </cell>
        </row>
        <row r="250">
          <cell r="P250">
            <v>44440</v>
          </cell>
          <cell r="Q250"/>
          <cell r="R250"/>
          <cell r="X250">
            <v>44805</v>
          </cell>
          <cell r="Y250">
            <v>44441</v>
          </cell>
        </row>
        <row r="251">
          <cell r="P251">
            <v>44441</v>
          </cell>
          <cell r="Q251"/>
          <cell r="R251"/>
          <cell r="X251">
            <v>44806</v>
          </cell>
          <cell r="Y251">
            <v>44442</v>
          </cell>
        </row>
        <row r="252">
          <cell r="P252">
            <v>44442</v>
          </cell>
          <cell r="Q252"/>
          <cell r="R252"/>
          <cell r="X252">
            <v>44807</v>
          </cell>
          <cell r="Y252">
            <v>44443</v>
          </cell>
        </row>
        <row r="253">
          <cell r="P253">
            <v>44443</v>
          </cell>
          <cell r="Q253"/>
          <cell r="R253"/>
          <cell r="X253">
            <v>44808</v>
          </cell>
          <cell r="Y253">
            <v>44444</v>
          </cell>
        </row>
        <row r="254">
          <cell r="P254">
            <v>44444</v>
          </cell>
          <cell r="Q254"/>
          <cell r="R254"/>
          <cell r="X254">
            <v>44809</v>
          </cell>
          <cell r="Y254">
            <v>44445</v>
          </cell>
        </row>
        <row r="255">
          <cell r="P255">
            <v>44445</v>
          </cell>
          <cell r="Q255"/>
          <cell r="R255"/>
          <cell r="X255">
            <v>44810</v>
          </cell>
          <cell r="Y255">
            <v>44446</v>
          </cell>
        </row>
        <row r="256">
          <cell r="P256">
            <v>44446</v>
          </cell>
          <cell r="Q256"/>
          <cell r="R256"/>
          <cell r="X256">
            <v>44811</v>
          </cell>
          <cell r="Y256">
            <v>44447</v>
          </cell>
        </row>
        <row r="257">
          <cell r="P257">
            <v>44447</v>
          </cell>
          <cell r="Q257"/>
          <cell r="R257"/>
          <cell r="X257">
            <v>44812</v>
          </cell>
          <cell r="Y257">
            <v>44448</v>
          </cell>
        </row>
        <row r="258">
          <cell r="P258">
            <v>44448</v>
          </cell>
          <cell r="Q258"/>
          <cell r="R258"/>
          <cell r="X258">
            <v>44813</v>
          </cell>
          <cell r="Y258">
            <v>44449</v>
          </cell>
        </row>
        <row r="259">
          <cell r="P259">
            <v>44449</v>
          </cell>
          <cell r="Q259" t="str">
            <v>Vinayaka Chaturthi</v>
          </cell>
          <cell r="R259" t="str">
            <v xml:space="preserve">Low </v>
          </cell>
          <cell r="X259">
            <v>44814</v>
          </cell>
          <cell r="Y259">
            <v>44450</v>
          </cell>
        </row>
        <row r="260">
          <cell r="P260">
            <v>44450</v>
          </cell>
          <cell r="Q260"/>
          <cell r="R260"/>
          <cell r="X260">
            <v>44815</v>
          </cell>
          <cell r="Y260">
            <v>44451</v>
          </cell>
        </row>
        <row r="261">
          <cell r="P261">
            <v>44451</v>
          </cell>
          <cell r="Q261"/>
          <cell r="R261"/>
          <cell r="X261">
            <v>44816</v>
          </cell>
          <cell r="Y261">
            <v>44452</v>
          </cell>
        </row>
        <row r="262">
          <cell r="P262">
            <v>44452</v>
          </cell>
          <cell r="Q262"/>
          <cell r="R262"/>
          <cell r="X262">
            <v>44817</v>
          </cell>
          <cell r="Y262">
            <v>44453</v>
          </cell>
        </row>
        <row r="263">
          <cell r="P263">
            <v>44453</v>
          </cell>
          <cell r="Q263"/>
          <cell r="R263"/>
          <cell r="X263">
            <v>44818</v>
          </cell>
          <cell r="Y263">
            <v>44454</v>
          </cell>
        </row>
        <row r="264">
          <cell r="P264">
            <v>44454</v>
          </cell>
          <cell r="Q264"/>
          <cell r="R264"/>
          <cell r="X264">
            <v>44819</v>
          </cell>
          <cell r="Y264">
            <v>44455</v>
          </cell>
        </row>
        <row r="265">
          <cell r="P265">
            <v>44455</v>
          </cell>
          <cell r="Q265"/>
          <cell r="R265"/>
          <cell r="X265">
            <v>44820</v>
          </cell>
          <cell r="Y265">
            <v>44456</v>
          </cell>
        </row>
        <row r="266">
          <cell r="P266">
            <v>44456</v>
          </cell>
          <cell r="Q266"/>
          <cell r="R266"/>
          <cell r="X266">
            <v>44821</v>
          </cell>
          <cell r="Y266">
            <v>44457</v>
          </cell>
        </row>
        <row r="267">
          <cell r="P267">
            <v>44457</v>
          </cell>
          <cell r="Q267"/>
          <cell r="R267"/>
          <cell r="X267">
            <v>44822</v>
          </cell>
          <cell r="Y267">
            <v>44458</v>
          </cell>
        </row>
        <row r="268">
          <cell r="P268">
            <v>44458</v>
          </cell>
          <cell r="Q268"/>
          <cell r="R268"/>
          <cell r="X268">
            <v>44823</v>
          </cell>
          <cell r="Y268">
            <v>44459</v>
          </cell>
        </row>
        <row r="269">
          <cell r="P269">
            <v>44459</v>
          </cell>
          <cell r="Q269"/>
          <cell r="R269"/>
          <cell r="X269">
            <v>44824</v>
          </cell>
          <cell r="Y269">
            <v>44460</v>
          </cell>
        </row>
        <row r="270">
          <cell r="P270">
            <v>44460</v>
          </cell>
          <cell r="Q270"/>
          <cell r="R270"/>
          <cell r="X270">
            <v>44825</v>
          </cell>
          <cell r="Y270">
            <v>44461</v>
          </cell>
        </row>
        <row r="271">
          <cell r="P271">
            <v>44461</v>
          </cell>
          <cell r="Q271"/>
          <cell r="R271"/>
          <cell r="X271">
            <v>44826</v>
          </cell>
          <cell r="Y271">
            <v>44462</v>
          </cell>
        </row>
        <row r="272">
          <cell r="P272">
            <v>44462</v>
          </cell>
          <cell r="Q272"/>
          <cell r="R272"/>
          <cell r="X272">
            <v>44827</v>
          </cell>
          <cell r="Y272">
            <v>44463</v>
          </cell>
        </row>
        <row r="273">
          <cell r="P273">
            <v>44463</v>
          </cell>
          <cell r="Q273"/>
          <cell r="R273"/>
          <cell r="X273">
            <v>44828</v>
          </cell>
          <cell r="Y273">
            <v>44464</v>
          </cell>
        </row>
        <row r="274">
          <cell r="P274">
            <v>44464</v>
          </cell>
          <cell r="Q274"/>
          <cell r="R274"/>
          <cell r="X274">
            <v>44829</v>
          </cell>
          <cell r="Y274">
            <v>44465</v>
          </cell>
        </row>
        <row r="275">
          <cell r="P275">
            <v>44465</v>
          </cell>
          <cell r="Q275"/>
          <cell r="R275"/>
          <cell r="X275">
            <v>44830</v>
          </cell>
          <cell r="Y275">
            <v>44466</v>
          </cell>
        </row>
        <row r="276">
          <cell r="P276">
            <v>44466</v>
          </cell>
          <cell r="Q276"/>
          <cell r="R276"/>
          <cell r="X276">
            <v>44831</v>
          </cell>
          <cell r="Y276">
            <v>44467</v>
          </cell>
        </row>
        <row r="277">
          <cell r="P277">
            <v>44467</v>
          </cell>
          <cell r="Q277"/>
          <cell r="R277"/>
          <cell r="X277">
            <v>44832</v>
          </cell>
          <cell r="Y277">
            <v>44468</v>
          </cell>
        </row>
        <row r="278">
          <cell r="P278">
            <v>44468</v>
          </cell>
          <cell r="Q278"/>
          <cell r="R278"/>
          <cell r="X278">
            <v>44833</v>
          </cell>
          <cell r="Y278">
            <v>44469</v>
          </cell>
        </row>
        <row r="279">
          <cell r="P279">
            <v>44469</v>
          </cell>
          <cell r="Q279"/>
          <cell r="R279"/>
          <cell r="X279">
            <v>44834</v>
          </cell>
          <cell r="Y279">
            <v>44470</v>
          </cell>
        </row>
        <row r="280">
          <cell r="P280">
            <v>44470</v>
          </cell>
          <cell r="Q280"/>
          <cell r="R280"/>
          <cell r="X280">
            <v>44835</v>
          </cell>
          <cell r="Y280">
            <v>44471</v>
          </cell>
        </row>
        <row r="281">
          <cell r="P281">
            <v>44471</v>
          </cell>
          <cell r="Q281" t="str">
            <v>Gandhi Jayanti</v>
          </cell>
          <cell r="R281" t="str">
            <v xml:space="preserve">Low </v>
          </cell>
          <cell r="X281">
            <v>44836</v>
          </cell>
          <cell r="Y281">
            <v>44472</v>
          </cell>
        </row>
        <row r="282">
          <cell r="P282">
            <v>44472</v>
          </cell>
          <cell r="Q282"/>
          <cell r="R282"/>
          <cell r="X282">
            <v>44837</v>
          </cell>
          <cell r="Y282">
            <v>44473</v>
          </cell>
        </row>
        <row r="283">
          <cell r="P283">
            <v>44473</v>
          </cell>
          <cell r="Q283"/>
          <cell r="R283"/>
          <cell r="X283">
            <v>44838</v>
          </cell>
          <cell r="Y283">
            <v>44474</v>
          </cell>
        </row>
        <row r="284">
          <cell r="P284">
            <v>44474</v>
          </cell>
          <cell r="Q284"/>
          <cell r="R284"/>
          <cell r="X284">
            <v>44839</v>
          </cell>
          <cell r="Y284">
            <v>44475</v>
          </cell>
        </row>
        <row r="285">
          <cell r="P285">
            <v>44475</v>
          </cell>
          <cell r="Q285"/>
          <cell r="R285"/>
          <cell r="X285">
            <v>44840</v>
          </cell>
          <cell r="Y285">
            <v>44476</v>
          </cell>
        </row>
        <row r="286">
          <cell r="P286">
            <v>44476</v>
          </cell>
          <cell r="Q286"/>
          <cell r="R286"/>
          <cell r="X286">
            <v>44841</v>
          </cell>
          <cell r="Y286">
            <v>44477</v>
          </cell>
        </row>
        <row r="287">
          <cell r="P287">
            <v>44477</v>
          </cell>
          <cell r="Q287"/>
          <cell r="R287"/>
          <cell r="X287">
            <v>44842</v>
          </cell>
          <cell r="Y287">
            <v>44478</v>
          </cell>
        </row>
        <row r="288">
          <cell r="P288">
            <v>44478</v>
          </cell>
          <cell r="Q288"/>
          <cell r="R288"/>
          <cell r="X288">
            <v>44843</v>
          </cell>
          <cell r="Y288">
            <v>44479</v>
          </cell>
        </row>
        <row r="289">
          <cell r="P289">
            <v>44479</v>
          </cell>
          <cell r="Q289"/>
          <cell r="R289"/>
          <cell r="X289">
            <v>44844</v>
          </cell>
          <cell r="Y289">
            <v>44480</v>
          </cell>
        </row>
        <row r="290">
          <cell r="P290">
            <v>44480</v>
          </cell>
          <cell r="Q290"/>
          <cell r="R290"/>
          <cell r="X290">
            <v>44845</v>
          </cell>
          <cell r="Y290">
            <v>44481</v>
          </cell>
        </row>
        <row r="291">
          <cell r="P291">
            <v>44481</v>
          </cell>
          <cell r="Q291"/>
          <cell r="R291"/>
          <cell r="X291">
            <v>44846</v>
          </cell>
          <cell r="Y291">
            <v>44482</v>
          </cell>
        </row>
        <row r="292">
          <cell r="P292">
            <v>44482</v>
          </cell>
          <cell r="Q292"/>
          <cell r="R292"/>
          <cell r="X292">
            <v>44847</v>
          </cell>
          <cell r="Y292">
            <v>44483</v>
          </cell>
        </row>
        <row r="293">
          <cell r="P293">
            <v>44483</v>
          </cell>
          <cell r="Q293"/>
          <cell r="R293"/>
          <cell r="X293">
            <v>44848</v>
          </cell>
          <cell r="Y293">
            <v>44484</v>
          </cell>
        </row>
        <row r="294">
          <cell r="P294">
            <v>44484</v>
          </cell>
          <cell r="Q294" t="str">
            <v>Dussehra</v>
          </cell>
          <cell r="R294" t="str">
            <v xml:space="preserve">Low </v>
          </cell>
          <cell r="X294">
            <v>44849</v>
          </cell>
          <cell r="Y294">
            <v>44485</v>
          </cell>
        </row>
        <row r="295">
          <cell r="P295">
            <v>44485</v>
          </cell>
          <cell r="Q295"/>
          <cell r="R295"/>
          <cell r="X295">
            <v>44850</v>
          </cell>
          <cell r="Y295">
            <v>44486</v>
          </cell>
        </row>
        <row r="296">
          <cell r="P296">
            <v>44486</v>
          </cell>
          <cell r="Q296"/>
          <cell r="R296"/>
          <cell r="X296">
            <v>44851</v>
          </cell>
          <cell r="Y296">
            <v>44487</v>
          </cell>
        </row>
        <row r="297">
          <cell r="P297">
            <v>44487</v>
          </cell>
          <cell r="Q297"/>
          <cell r="R297"/>
          <cell r="X297">
            <v>44852</v>
          </cell>
          <cell r="Y297">
            <v>44488</v>
          </cell>
        </row>
        <row r="298">
          <cell r="P298">
            <v>44488</v>
          </cell>
          <cell r="Q298"/>
          <cell r="R298"/>
          <cell r="X298">
            <v>44853</v>
          </cell>
          <cell r="Y298">
            <v>44489</v>
          </cell>
        </row>
        <row r="299">
          <cell r="P299">
            <v>44489</v>
          </cell>
          <cell r="Q299"/>
          <cell r="R299"/>
          <cell r="X299">
            <v>44854</v>
          </cell>
          <cell r="Y299">
            <v>44490</v>
          </cell>
        </row>
        <row r="300">
          <cell r="P300">
            <v>44490</v>
          </cell>
          <cell r="Q300"/>
          <cell r="R300"/>
          <cell r="X300">
            <v>44855</v>
          </cell>
          <cell r="Y300">
            <v>44491</v>
          </cell>
        </row>
        <row r="301">
          <cell r="P301">
            <v>44491</v>
          </cell>
          <cell r="Q301"/>
          <cell r="R301"/>
          <cell r="X301">
            <v>44856</v>
          </cell>
          <cell r="Y301">
            <v>44492</v>
          </cell>
        </row>
        <row r="302">
          <cell r="P302">
            <v>44492</v>
          </cell>
          <cell r="Q302"/>
          <cell r="R302"/>
          <cell r="X302">
            <v>44857</v>
          </cell>
          <cell r="Y302">
            <v>44493</v>
          </cell>
        </row>
        <row r="303">
          <cell r="P303">
            <v>44493</v>
          </cell>
          <cell r="Q303"/>
          <cell r="R303"/>
          <cell r="X303">
            <v>44858</v>
          </cell>
          <cell r="Y303">
            <v>44494</v>
          </cell>
        </row>
        <row r="304">
          <cell r="P304">
            <v>44494</v>
          </cell>
          <cell r="Q304"/>
          <cell r="R304"/>
          <cell r="X304">
            <v>44859</v>
          </cell>
          <cell r="Y304">
            <v>44495</v>
          </cell>
        </row>
        <row r="305">
          <cell r="P305">
            <v>44495</v>
          </cell>
          <cell r="Q305"/>
          <cell r="R305"/>
          <cell r="X305">
            <v>44860</v>
          </cell>
          <cell r="Y305">
            <v>44496</v>
          </cell>
        </row>
        <row r="306">
          <cell r="P306">
            <v>44496</v>
          </cell>
          <cell r="Q306"/>
          <cell r="R306"/>
          <cell r="X306">
            <v>44861</v>
          </cell>
          <cell r="Y306">
            <v>44497</v>
          </cell>
        </row>
        <row r="307">
          <cell r="P307">
            <v>44497</v>
          </cell>
          <cell r="Q307"/>
          <cell r="R307"/>
          <cell r="X307">
            <v>44862</v>
          </cell>
          <cell r="Y307">
            <v>44498</v>
          </cell>
        </row>
        <row r="308">
          <cell r="P308">
            <v>44498</v>
          </cell>
          <cell r="Q308"/>
          <cell r="R308"/>
          <cell r="X308">
            <v>44863</v>
          </cell>
          <cell r="Y308">
            <v>44499</v>
          </cell>
        </row>
        <row r="309">
          <cell r="P309">
            <v>44499</v>
          </cell>
          <cell r="Q309"/>
          <cell r="R309"/>
          <cell r="X309">
            <v>44864</v>
          </cell>
          <cell r="Y309">
            <v>44500</v>
          </cell>
        </row>
        <row r="310">
          <cell r="P310">
            <v>44500</v>
          </cell>
          <cell r="Q310"/>
          <cell r="R310"/>
          <cell r="X310">
            <v>44865</v>
          </cell>
          <cell r="Y310">
            <v>44501</v>
          </cell>
        </row>
        <row r="311">
          <cell r="P311">
            <v>44501</v>
          </cell>
          <cell r="Q311"/>
          <cell r="R311"/>
          <cell r="X311">
            <v>44866</v>
          </cell>
          <cell r="Y311">
            <v>44502</v>
          </cell>
        </row>
        <row r="312">
          <cell r="P312">
            <v>44502</v>
          </cell>
          <cell r="Q312"/>
          <cell r="R312"/>
          <cell r="X312">
            <v>44867</v>
          </cell>
          <cell r="Y312">
            <v>44503</v>
          </cell>
        </row>
        <row r="313">
          <cell r="P313">
            <v>44503</v>
          </cell>
          <cell r="Q313"/>
          <cell r="R313"/>
          <cell r="X313">
            <v>44868</v>
          </cell>
          <cell r="Y313">
            <v>44504</v>
          </cell>
        </row>
        <row r="314">
          <cell r="P314">
            <v>44504</v>
          </cell>
          <cell r="Q314" t="str">
            <v>Diwali</v>
          </cell>
          <cell r="R314" t="str">
            <v xml:space="preserve">Low </v>
          </cell>
          <cell r="X314">
            <v>44869</v>
          </cell>
          <cell r="Y314">
            <v>44505</v>
          </cell>
        </row>
        <row r="315">
          <cell r="P315">
            <v>44505</v>
          </cell>
          <cell r="Q315"/>
          <cell r="R315"/>
          <cell r="X315">
            <v>44870</v>
          </cell>
          <cell r="Y315">
            <v>44506</v>
          </cell>
        </row>
        <row r="316">
          <cell r="P316">
            <v>44506</v>
          </cell>
          <cell r="Q316"/>
          <cell r="R316"/>
          <cell r="X316">
            <v>44871</v>
          </cell>
          <cell r="Y316">
            <v>44507</v>
          </cell>
        </row>
        <row r="317">
          <cell r="P317">
            <v>44507</v>
          </cell>
          <cell r="Q317"/>
          <cell r="R317"/>
          <cell r="X317">
            <v>44872</v>
          </cell>
          <cell r="Y317">
            <v>44508</v>
          </cell>
        </row>
        <row r="318">
          <cell r="P318">
            <v>44508</v>
          </cell>
          <cell r="Q318"/>
          <cell r="R318"/>
          <cell r="X318">
            <v>44873</v>
          </cell>
          <cell r="Y318">
            <v>44509</v>
          </cell>
        </row>
        <row r="319">
          <cell r="P319">
            <v>44509</v>
          </cell>
          <cell r="Q319"/>
          <cell r="R319"/>
          <cell r="X319">
            <v>44874</v>
          </cell>
          <cell r="Y319">
            <v>44510</v>
          </cell>
        </row>
        <row r="320">
          <cell r="P320">
            <v>44510</v>
          </cell>
          <cell r="Q320"/>
          <cell r="R320"/>
          <cell r="X320">
            <v>44875</v>
          </cell>
          <cell r="Y320">
            <v>44511</v>
          </cell>
        </row>
        <row r="321">
          <cell r="P321">
            <v>44511</v>
          </cell>
          <cell r="Q321"/>
          <cell r="R321"/>
          <cell r="X321">
            <v>44876</v>
          </cell>
          <cell r="Y321">
            <v>44512</v>
          </cell>
        </row>
        <row r="322">
          <cell r="P322">
            <v>44512</v>
          </cell>
          <cell r="Q322"/>
          <cell r="R322"/>
          <cell r="X322">
            <v>44877</v>
          </cell>
          <cell r="Y322">
            <v>44513</v>
          </cell>
        </row>
        <row r="323">
          <cell r="P323">
            <v>44513</v>
          </cell>
          <cell r="Q323"/>
          <cell r="R323"/>
          <cell r="X323">
            <v>44878</v>
          </cell>
          <cell r="Y323">
            <v>44514</v>
          </cell>
        </row>
        <row r="324">
          <cell r="P324">
            <v>44514</v>
          </cell>
          <cell r="Q324"/>
          <cell r="R324"/>
          <cell r="X324">
            <v>44879</v>
          </cell>
          <cell r="Y324">
            <v>44515</v>
          </cell>
        </row>
        <row r="325">
          <cell r="P325">
            <v>44515</v>
          </cell>
          <cell r="Q325"/>
          <cell r="R325"/>
          <cell r="X325">
            <v>44880</v>
          </cell>
          <cell r="Y325">
            <v>44516</v>
          </cell>
        </row>
        <row r="326">
          <cell r="P326">
            <v>44516</v>
          </cell>
          <cell r="Q326"/>
          <cell r="R326"/>
          <cell r="X326">
            <v>44881</v>
          </cell>
          <cell r="Y326">
            <v>44517</v>
          </cell>
        </row>
        <row r="327">
          <cell r="P327">
            <v>44517</v>
          </cell>
          <cell r="Q327"/>
          <cell r="R327"/>
          <cell r="X327">
            <v>44882</v>
          </cell>
          <cell r="Y327">
            <v>44518</v>
          </cell>
        </row>
        <row r="328">
          <cell r="P328">
            <v>44518</v>
          </cell>
          <cell r="Q328"/>
          <cell r="R328"/>
          <cell r="X328">
            <v>44883</v>
          </cell>
          <cell r="Y328">
            <v>44519</v>
          </cell>
        </row>
        <row r="329">
          <cell r="P329">
            <v>44519</v>
          </cell>
          <cell r="Q329" t="str">
            <v>Milad un Nabi</v>
          </cell>
          <cell r="R329" t="str">
            <v xml:space="preserve">Low </v>
          </cell>
          <cell r="X329">
            <v>44884</v>
          </cell>
          <cell r="Y329">
            <v>44520</v>
          </cell>
        </row>
        <row r="330">
          <cell r="P330">
            <v>44520</v>
          </cell>
          <cell r="Q330"/>
          <cell r="R330"/>
          <cell r="X330">
            <v>44885</v>
          </cell>
          <cell r="Y330">
            <v>44521</v>
          </cell>
        </row>
        <row r="331">
          <cell r="P331">
            <v>44521</v>
          </cell>
          <cell r="Q331"/>
          <cell r="R331"/>
          <cell r="X331">
            <v>44886</v>
          </cell>
          <cell r="Y331">
            <v>44522</v>
          </cell>
        </row>
        <row r="332">
          <cell r="P332">
            <v>44522</v>
          </cell>
          <cell r="Q332"/>
          <cell r="R332"/>
          <cell r="X332">
            <v>44887</v>
          </cell>
          <cell r="Y332">
            <v>44523</v>
          </cell>
        </row>
        <row r="333">
          <cell r="P333">
            <v>44523</v>
          </cell>
          <cell r="Q333"/>
          <cell r="R333"/>
          <cell r="X333">
            <v>44888</v>
          </cell>
          <cell r="Y333">
            <v>44524</v>
          </cell>
        </row>
        <row r="334">
          <cell r="P334">
            <v>44524</v>
          </cell>
          <cell r="Q334"/>
          <cell r="R334"/>
          <cell r="X334">
            <v>44889</v>
          </cell>
          <cell r="Y334">
            <v>44525</v>
          </cell>
        </row>
        <row r="335">
          <cell r="P335">
            <v>44525</v>
          </cell>
          <cell r="Q335"/>
          <cell r="R335"/>
          <cell r="X335">
            <v>44890</v>
          </cell>
          <cell r="Y335">
            <v>44526</v>
          </cell>
        </row>
        <row r="336">
          <cell r="P336">
            <v>44526</v>
          </cell>
          <cell r="Q336"/>
          <cell r="R336"/>
          <cell r="X336">
            <v>44891</v>
          </cell>
          <cell r="Y336">
            <v>44527</v>
          </cell>
        </row>
        <row r="337">
          <cell r="P337">
            <v>44527</v>
          </cell>
          <cell r="Q337"/>
          <cell r="R337"/>
          <cell r="X337">
            <v>44892</v>
          </cell>
          <cell r="Y337">
            <v>44528</v>
          </cell>
        </row>
        <row r="338">
          <cell r="P338">
            <v>44528</v>
          </cell>
          <cell r="Q338"/>
          <cell r="R338"/>
          <cell r="X338">
            <v>44893</v>
          </cell>
          <cell r="Y338">
            <v>44529</v>
          </cell>
        </row>
        <row r="339">
          <cell r="P339">
            <v>44529</v>
          </cell>
          <cell r="Q339"/>
          <cell r="R339"/>
          <cell r="X339">
            <v>44894</v>
          </cell>
          <cell r="Y339">
            <v>44530</v>
          </cell>
        </row>
        <row r="340">
          <cell r="P340">
            <v>44530</v>
          </cell>
          <cell r="Q340"/>
          <cell r="R340"/>
          <cell r="X340">
            <v>44895</v>
          </cell>
          <cell r="Y340">
            <v>44531</v>
          </cell>
        </row>
        <row r="341">
          <cell r="P341">
            <v>44531</v>
          </cell>
          <cell r="Q341"/>
          <cell r="R341"/>
          <cell r="X341">
            <v>44896</v>
          </cell>
          <cell r="Y341">
            <v>44532</v>
          </cell>
        </row>
        <row r="342">
          <cell r="P342">
            <v>44532</v>
          </cell>
          <cell r="Q342"/>
          <cell r="R342"/>
          <cell r="X342">
            <v>44897</v>
          </cell>
          <cell r="Y342">
            <v>44533</v>
          </cell>
        </row>
        <row r="343">
          <cell r="P343">
            <v>44533</v>
          </cell>
          <cell r="Q343"/>
          <cell r="R343"/>
          <cell r="X343">
            <v>44898</v>
          </cell>
          <cell r="Y343">
            <v>44534</v>
          </cell>
        </row>
        <row r="344">
          <cell r="P344">
            <v>44534</v>
          </cell>
          <cell r="Q344"/>
          <cell r="R344"/>
          <cell r="X344">
            <v>44899</v>
          </cell>
          <cell r="Y344">
            <v>44535</v>
          </cell>
        </row>
        <row r="345">
          <cell r="P345">
            <v>44535</v>
          </cell>
          <cell r="Q345"/>
          <cell r="R345"/>
          <cell r="X345">
            <v>44900</v>
          </cell>
          <cell r="Y345">
            <v>44536</v>
          </cell>
        </row>
        <row r="346">
          <cell r="P346">
            <v>44536</v>
          </cell>
          <cell r="Q346"/>
          <cell r="R346"/>
          <cell r="X346">
            <v>44901</v>
          </cell>
          <cell r="Y346">
            <v>44537</v>
          </cell>
        </row>
        <row r="347">
          <cell r="P347">
            <v>44537</v>
          </cell>
          <cell r="Q347"/>
          <cell r="R347"/>
          <cell r="X347">
            <v>44902</v>
          </cell>
          <cell r="Y347">
            <v>44538</v>
          </cell>
        </row>
        <row r="348">
          <cell r="P348">
            <v>44538</v>
          </cell>
          <cell r="Q348"/>
          <cell r="R348"/>
          <cell r="X348">
            <v>44903</v>
          </cell>
          <cell r="Y348">
            <v>44539</v>
          </cell>
        </row>
        <row r="349">
          <cell r="P349">
            <v>44539</v>
          </cell>
          <cell r="Q349"/>
          <cell r="R349"/>
          <cell r="X349">
            <v>44904</v>
          </cell>
          <cell r="Y349">
            <v>44540</v>
          </cell>
        </row>
        <row r="350">
          <cell r="P350">
            <v>44540</v>
          </cell>
          <cell r="Q350"/>
          <cell r="R350"/>
          <cell r="X350">
            <v>44905</v>
          </cell>
          <cell r="Y350">
            <v>44541</v>
          </cell>
        </row>
        <row r="351">
          <cell r="P351">
            <v>44541</v>
          </cell>
          <cell r="Q351"/>
          <cell r="R351"/>
          <cell r="X351">
            <v>44906</v>
          </cell>
          <cell r="Y351">
            <v>44542</v>
          </cell>
        </row>
        <row r="352">
          <cell r="P352">
            <v>44542</v>
          </cell>
          <cell r="Q352"/>
          <cell r="R352"/>
          <cell r="X352">
            <v>44907</v>
          </cell>
          <cell r="Y352">
            <v>44543</v>
          </cell>
        </row>
        <row r="353">
          <cell r="P353">
            <v>44543</v>
          </cell>
          <cell r="Q353"/>
          <cell r="R353"/>
          <cell r="X353">
            <v>44908</v>
          </cell>
          <cell r="Y353">
            <v>44544</v>
          </cell>
        </row>
        <row r="354">
          <cell r="P354">
            <v>44544</v>
          </cell>
          <cell r="Q354"/>
          <cell r="R354"/>
          <cell r="X354">
            <v>44909</v>
          </cell>
          <cell r="Y354">
            <v>44545</v>
          </cell>
        </row>
        <row r="355">
          <cell r="P355">
            <v>44545</v>
          </cell>
          <cell r="Q355"/>
          <cell r="R355"/>
          <cell r="X355">
            <v>44910</v>
          </cell>
          <cell r="Y355">
            <v>44546</v>
          </cell>
        </row>
        <row r="356">
          <cell r="P356">
            <v>44546</v>
          </cell>
          <cell r="Q356"/>
          <cell r="R356"/>
          <cell r="X356">
            <v>44911</v>
          </cell>
          <cell r="Y356">
            <v>44547</v>
          </cell>
        </row>
        <row r="357">
          <cell r="P357">
            <v>44547</v>
          </cell>
          <cell r="Q357"/>
          <cell r="R357"/>
          <cell r="X357">
            <v>44912</v>
          </cell>
          <cell r="Y357">
            <v>44548</v>
          </cell>
        </row>
        <row r="358">
          <cell r="P358">
            <v>44548</v>
          </cell>
          <cell r="Q358"/>
          <cell r="R358"/>
          <cell r="X358">
            <v>44913</v>
          </cell>
          <cell r="Y358">
            <v>44549</v>
          </cell>
        </row>
        <row r="359">
          <cell r="P359">
            <v>44549</v>
          </cell>
          <cell r="Q359"/>
          <cell r="R359"/>
          <cell r="X359">
            <v>44914</v>
          </cell>
          <cell r="Y359">
            <v>44550</v>
          </cell>
        </row>
        <row r="360">
          <cell r="P360">
            <v>44550</v>
          </cell>
          <cell r="Q360"/>
          <cell r="R360"/>
          <cell r="X360">
            <v>44915</v>
          </cell>
          <cell r="Y360">
            <v>44551</v>
          </cell>
        </row>
        <row r="361">
          <cell r="P361">
            <v>44551</v>
          </cell>
          <cell r="Q361"/>
          <cell r="R361"/>
          <cell r="X361">
            <v>44916</v>
          </cell>
          <cell r="Y361">
            <v>44552</v>
          </cell>
        </row>
        <row r="362">
          <cell r="P362">
            <v>44552</v>
          </cell>
          <cell r="Q362"/>
          <cell r="R362"/>
          <cell r="X362">
            <v>44917</v>
          </cell>
          <cell r="Y362">
            <v>44553</v>
          </cell>
        </row>
        <row r="363">
          <cell r="P363">
            <v>44553</v>
          </cell>
          <cell r="Q363"/>
          <cell r="R363"/>
          <cell r="X363">
            <v>44918</v>
          </cell>
          <cell r="Y363">
            <v>44554</v>
          </cell>
        </row>
        <row r="364">
          <cell r="P364">
            <v>44554</v>
          </cell>
          <cell r="Q364"/>
          <cell r="R364"/>
          <cell r="X364">
            <v>44919</v>
          </cell>
          <cell r="Y364">
            <v>44555</v>
          </cell>
        </row>
        <row r="365">
          <cell r="P365">
            <v>44555</v>
          </cell>
          <cell r="Q365" t="str">
            <v>Christmas</v>
          </cell>
          <cell r="R365" t="str">
            <v xml:space="preserve">Medium </v>
          </cell>
          <cell r="X365">
            <v>44920</v>
          </cell>
          <cell r="Y365">
            <v>44556</v>
          </cell>
        </row>
        <row r="366">
          <cell r="P366">
            <v>44556</v>
          </cell>
          <cell r="Q366"/>
          <cell r="R366"/>
          <cell r="X366">
            <v>44921</v>
          </cell>
          <cell r="Y366">
            <v>44557</v>
          </cell>
        </row>
        <row r="367">
          <cell r="P367">
            <v>44557</v>
          </cell>
          <cell r="Q367"/>
          <cell r="R367"/>
          <cell r="X367">
            <v>44922</v>
          </cell>
          <cell r="Y367">
            <v>44558</v>
          </cell>
        </row>
        <row r="368">
          <cell r="P368">
            <v>44558</v>
          </cell>
          <cell r="Q368"/>
          <cell r="R368"/>
          <cell r="X368">
            <v>44923</v>
          </cell>
          <cell r="Y368">
            <v>44559</v>
          </cell>
        </row>
        <row r="369">
          <cell r="P369">
            <v>44559</v>
          </cell>
          <cell r="Q369"/>
          <cell r="R369"/>
          <cell r="X369">
            <v>44924</v>
          </cell>
          <cell r="Y369">
            <v>44560</v>
          </cell>
        </row>
        <row r="370">
          <cell r="P370">
            <v>44560</v>
          </cell>
          <cell r="Q370"/>
          <cell r="R370"/>
          <cell r="X370">
            <v>44925</v>
          </cell>
          <cell r="Y370" t="e">
            <v>#N/A</v>
          </cell>
        </row>
        <row r="371">
          <cell r="P371">
            <v>44561</v>
          </cell>
          <cell r="Q371" t="str">
            <v>New Years Eve</v>
          </cell>
          <cell r="R371" t="str">
            <v xml:space="preserve">High </v>
          </cell>
          <cell r="X371">
            <v>44926</v>
          </cell>
          <cell r="Y371" t="e">
            <v>#N/A</v>
          </cell>
        </row>
        <row r="372">
          <cell r="P372">
            <v>44562</v>
          </cell>
          <cell r="Q372"/>
          <cell r="R372"/>
          <cell r="X372" t="str">
            <v/>
          </cell>
          <cell r="Y372" t="str">
            <v/>
          </cell>
        </row>
        <row r="373">
          <cell r="P373" t="str">
            <v/>
          </cell>
          <cell r="Q373"/>
          <cell r="R373"/>
        </row>
      </sheetData>
      <sheetData sheetId="28"/>
      <sheetData sheetId="29"/>
      <sheetData sheetId="30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tructions"/>
      <sheetName val="Datasheet"/>
      <sheetName val="CY Budget"/>
      <sheetName val="CY Forecast"/>
      <sheetName val="PY Actual"/>
      <sheetName val="Setup_MC"/>
      <sheetName val="CY_FCT_MMR"/>
      <sheetName val="CY_Bdgt_Rpt"/>
      <sheetName val="CY_FCST_Rpt"/>
      <sheetName val="PY_ACT_Rpt"/>
      <sheetName val="Setup"/>
      <sheetName val="Dept"/>
      <sheetName val="Control Buget template"/>
      <sheetName val="Upload"/>
      <sheetName val="Extract PLAN"/>
      <sheetName val="PLAN-ALL"/>
      <sheetName val="LCOA Map"/>
      <sheetName val="Total revenue"/>
      <sheetName val="Apt revenue"/>
      <sheetName val="Revenue by apt type"/>
      <sheetName val="2022 Forecast Room Rev_CL"/>
      <sheetName val="Combine A B C"/>
      <sheetName val="Commercial rental"/>
      <sheetName val="Commercial rental by unit"/>
      <sheetName val="Salaries"/>
      <sheetName val="HR"/>
      <sheetName val="Housekeeping"/>
      <sheetName val="Club house"/>
      <sheetName val="Business Centre"/>
      <sheetName val="Front office"/>
      <sheetName val="IT"/>
      <sheetName val="Security"/>
      <sheetName val="Engineering"/>
      <sheetName val="Marketing"/>
      <sheetName val="Finance"/>
      <sheetName val="Insurance &amp; tax"/>
      <sheetName val="G&amp;A"/>
      <sheetName val="Food &amp; Beverage"/>
      <sheetName val="capex &amp; cashflow"/>
      <sheetName val="Co P&amp;L"/>
      <sheetName val="Attachment A1"/>
      <sheetName val="Attachment A1 - supporting"/>
      <sheetName val="Attachment A1 - supporting2"/>
      <sheetName val="Analysis BGT vs CYFCT"/>
      <sheetName val="Analysis CYFCTvsCYBGT&amp;PYACT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12">
          <cell r="B12" t="str">
            <v>Z:\Group Performance Management\Budget\budget template\Final - Test 2\</v>
          </cell>
        </row>
        <row r="25">
          <cell r="B25" t="str">
            <v>Z:\Group Performance Management\Budget\budget template\Final - Test 2\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>
        <row r="3">
          <cell r="O3" t="str">
            <v>CY Forecast</v>
          </cell>
          <cell r="Q3">
            <v>6</v>
          </cell>
        </row>
      </sheetData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ontrol"/>
      <sheetName val="Actual"/>
      <sheetName val="Budget"/>
      <sheetName val="LastYr"/>
      <sheetName val="DOW"/>
      <sheetName val="Acct-Stacking"/>
      <sheetName val="Lease Expiry"/>
      <sheetName val="SRT Summary"/>
      <sheetName val="Corp"/>
      <sheetName val="Temp"/>
      <sheetName val="Relo"/>
      <sheetName val="OTA"/>
      <sheetName val="WHL"/>
      <sheetName val="OW Managed"/>
      <sheetName val="Consol"/>
      <sheetName val="List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>
        <row r="2">
          <cell r="I2" t="str">
            <v>Jan</v>
          </cell>
          <cell r="J2">
            <v>1</v>
          </cell>
        </row>
        <row r="3">
          <cell r="I3" t="str">
            <v>Feb</v>
          </cell>
          <cell r="J3">
            <v>2</v>
          </cell>
        </row>
        <row r="4">
          <cell r="I4" t="str">
            <v>Mar</v>
          </cell>
          <cell r="J4">
            <v>3</v>
          </cell>
        </row>
        <row r="5">
          <cell r="I5" t="str">
            <v>Apr</v>
          </cell>
          <cell r="J5">
            <v>4</v>
          </cell>
        </row>
        <row r="6">
          <cell r="I6" t="str">
            <v>May</v>
          </cell>
          <cell r="J6">
            <v>5</v>
          </cell>
        </row>
        <row r="7">
          <cell r="I7" t="str">
            <v>Jun</v>
          </cell>
          <cell r="J7">
            <v>6</v>
          </cell>
        </row>
        <row r="8">
          <cell r="I8" t="str">
            <v>Jul</v>
          </cell>
          <cell r="J8">
            <v>7</v>
          </cell>
        </row>
        <row r="9">
          <cell r="I9" t="str">
            <v>Aug</v>
          </cell>
          <cell r="J9">
            <v>8</v>
          </cell>
        </row>
        <row r="10">
          <cell r="I10" t="str">
            <v>Sep</v>
          </cell>
          <cell r="J10">
            <v>9</v>
          </cell>
        </row>
        <row r="11">
          <cell r="I11" t="str">
            <v>Oct</v>
          </cell>
          <cell r="J11">
            <v>10</v>
          </cell>
        </row>
        <row r="12">
          <cell r="I12" t="str">
            <v>Nov</v>
          </cell>
          <cell r="J12">
            <v>11</v>
          </cell>
        </row>
        <row r="13">
          <cell r="I13" t="str">
            <v>Dec</v>
          </cell>
          <cell r="J13">
            <v>12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truction"/>
      <sheetName val="Master"/>
      <sheetName val="POV master"/>
      <sheetName val="Version control"/>
      <sheetName val="Validity"/>
      <sheetName val="POV new"/>
      <sheetName val="Following Year Input"/>
      <sheetName val="Actual Year Input"/>
      <sheetName val="Prior Year Input"/>
      <sheetName val="Budget Year Input"/>
      <sheetName val="Budget ICP Input"/>
      <sheetName val="Actual ICP Input"/>
      <sheetName val="Prior Year ICP Input"/>
      <sheetName val="ExecSumBG"/>
      <sheetName val="ExecSum"/>
      <sheetName val="Summary25th"/>
      <sheetName val="Tstyle"/>
      <sheetName val="Monthly"/>
      <sheetName val="Monthly Casino"/>
      <sheetName val="Monthly GSSC"/>
      <sheetName val="Budget Casino"/>
      <sheetName val="Prior Casino"/>
      <sheetName val="Budget"/>
      <sheetName val="Prior"/>
      <sheetName val="Quarterly"/>
      <sheetName val="VarbyQBG"/>
      <sheetName val="FullYear"/>
      <sheetName val="MonthlyFY"/>
      <sheetName val="Monthly CasinoFY"/>
      <sheetName val="QuarterlyFY"/>
      <sheetName val="FullYear5Yrs"/>
      <sheetName val="Last Mth End"/>
      <sheetName val="25 Last Mth FCast"/>
      <sheetName val="BSCF"/>
      <sheetName val="Rooms Stats"/>
      <sheetName val="Rooms Stats MTD"/>
      <sheetName val="Rooms Stats YTD"/>
      <sheetName val="FB_SumBG"/>
      <sheetName val="FB_Sum"/>
      <sheetName val="Productivity"/>
      <sheetName val="Manning"/>
      <sheetName val="Productivity MTD"/>
      <sheetName val="Productivity YTD"/>
      <sheetName val="Summary Capex"/>
      <sheetName val="Capex Detail"/>
      <sheetName val="Sum"/>
      <sheetName val="RM"/>
      <sheetName val="RMMS"/>
      <sheetName val="CPOR"/>
      <sheetName val="RESI"/>
      <sheetName val="CPC"/>
      <sheetName val="FB"/>
      <sheetName val="OOD"/>
      <sheetName val="SPA"/>
      <sheetName val="CASI"/>
      <sheetName val="MISC"/>
      <sheetName val="AG"/>
      <sheetName val="IT"/>
      <sheetName val="SM"/>
      <sheetName val="POMEC"/>
      <sheetName val="UTILI"/>
      <sheetName val="FEES"/>
      <sheetName val="NOIE"/>
      <sheetName val="HL"/>
      <sheetName val="ASCAN"/>
      <sheetName val="PAYRO"/>
    </sheetNames>
    <sheetDataSet>
      <sheetData sheetId="0"/>
      <sheetData sheetId="1">
        <row r="5">
          <cell r="L5" t="str">
            <v xml:space="preserve"> Front office</v>
          </cell>
        </row>
        <row r="6">
          <cell r="L6" t="str">
            <v xml:space="preserve"> Housekeeping</v>
          </cell>
        </row>
        <row r="7">
          <cell r="L7" t="str">
            <v xml:space="preserve"> Room others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 SHEET"/>
      <sheetName val="INDEX"/>
      <sheetName val="cost per croc"/>
      <sheetName val="OVERVIEW"/>
      <sheetName val="Income Statement C1 "/>
      <sheetName val="YTD DETAILED EXPORT"/>
      <sheetName val="export activities summary"/>
      <sheetName val="EXP COSTS c11"/>
      <sheetName val="EXPORT COSTSmonth detailed"/>
      <sheetName val="FULL YEAR TARGETY"/>
      <sheetName val="ROLLING"/>
      <sheetName val="TURNOVER C3"/>
      <sheetName val="TURNOVER 3A"/>
      <sheetName val="TURNOVER 3B"/>
      <sheetName val="cost of sales "/>
      <sheetName val="croc costing supporting"/>
      <sheetName val="revised budget"/>
      <sheetName val="livestock additions C9"/>
      <sheetName val="EGG C 9A"/>
      <sheetName val="Staff Costs C12"/>
      <sheetName val="Overheads C13"/>
      <sheetName val="FUEL &amp; ENERGY"/>
      <sheetName val="R&amp;M C13e"/>
      <sheetName val="TB"/>
      <sheetName val="TB YTD"/>
      <sheetName val="Other OH C13f"/>
      <sheetName val="othe detailed"/>
      <sheetName val="Balance Sheet"/>
      <sheetName val="cash flow"/>
      <sheetName val="fixed assets"/>
      <sheetName val="priority A"/>
      <sheetName val="capex detailed"/>
      <sheetName val="creditors"/>
    </sheetNames>
    <sheetDataSet>
      <sheetData sheetId="0"/>
      <sheetData sheetId="1"/>
      <sheetData sheetId="2" refreshError="1">
        <row r="10">
          <cell r="C10" t="e">
            <v>#DIV/0!</v>
          </cell>
          <cell r="F10">
            <v>1</v>
          </cell>
          <cell r="J10">
            <v>1</v>
          </cell>
          <cell r="L10">
            <v>1</v>
          </cell>
        </row>
        <row r="12">
          <cell r="C12">
            <v>-8.0075276290601183E-2</v>
          </cell>
          <cell r="F12">
            <v>-6.6423434241365667E-2</v>
          </cell>
          <cell r="J12">
            <v>0.23663908989973992</v>
          </cell>
          <cell r="L12">
            <v>-0.29848928562584331</v>
          </cell>
        </row>
        <row r="14">
          <cell r="C14">
            <v>-0.27921148039354343</v>
          </cell>
          <cell r="F14">
            <v>-6.5960042668153279E-2</v>
          </cell>
          <cell r="J14">
            <v>0.22627942562832001</v>
          </cell>
          <cell r="L14">
            <v>-0.31295209076963337</v>
          </cell>
        </row>
        <row r="15">
          <cell r="C15">
            <v>0</v>
          </cell>
          <cell r="F15">
            <v>-4.633915732123862E-4</v>
          </cell>
          <cell r="J15">
            <v>2.9784257124652797E-2</v>
          </cell>
          <cell r="L15">
            <v>-3.9277632650904643E-2</v>
          </cell>
        </row>
        <row r="16">
          <cell r="C16">
            <v>0.19913620410294222</v>
          </cell>
          <cell r="F16">
            <v>0</v>
          </cell>
          <cell r="J16">
            <v>-1.9424592853233249E-2</v>
          </cell>
          <cell r="L16">
            <v>5.3740437794694715E-2</v>
          </cell>
        </row>
        <row r="18">
          <cell r="C18" t="e">
            <v>#DIV/0!</v>
          </cell>
          <cell r="F18">
            <v>-9.6885371867342349E-2</v>
          </cell>
          <cell r="J18">
            <v>9.688989076631277E-2</v>
          </cell>
          <cell r="L18">
            <v>-0.11480618853752644</v>
          </cell>
        </row>
        <row r="20">
          <cell r="C20" t="e">
            <v>#DIV/0!</v>
          </cell>
          <cell r="F20" t="e">
            <v>#REF!</v>
          </cell>
          <cell r="J20">
            <v>0.15469253930411114</v>
          </cell>
          <cell r="L20">
            <v>-0.16504544712908686</v>
          </cell>
        </row>
        <row r="22">
          <cell r="C22">
            <v>-8.1489550714894346E-2</v>
          </cell>
          <cell r="F22" t="e">
            <v>#DIV/0!</v>
          </cell>
          <cell r="J22">
            <v>0.18685764663861831</v>
          </cell>
          <cell r="L22">
            <v>-0.22962178849733328</v>
          </cell>
        </row>
        <row r="23">
          <cell r="C23" t="e">
            <v>#DIV/0!</v>
          </cell>
          <cell r="F23" t="e">
            <v>#DIV/0!</v>
          </cell>
          <cell r="J23">
            <v>0.12386273361295923</v>
          </cell>
          <cell r="L23">
            <v>0.12850748875817436</v>
          </cell>
        </row>
        <row r="24">
          <cell r="C24" t="e">
            <v>#DIV/0!</v>
          </cell>
          <cell r="F24" t="e">
            <v>#DIV/0!</v>
          </cell>
          <cell r="J24">
            <v>0.19273883601126929</v>
          </cell>
          <cell r="L24">
            <v>0.19400953272093391</v>
          </cell>
        </row>
        <row r="25">
          <cell r="C25" t="e">
            <v>#DIV/0!</v>
          </cell>
          <cell r="F25">
            <v>256188.07799289253</v>
          </cell>
          <cell r="J25">
            <v>0.56534988198926905</v>
          </cell>
          <cell r="L25">
            <v>0.57596866715219186</v>
          </cell>
        </row>
        <row r="26">
          <cell r="C26" t="e">
            <v>#DIV/0!</v>
          </cell>
          <cell r="F26">
            <v>0.13447730828977442</v>
          </cell>
          <cell r="J26">
            <v>0.11804854838650243</v>
          </cell>
          <cell r="L26">
            <v>0.10151431136869993</v>
          </cell>
        </row>
        <row r="28">
          <cell r="C28" t="e">
            <v>#DIV/0!</v>
          </cell>
          <cell r="F28" t="e">
            <v>#DIV/0!</v>
          </cell>
          <cell r="J28">
            <v>3.6384171359710032E-2</v>
          </cell>
          <cell r="L28">
            <v>-4.6722264581802848E-2</v>
          </cell>
        </row>
        <row r="29">
          <cell r="C29" t="e">
            <v>#DIV/0!</v>
          </cell>
        </row>
        <row r="31">
          <cell r="C31" t="e">
            <v>#DIV/0!</v>
          </cell>
          <cell r="F31" t="e">
            <v>#DIV/0!</v>
          </cell>
          <cell r="J31">
            <v>0.71146333796849215</v>
          </cell>
          <cell r="L31">
            <v>-0.85468497437159285</v>
          </cell>
        </row>
        <row r="33">
          <cell r="A33" t="str">
            <v>cost per croc culled to date</v>
          </cell>
          <cell r="B33">
            <v>239.96564396384767</v>
          </cell>
          <cell r="C33" t="e">
            <v>#DIV/0!</v>
          </cell>
          <cell r="D33">
            <v>337.75802721874032</v>
          </cell>
          <cell r="E33" t="e">
            <v>#REF!</v>
          </cell>
          <cell r="F33" t="e">
            <v>#DIV/0!</v>
          </cell>
          <cell r="I33">
            <v>4295.5710627937078</v>
          </cell>
          <cell r="J33">
            <v>0.71146333796849215</v>
          </cell>
          <cell r="K33">
            <v>3202.6805379489688</v>
          </cell>
        </row>
        <row r="34">
          <cell r="A34" t="str">
            <v>Net profit/sales ratio</v>
          </cell>
          <cell r="B34">
            <v>0.39653234681092198</v>
          </cell>
          <cell r="D34">
            <v>-53892.695434327266</v>
          </cell>
          <cell r="E34">
            <v>-9361.1798036532327</v>
          </cell>
          <cell r="I34">
            <v>0.373373694357932</v>
          </cell>
          <cell r="K34">
            <v>0.23793322675457274</v>
          </cell>
        </row>
        <row r="36">
          <cell r="A36" t="str">
            <v>NB</v>
          </cell>
        </row>
        <row r="37">
          <cell r="A37" t="str">
            <v>Yellow % expressed  against sales</v>
          </cell>
        </row>
        <row r="38">
          <cell r="A38" t="str">
            <v>Grey % expressed  against expenses main category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ccupancy Trend Graphs"/>
      <sheetName val="STR Sub Market"/>
      <sheetName val="STR Bangkok Market"/>
      <sheetName val="Nationality (Compare)"/>
      <sheetName val="Room Type (Data)"/>
      <sheetName val="Nationality (Graph)"/>
      <sheetName val="Nationality (Raw Data)2025"/>
      <sheetName val="Nationality (Raw Data)2026"/>
      <sheetName val="Nationality (Raw Data)2024"/>
      <sheetName val="Room Type OCC (2025)"/>
      <sheetName val="Nationality (Raw Data)2023"/>
      <sheetName val="Room Type OCC (2024)"/>
      <sheetName val="Room Type OCC (2023)"/>
      <sheetName val="ADR 2026"/>
      <sheetName val="Room Type OCC (2026)"/>
      <sheetName val="MTD Room Type Mix"/>
      <sheetName val="Pick Up Pace "/>
      <sheetName val="YTD Room Type Mix"/>
      <sheetName val="LS SS"/>
      <sheetName val="Segment Data"/>
      <sheetName val="SS LS 2026"/>
      <sheetName val="Segment chart compare"/>
      <sheetName val="SS LS 2025"/>
      <sheetName val="SS LS 2024"/>
      <sheetName val="SS LS 2023"/>
      <sheetName val="OTA Production"/>
      <sheetName val="Segment"/>
      <sheetName val="Segment Chart"/>
      <sheetName val="Action plan "/>
      <sheetName val="BGT 2026"/>
      <sheetName val="BGT 202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>
        <row r="377">
          <cell r="G377">
            <v>2997</v>
          </cell>
          <cell r="X377">
            <v>4298373.5900000008</v>
          </cell>
        </row>
      </sheetData>
      <sheetData sheetId="27"/>
      <sheetData sheetId="28"/>
      <sheetData sheetId="29"/>
      <sheetData sheetId="30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99C648-C9E9-4904-B0AA-5016F3BF4A27}">
  <dimension ref="A1:BQ332"/>
  <sheetViews>
    <sheetView tabSelected="1" zoomScale="90" zoomScaleNormal="90" workbookViewId="0">
      <selection activeCell="G31" sqref="G31"/>
    </sheetView>
  </sheetViews>
  <sheetFormatPr defaultColWidth="9.1796875" defaultRowHeight="14.5" x14ac:dyDescent="0.35"/>
  <cols>
    <col min="1" max="1" width="9.1796875" style="30" customWidth="1"/>
    <col min="2" max="2" width="13.1796875" style="38" customWidth="1"/>
    <col min="3" max="3" width="9.1796875" style="116" customWidth="1"/>
    <col min="4" max="4" width="9.1796875" style="2" customWidth="1"/>
    <col min="5" max="5" width="13.1796875" style="120" customWidth="1"/>
    <col min="6" max="6" width="9.1796875" style="34" customWidth="1"/>
    <col min="7" max="7" width="16.54296875" style="38" customWidth="1"/>
    <col min="8" max="8" width="9.1796875" style="123" customWidth="1"/>
    <col min="9" max="9" width="9.1796875" style="2" customWidth="1"/>
    <col min="10" max="10" width="13.1796875" style="120" customWidth="1"/>
    <col min="11" max="11" width="9.1796875" style="30" customWidth="1"/>
    <col min="12" max="12" width="16.54296875" style="38" customWidth="1"/>
    <col min="13" max="13" width="9.1796875" style="126" customWidth="1"/>
    <col min="14" max="14" width="9.1796875" style="2" customWidth="1"/>
    <col min="15" max="15" width="12.1796875" style="120" customWidth="1"/>
    <col min="16" max="16" width="9.1796875" style="30" customWidth="1"/>
    <col min="17" max="17" width="16.54296875" style="38" customWidth="1"/>
    <col min="18" max="18" width="9.1796875" style="126" customWidth="1"/>
    <col min="19" max="19" width="9.1796875" style="2" customWidth="1"/>
    <col min="20" max="20" width="12" style="120" customWidth="1"/>
    <col min="21" max="21" width="9.1796875" style="30" customWidth="1"/>
    <col min="22" max="22" width="16.54296875" style="38" customWidth="1"/>
    <col min="23" max="23" width="9.1796875" style="126" customWidth="1"/>
    <col min="24" max="24" width="9.1796875" style="2" customWidth="1"/>
    <col min="25" max="25" width="14.453125" style="120" customWidth="1"/>
    <col min="26" max="26" width="9.1796875" style="30" customWidth="1"/>
    <col min="27" max="27" width="16.54296875" style="38" customWidth="1"/>
    <col min="28" max="28" width="9.1796875" style="126" customWidth="1"/>
    <col min="29" max="29" width="9.1796875" style="2" customWidth="1"/>
    <col min="30" max="30" width="13.453125" style="120" customWidth="1"/>
    <col min="31" max="31" width="9.1796875" style="30" customWidth="1"/>
    <col min="32" max="32" width="16.54296875" style="38" customWidth="1"/>
    <col min="33" max="33" width="9.1796875" style="126" customWidth="1"/>
    <col min="34" max="34" width="9.1796875" style="2" customWidth="1"/>
    <col min="35" max="35" width="13.1796875" style="120" customWidth="1"/>
    <col min="36" max="36" width="9.1796875" style="30" customWidth="1"/>
    <col min="37" max="37" width="16.54296875" style="38" customWidth="1"/>
    <col min="38" max="38" width="9.1796875" style="126" customWidth="1"/>
    <col min="39" max="39" width="9.1796875" style="2" customWidth="1"/>
    <col min="40" max="40" width="12.81640625" style="120" customWidth="1"/>
    <col min="41" max="41" width="9.1796875" style="30" customWidth="1"/>
    <col min="42" max="42" width="16.54296875" style="38" customWidth="1"/>
    <col min="43" max="44" width="9.1796875" style="2" customWidth="1"/>
    <col min="45" max="45" width="13" style="38" customWidth="1"/>
    <col min="46" max="46" width="9.1796875" style="30" customWidth="1"/>
    <col min="47" max="47" width="16.54296875" style="38" customWidth="1"/>
    <col min="48" max="48" width="9.1796875" style="126" customWidth="1"/>
    <col min="49" max="49" width="9.1796875" style="2" customWidth="1"/>
    <col min="50" max="50" width="14.453125" style="120" customWidth="1"/>
    <col min="51" max="51" width="9.1796875" style="30" customWidth="1"/>
    <col min="52" max="52" width="16.54296875" style="38" customWidth="1"/>
    <col min="53" max="53" width="9.1796875" style="126" customWidth="1"/>
    <col min="54" max="54" width="9.1796875" style="2" customWidth="1"/>
    <col min="55" max="55" width="13.54296875" style="120" customWidth="1"/>
    <col min="56" max="56" width="9.1796875" style="30" customWidth="1"/>
    <col min="57" max="57" width="16.54296875" style="38" customWidth="1"/>
    <col min="58" max="58" width="9.1796875" style="126" customWidth="1"/>
    <col min="59" max="59" width="9.1796875" style="2" customWidth="1"/>
    <col min="60" max="60" width="13.81640625" style="120" customWidth="1"/>
    <col min="61" max="61" width="9.1796875" style="30"/>
    <col min="62" max="62" width="16.54296875" style="38" bestFit="1" customWidth="1"/>
    <col min="63" max="63" width="10.453125" style="140" bestFit="1" customWidth="1"/>
    <col min="64" max="64" width="9.1796875" style="2" customWidth="1"/>
    <col min="65" max="65" width="16.1796875" style="144" customWidth="1"/>
    <col min="66" max="66" width="8.1796875" style="112" customWidth="1"/>
    <col min="67" max="67" width="14.1796875" style="2" customWidth="1"/>
    <col min="68" max="68" width="13" style="2" customWidth="1"/>
    <col min="69" max="16384" width="9.1796875" style="2"/>
  </cols>
  <sheetData>
    <row r="1" spans="1:69" ht="15" thickBot="1" x14ac:dyDescent="0.4">
      <c r="A1" s="6"/>
      <c r="B1" s="7">
        <v>45658</v>
      </c>
      <c r="C1" s="145"/>
      <c r="D1" s="145"/>
      <c r="E1" s="145"/>
      <c r="F1" s="8"/>
      <c r="G1" s="7">
        <v>45689</v>
      </c>
      <c r="H1" s="145"/>
      <c r="I1" s="145"/>
      <c r="J1" s="145"/>
      <c r="K1" s="9"/>
      <c r="L1" s="7">
        <v>45717</v>
      </c>
      <c r="M1" s="145"/>
      <c r="N1" s="145"/>
      <c r="O1" s="145"/>
      <c r="P1" s="9"/>
      <c r="Q1" s="7">
        <v>45748</v>
      </c>
      <c r="R1" s="146"/>
      <c r="S1" s="146"/>
      <c r="T1" s="146"/>
      <c r="U1" s="9"/>
      <c r="V1" s="7">
        <v>45778</v>
      </c>
      <c r="W1" s="146"/>
      <c r="X1" s="146"/>
      <c r="Y1" s="146"/>
      <c r="Z1" s="9"/>
      <c r="AA1" s="10">
        <v>45809</v>
      </c>
      <c r="AB1" s="145"/>
      <c r="AC1" s="145"/>
      <c r="AD1" s="145"/>
      <c r="AE1" s="9"/>
      <c r="AF1" s="10">
        <v>45839</v>
      </c>
      <c r="AG1" s="145"/>
      <c r="AH1" s="145"/>
      <c r="AI1" s="145"/>
      <c r="AJ1" s="9"/>
      <c r="AK1" s="10">
        <v>45870</v>
      </c>
      <c r="AL1" s="145"/>
      <c r="AM1" s="145"/>
      <c r="AN1" s="145"/>
      <c r="AO1" s="9"/>
      <c r="AP1" s="10">
        <v>45901</v>
      </c>
      <c r="AQ1" s="149"/>
      <c r="AR1" s="150"/>
      <c r="AS1" s="151"/>
      <c r="AT1" s="9"/>
      <c r="AU1" s="10">
        <v>45931</v>
      </c>
      <c r="AV1" s="145"/>
      <c r="AW1" s="145"/>
      <c r="AX1" s="145"/>
      <c r="AY1" s="9"/>
      <c r="AZ1" s="10">
        <v>45962</v>
      </c>
      <c r="BA1" s="149"/>
      <c r="BB1" s="150"/>
      <c r="BC1" s="151"/>
      <c r="BD1" s="9"/>
      <c r="BE1" s="10">
        <v>45992</v>
      </c>
      <c r="BF1" s="145"/>
      <c r="BG1" s="145"/>
      <c r="BH1" s="145"/>
      <c r="BI1" s="9"/>
      <c r="BJ1" s="104" t="s">
        <v>144</v>
      </c>
      <c r="BK1" s="147"/>
      <c r="BL1" s="147"/>
      <c r="BM1" s="148"/>
      <c r="BN1" s="11"/>
    </row>
    <row r="2" spans="1:69" ht="15" thickBot="1" x14ac:dyDescent="0.4">
      <c r="A2" s="12"/>
      <c r="B2" s="13" t="s">
        <v>2</v>
      </c>
      <c r="C2" s="113" t="s">
        <v>3</v>
      </c>
      <c r="D2" s="15" t="s">
        <v>0</v>
      </c>
      <c r="E2" s="117" t="s">
        <v>4</v>
      </c>
      <c r="F2" s="16"/>
      <c r="G2" s="13" t="s">
        <v>2</v>
      </c>
      <c r="H2" s="121" t="s">
        <v>3</v>
      </c>
      <c r="I2" s="15" t="s">
        <v>0</v>
      </c>
      <c r="J2" s="117" t="s">
        <v>4</v>
      </c>
      <c r="K2" s="17"/>
      <c r="L2" s="13" t="s">
        <v>2</v>
      </c>
      <c r="M2" s="124" t="s">
        <v>3</v>
      </c>
      <c r="N2" s="15" t="s">
        <v>0</v>
      </c>
      <c r="O2" s="117" t="s">
        <v>4</v>
      </c>
      <c r="P2" s="17"/>
      <c r="Q2" s="13" t="s">
        <v>2</v>
      </c>
      <c r="R2" s="127" t="s">
        <v>3</v>
      </c>
      <c r="S2" s="15" t="s">
        <v>0</v>
      </c>
      <c r="T2" s="129" t="s">
        <v>4</v>
      </c>
      <c r="U2" s="20"/>
      <c r="V2" s="13" t="s">
        <v>2</v>
      </c>
      <c r="W2" s="127" t="s">
        <v>3</v>
      </c>
      <c r="X2" s="15" t="s">
        <v>0</v>
      </c>
      <c r="Y2" s="129" t="s">
        <v>4</v>
      </c>
      <c r="Z2" s="20"/>
      <c r="AA2" s="13" t="s">
        <v>2</v>
      </c>
      <c r="AB2" s="124" t="s">
        <v>3</v>
      </c>
      <c r="AC2" s="15" t="s">
        <v>0</v>
      </c>
      <c r="AD2" s="117" t="s">
        <v>4</v>
      </c>
      <c r="AE2" s="20"/>
      <c r="AF2" s="13" t="s">
        <v>2</v>
      </c>
      <c r="AG2" s="124" t="s">
        <v>3</v>
      </c>
      <c r="AH2" s="15" t="s">
        <v>0</v>
      </c>
      <c r="AI2" s="117" t="s">
        <v>4</v>
      </c>
      <c r="AJ2" s="20"/>
      <c r="AK2" s="13" t="s">
        <v>2</v>
      </c>
      <c r="AL2" s="124" t="s">
        <v>3</v>
      </c>
      <c r="AM2" s="15" t="s">
        <v>0</v>
      </c>
      <c r="AN2" s="117" t="s">
        <v>4</v>
      </c>
      <c r="AO2" s="20"/>
      <c r="AP2" s="13" t="s">
        <v>2</v>
      </c>
      <c r="AQ2" s="18" t="s">
        <v>3</v>
      </c>
      <c r="AR2" s="15" t="s">
        <v>0</v>
      </c>
      <c r="AS2" s="14" t="s">
        <v>4</v>
      </c>
      <c r="AT2" s="20"/>
      <c r="AU2" s="13" t="s">
        <v>2</v>
      </c>
      <c r="AV2" s="124" t="s">
        <v>3</v>
      </c>
      <c r="AW2" s="15" t="s">
        <v>0</v>
      </c>
      <c r="AX2" s="117" t="s">
        <v>4</v>
      </c>
      <c r="AY2" s="20"/>
      <c r="AZ2" s="13" t="s">
        <v>2</v>
      </c>
      <c r="BA2" s="124" t="s">
        <v>3</v>
      </c>
      <c r="BB2" s="15" t="s">
        <v>0</v>
      </c>
      <c r="BC2" s="117" t="s">
        <v>4</v>
      </c>
      <c r="BD2" s="20"/>
      <c r="BE2" s="13" t="s">
        <v>2</v>
      </c>
      <c r="BF2" s="124" t="s">
        <v>3</v>
      </c>
      <c r="BG2" s="15" t="s">
        <v>0</v>
      </c>
      <c r="BH2" s="117" t="s">
        <v>4</v>
      </c>
      <c r="BI2" s="20"/>
      <c r="BJ2" s="105" t="s">
        <v>2</v>
      </c>
      <c r="BK2" s="138" t="s">
        <v>3</v>
      </c>
      <c r="BL2" s="21" t="s">
        <v>0</v>
      </c>
      <c r="BM2" s="142" t="s">
        <v>4</v>
      </c>
      <c r="BN2" s="108"/>
    </row>
    <row r="3" spans="1:69" ht="15" thickBot="1" x14ac:dyDescent="0.4">
      <c r="A3" s="22"/>
      <c r="B3" s="23" t="s">
        <v>5</v>
      </c>
      <c r="C3" s="114">
        <f>SUM(C4:C84)</f>
        <v>5373</v>
      </c>
      <c r="D3" s="24">
        <f t="shared" ref="D3:D34" si="0">E3/C3</f>
        <v>1644.1209249953483</v>
      </c>
      <c r="E3" s="118">
        <f>SUM(E4:E87)</f>
        <v>8833861.730000006</v>
      </c>
      <c r="F3" s="25"/>
      <c r="G3" s="23" t="s">
        <v>5</v>
      </c>
      <c r="H3" s="114">
        <f>SUM(H4:H97)</f>
        <v>4958</v>
      </c>
      <c r="I3" s="24">
        <f t="shared" ref="I3:I34" si="1">J3/H3</f>
        <v>1598.2225373134327</v>
      </c>
      <c r="J3" s="118">
        <f>SUM(J4:J108)</f>
        <v>7923987.3399999989</v>
      </c>
      <c r="K3" s="26"/>
      <c r="L3" s="23" t="s">
        <v>5</v>
      </c>
      <c r="M3" s="114">
        <f>SUM(M4:M81)</f>
        <v>4551</v>
      </c>
      <c r="N3" s="24">
        <f t="shared" ref="N3:N34" si="2">O3/M3</f>
        <v>1393.1537662052299</v>
      </c>
      <c r="O3" s="118">
        <f>SUM(O4:O81)</f>
        <v>6340242.790000001</v>
      </c>
      <c r="P3" s="26"/>
      <c r="Q3" s="23" t="s">
        <v>5</v>
      </c>
      <c r="R3" s="128">
        <f>SUM(R4:R81)</f>
        <v>4460</v>
      </c>
      <c r="S3" s="24">
        <f t="shared" ref="S3:S34" si="3">T3/R3</f>
        <v>1317.4718677130045</v>
      </c>
      <c r="T3" s="118">
        <f>SUM(T4:T81)</f>
        <v>5875924.5300000003</v>
      </c>
      <c r="U3" s="26"/>
      <c r="V3" s="23" t="s">
        <v>5</v>
      </c>
      <c r="W3" s="128">
        <f>SUM(W4:W81)</f>
        <v>4327</v>
      </c>
      <c r="X3" s="24">
        <f>Y3/W3</f>
        <v>1218.6974069794314</v>
      </c>
      <c r="Y3" s="118">
        <f>SUM(Y4:Y81)</f>
        <v>5273303.68</v>
      </c>
      <c r="Z3" s="26"/>
      <c r="AA3" s="23" t="s">
        <v>5</v>
      </c>
      <c r="AB3" s="128">
        <f>SUM(AB4:AB218)</f>
        <v>4138</v>
      </c>
      <c r="AC3" s="24">
        <f>AD3/AB3</f>
        <v>1163.3556162397285</v>
      </c>
      <c r="AD3" s="118">
        <f>SUM(AD4:AD81)</f>
        <v>4813965.5399999963</v>
      </c>
      <c r="AE3" s="26"/>
      <c r="AF3" s="23" t="s">
        <v>5</v>
      </c>
      <c r="AG3" s="130">
        <f>SUM(AG4:AG222)</f>
        <v>4555</v>
      </c>
      <c r="AH3" s="24">
        <f>AI3/AG3</f>
        <v>1143.9214818880348</v>
      </c>
      <c r="AI3" s="133">
        <f>SUM(AI4:AI302)</f>
        <v>5210562.3499999987</v>
      </c>
      <c r="AJ3" s="26"/>
      <c r="AK3" s="23" t="s">
        <v>5</v>
      </c>
      <c r="AL3" s="130">
        <f>SUM(AL4:AL282)</f>
        <v>5275</v>
      </c>
      <c r="AM3" s="24">
        <f>AN3/AL3</f>
        <v>1149.1029990521324</v>
      </c>
      <c r="AN3" s="133">
        <f>SUM(AN4:AN319)</f>
        <v>6061518.3199999984</v>
      </c>
      <c r="AO3" s="26"/>
      <c r="AP3" s="23" t="s">
        <v>5</v>
      </c>
      <c r="AQ3" s="28">
        <f>SUM(AQ4:AQ284)</f>
        <v>5153</v>
      </c>
      <c r="AR3" s="24">
        <f>AS3/AQ3</f>
        <v>1110.3146031437998</v>
      </c>
      <c r="AS3" s="29">
        <f>SUM(AS4:AS205)</f>
        <v>5721451.1500000004</v>
      </c>
      <c r="AT3" s="26"/>
      <c r="AU3" s="23" t="s">
        <v>5</v>
      </c>
      <c r="AV3" s="130">
        <f>SUM(AV4:AV284)</f>
        <v>5240</v>
      </c>
      <c r="AW3" s="24">
        <f>AX3/AV3</f>
        <v>1189.528377862596</v>
      </c>
      <c r="AX3" s="133">
        <f>SUM(AX4:AX169)</f>
        <v>6233128.700000003</v>
      </c>
      <c r="AY3" s="26"/>
      <c r="AZ3" s="23" t="s">
        <v>5</v>
      </c>
      <c r="BA3" s="130">
        <f>SUM(BA4:BA198)</f>
        <v>5483</v>
      </c>
      <c r="BB3" s="24">
        <f>BC3/BA3</f>
        <v>1484.670067481306</v>
      </c>
      <c r="BC3" s="133">
        <f>SUM(BC4:BC284)</f>
        <v>8140445.9800000004</v>
      </c>
      <c r="BD3" s="26"/>
      <c r="BE3" s="23" t="s">
        <v>5</v>
      </c>
      <c r="BF3" s="130">
        <f>SUM(BF4:BF178)</f>
        <v>5617</v>
      </c>
      <c r="BG3" s="24">
        <f>BH3/BF3</f>
        <v>1692.5376321880012</v>
      </c>
      <c r="BH3" s="133">
        <f>SUM(BH4:BH156)</f>
        <v>9506983.8800000027</v>
      </c>
      <c r="BI3" s="26"/>
      <c r="BJ3" s="23" t="s">
        <v>5</v>
      </c>
      <c r="BK3" s="139">
        <f>SUM(BK4:BK261)</f>
        <v>59130</v>
      </c>
      <c r="BL3" s="24">
        <f>BM3/BK3</f>
        <v>1338.4944189074929</v>
      </c>
      <c r="BM3" s="143">
        <f>SUM(BM4:BM185)</f>
        <v>79145174.990000054</v>
      </c>
      <c r="BN3" s="110"/>
    </row>
    <row r="4" spans="1:69" x14ac:dyDescent="0.35">
      <c r="A4" s="30">
        <v>1</v>
      </c>
      <c r="B4" s="31" t="s">
        <v>6</v>
      </c>
      <c r="C4" s="115">
        <f>859+89</f>
        <v>948</v>
      </c>
      <c r="D4" s="33">
        <f t="shared" si="0"/>
        <v>1589.7684915611815</v>
      </c>
      <c r="E4" s="119">
        <f>1364707.53+142393</f>
        <v>1507100.53</v>
      </c>
      <c r="F4" s="34">
        <v>1</v>
      </c>
      <c r="G4" s="31" t="s">
        <v>6</v>
      </c>
      <c r="H4" s="122">
        <f>774+29</f>
        <v>803</v>
      </c>
      <c r="I4" s="33">
        <f t="shared" si="1"/>
        <v>1515.1364632627647</v>
      </c>
      <c r="J4" s="119">
        <f>1163644.58+53010</f>
        <v>1216654.58</v>
      </c>
      <c r="K4" s="30">
        <v>1</v>
      </c>
      <c r="L4" s="31" t="s">
        <v>6</v>
      </c>
      <c r="M4" s="119">
        <f>718+36</f>
        <v>754</v>
      </c>
      <c r="N4" s="33">
        <f t="shared" si="2"/>
        <v>1327.0421220159151</v>
      </c>
      <c r="O4" s="119">
        <f>946127.76+54462</f>
        <v>1000589.76</v>
      </c>
      <c r="P4" s="30">
        <v>1</v>
      </c>
      <c r="Q4" s="31" t="s">
        <v>6</v>
      </c>
      <c r="R4" s="119">
        <f>625+42</f>
        <v>667</v>
      </c>
      <c r="S4" s="33">
        <f t="shared" si="3"/>
        <v>1260.6238830584707</v>
      </c>
      <c r="T4" s="119">
        <f>782182.13+58654</f>
        <v>840836.13</v>
      </c>
      <c r="U4" s="30">
        <v>1</v>
      </c>
      <c r="V4" s="31" t="s">
        <v>6</v>
      </c>
      <c r="W4" s="119">
        <f>689+54</f>
        <v>743</v>
      </c>
      <c r="X4" s="33">
        <f>Y4/W4</f>
        <v>1187.6695020188424</v>
      </c>
      <c r="Y4" s="119">
        <f>816685.44+65753</f>
        <v>882438.44</v>
      </c>
      <c r="Z4" s="30">
        <v>1</v>
      </c>
      <c r="AA4" s="31" t="s">
        <v>6</v>
      </c>
      <c r="AB4" s="119">
        <f>658+44</f>
        <v>702</v>
      </c>
      <c r="AC4" s="33">
        <f>AD4/AB4</f>
        <v>1118.5828632478633</v>
      </c>
      <c r="AD4" s="119">
        <f>734577.17+50668</f>
        <v>785245.17</v>
      </c>
      <c r="AE4" s="30">
        <v>1</v>
      </c>
      <c r="AF4" s="31" t="s">
        <v>6</v>
      </c>
      <c r="AG4" s="131">
        <f>734+22</f>
        <v>756</v>
      </c>
      <c r="AH4" s="33">
        <f>AI4/AG4</f>
        <v>1132.5090211640211</v>
      </c>
      <c r="AI4" s="134">
        <f>830026.82+26150</f>
        <v>856176.82</v>
      </c>
      <c r="AJ4" s="30">
        <v>1</v>
      </c>
      <c r="AK4" s="38" t="s">
        <v>6</v>
      </c>
      <c r="AL4" s="125">
        <f>987+37</f>
        <v>1024</v>
      </c>
      <c r="AM4" s="33">
        <f>AN4/AL4</f>
        <v>1115.782490234375</v>
      </c>
      <c r="AN4" s="120">
        <f>1097452.27+45109</f>
        <v>1142561.27</v>
      </c>
      <c r="AO4" s="30">
        <v>1</v>
      </c>
      <c r="AP4" s="31" t="s">
        <v>6</v>
      </c>
      <c r="AQ4" s="39">
        <f>987+34</f>
        <v>1021</v>
      </c>
      <c r="AR4" s="33">
        <f>AS4/AQ4</f>
        <v>1080.2584818805092</v>
      </c>
      <c r="AS4" s="40">
        <f>1065853.91+37090</f>
        <v>1102943.9099999999</v>
      </c>
      <c r="AT4" s="30">
        <v>1</v>
      </c>
      <c r="AU4" s="31" t="s">
        <v>6</v>
      </c>
      <c r="AV4" s="131">
        <f>1038+70</f>
        <v>1108</v>
      </c>
      <c r="AW4" s="33">
        <f>AX4/AV4</f>
        <v>1159.6837815884476</v>
      </c>
      <c r="AX4" s="134">
        <f>1201269.63+83660</f>
        <v>1284929.6299999999</v>
      </c>
      <c r="AY4" s="30">
        <v>1</v>
      </c>
      <c r="AZ4" s="31" t="s">
        <v>6</v>
      </c>
      <c r="BA4" s="131">
        <f>760+94</f>
        <v>854</v>
      </c>
      <c r="BB4" s="33">
        <f>BC4/BA4</f>
        <v>1480.0668735362999</v>
      </c>
      <c r="BC4" s="134">
        <f>1120586.11+143391</f>
        <v>1263977.1100000001</v>
      </c>
      <c r="BD4" s="30">
        <v>1</v>
      </c>
      <c r="BE4" s="31" t="s">
        <v>6</v>
      </c>
      <c r="BF4" s="131">
        <f>776+73</f>
        <v>849</v>
      </c>
      <c r="BG4" s="33">
        <f>BH4/BF4</f>
        <v>1590.981625441696</v>
      </c>
      <c r="BH4" s="134">
        <f>1231655.4+119088</f>
        <v>1350743.4</v>
      </c>
      <c r="BI4" s="30">
        <v>1</v>
      </c>
      <c r="BJ4" s="137" t="s">
        <v>6</v>
      </c>
      <c r="BK4" s="131">
        <f>9605+624</f>
        <v>10229</v>
      </c>
      <c r="BL4" s="136">
        <f>BM4/BK4</f>
        <v>1216.4137012415681</v>
      </c>
      <c r="BM4" s="119">
        <f>12354768.75+87927</f>
        <v>12442695.75</v>
      </c>
      <c r="BN4" s="111">
        <f>BK4/BK3</f>
        <v>0.17299171317436157</v>
      </c>
      <c r="BP4" s="42"/>
    </row>
    <row r="5" spans="1:69" x14ac:dyDescent="0.35">
      <c r="A5" s="30">
        <v>2</v>
      </c>
      <c r="B5" s="38" t="s">
        <v>12</v>
      </c>
      <c r="C5" s="116">
        <v>532</v>
      </c>
      <c r="D5" s="33">
        <f t="shared" si="0"/>
        <v>1803.9384962406016</v>
      </c>
      <c r="E5" s="120">
        <v>959695.28</v>
      </c>
      <c r="F5" s="34">
        <v>2</v>
      </c>
      <c r="G5" s="38" t="s">
        <v>10</v>
      </c>
      <c r="H5" s="123">
        <v>439</v>
      </c>
      <c r="I5" s="33">
        <f t="shared" si="1"/>
        <v>1548.2054897494304</v>
      </c>
      <c r="J5" s="120">
        <v>679662.21</v>
      </c>
      <c r="K5" s="30">
        <v>2</v>
      </c>
      <c r="L5" s="38" t="s">
        <v>10</v>
      </c>
      <c r="M5" s="120">
        <v>561</v>
      </c>
      <c r="N5" s="33">
        <f t="shared" si="2"/>
        <v>1363.8314260249556</v>
      </c>
      <c r="O5" s="120">
        <v>765109.43</v>
      </c>
      <c r="P5" s="30">
        <v>2</v>
      </c>
      <c r="Q5" s="38" t="s">
        <v>9</v>
      </c>
      <c r="R5" s="120">
        <v>391</v>
      </c>
      <c r="S5" s="33">
        <f t="shared" si="3"/>
        <v>1362.5529923273657</v>
      </c>
      <c r="T5" s="120">
        <v>532758.22</v>
      </c>
      <c r="U5" s="30">
        <v>2</v>
      </c>
      <c r="V5" s="38" t="s">
        <v>10</v>
      </c>
      <c r="W5" s="120">
        <v>419</v>
      </c>
      <c r="X5" s="33">
        <f t="shared" ref="X5:X67" si="4">Y5/W5</f>
        <v>1217.7281145584725</v>
      </c>
      <c r="Y5" s="120">
        <v>510228.08</v>
      </c>
      <c r="Z5" s="30">
        <v>2</v>
      </c>
      <c r="AA5" s="38" t="s">
        <v>10</v>
      </c>
      <c r="AB5" s="120">
        <v>459</v>
      </c>
      <c r="AC5" s="33">
        <f t="shared" ref="AC5:AC67" si="5">AD5/AB5</f>
        <v>1172.2850544662308</v>
      </c>
      <c r="AD5" s="120">
        <v>538078.84</v>
      </c>
      <c r="AE5" s="30">
        <v>2</v>
      </c>
      <c r="AF5" s="38" t="s">
        <v>10</v>
      </c>
      <c r="AG5" s="126">
        <v>576</v>
      </c>
      <c r="AH5" s="33">
        <f t="shared" ref="AH5:AH7" si="6">AI5/AG5</f>
        <v>1077.9011458333334</v>
      </c>
      <c r="AI5" s="120">
        <v>620871.06000000006</v>
      </c>
      <c r="AJ5" s="30">
        <v>2</v>
      </c>
      <c r="AK5" s="38" t="s">
        <v>10</v>
      </c>
      <c r="AL5" s="126">
        <v>475</v>
      </c>
      <c r="AM5" s="33">
        <f t="shared" ref="AM5:AM67" si="7">AN5/AL5</f>
        <v>1092.6081052631578</v>
      </c>
      <c r="AN5" s="120">
        <v>518988.85</v>
      </c>
      <c r="AO5" s="30">
        <v>2</v>
      </c>
      <c r="AP5" s="38" t="s">
        <v>7</v>
      </c>
      <c r="AQ5" s="39">
        <v>504</v>
      </c>
      <c r="AR5" s="33">
        <f t="shared" ref="AR5:AR67" si="8">AS5/AQ5</f>
        <v>1072.097123015873</v>
      </c>
      <c r="AS5" s="40">
        <v>540336.94999999995</v>
      </c>
      <c r="AT5" s="30">
        <v>2</v>
      </c>
      <c r="AU5" s="38" t="s">
        <v>10</v>
      </c>
      <c r="AV5" s="126">
        <v>477</v>
      </c>
      <c r="AW5" s="33">
        <f t="shared" ref="AW5:AW67" si="9">AX5/AV5</f>
        <v>1169.0037316561845</v>
      </c>
      <c r="AX5" s="120">
        <v>557614.78</v>
      </c>
      <c r="AY5" s="30">
        <v>2</v>
      </c>
      <c r="AZ5" s="38" t="s">
        <v>10</v>
      </c>
      <c r="BA5" s="126">
        <v>579</v>
      </c>
      <c r="BB5" s="33">
        <f t="shared" ref="BB5:BB67" si="10">BC5/BA5</f>
        <v>1444.3965630397236</v>
      </c>
      <c r="BC5" s="120">
        <v>836305.61</v>
      </c>
      <c r="BD5" s="30">
        <v>2</v>
      </c>
      <c r="BE5" s="38" t="s">
        <v>9</v>
      </c>
      <c r="BF5" s="126">
        <v>574</v>
      </c>
      <c r="BG5" s="33">
        <f t="shared" ref="BG5:BG67" si="11">BH5/BF5</f>
        <v>1713.9108536585366</v>
      </c>
      <c r="BH5" s="120">
        <v>983784.83</v>
      </c>
      <c r="BI5" s="30">
        <v>2</v>
      </c>
      <c r="BJ5" s="38" t="s">
        <v>10</v>
      </c>
      <c r="BK5" s="140">
        <v>5882</v>
      </c>
      <c r="BL5" s="33">
        <f>BM5/BK5</f>
        <v>1307.1933798027881</v>
      </c>
      <c r="BM5" s="144">
        <v>7688911.46</v>
      </c>
      <c r="BN5" s="111">
        <f t="shared" ref="BN5:BN21" si="12">BK5/$BK$3</f>
        <v>9.9475731439201756E-2</v>
      </c>
      <c r="BO5" s="3"/>
      <c r="BP5" s="42"/>
    </row>
    <row r="6" spans="1:69" x14ac:dyDescent="0.35">
      <c r="A6" s="30">
        <v>3</v>
      </c>
      <c r="B6" s="38" t="s">
        <v>10</v>
      </c>
      <c r="C6" s="116">
        <v>458</v>
      </c>
      <c r="D6" s="33">
        <f t="shared" si="0"/>
        <v>1493.5608951965066</v>
      </c>
      <c r="E6" s="120">
        <v>684050.89</v>
      </c>
      <c r="F6" s="34">
        <v>3</v>
      </c>
      <c r="G6" s="38" t="s">
        <v>9</v>
      </c>
      <c r="H6" s="123">
        <v>387</v>
      </c>
      <c r="I6" s="33">
        <f t="shared" si="1"/>
        <v>1577.0744961240309</v>
      </c>
      <c r="J6" s="120">
        <v>610327.82999999996</v>
      </c>
      <c r="K6" s="30">
        <v>3</v>
      </c>
      <c r="L6" s="38" t="s">
        <v>9</v>
      </c>
      <c r="M6" s="120">
        <v>397</v>
      </c>
      <c r="N6" s="33">
        <f t="shared" si="2"/>
        <v>1397.086952141058</v>
      </c>
      <c r="O6" s="120">
        <v>554643.52</v>
      </c>
      <c r="P6" s="30">
        <v>3</v>
      </c>
      <c r="Q6" s="38" t="s">
        <v>10</v>
      </c>
      <c r="R6" s="120">
        <v>391</v>
      </c>
      <c r="S6" s="33">
        <f t="shared" si="3"/>
        <v>1296.4860358056264</v>
      </c>
      <c r="T6" s="120">
        <v>506926.04</v>
      </c>
      <c r="U6" s="30">
        <v>3</v>
      </c>
      <c r="V6" s="38" t="s">
        <v>8</v>
      </c>
      <c r="W6" s="120">
        <v>364</v>
      </c>
      <c r="X6" s="33">
        <f t="shared" si="4"/>
        <v>1130.4343406593407</v>
      </c>
      <c r="Y6" s="120">
        <v>411478.1</v>
      </c>
      <c r="Z6" s="30">
        <v>3</v>
      </c>
      <c r="AA6" s="38" t="s">
        <v>8</v>
      </c>
      <c r="AB6" s="120">
        <v>434</v>
      </c>
      <c r="AC6" s="33">
        <f t="shared" si="5"/>
        <v>1070.4662903225806</v>
      </c>
      <c r="AD6" s="120">
        <v>464582.37</v>
      </c>
      <c r="AE6" s="30">
        <v>3</v>
      </c>
      <c r="AF6" s="38" t="s">
        <v>9</v>
      </c>
      <c r="AG6" s="126">
        <v>351</v>
      </c>
      <c r="AH6" s="33">
        <f t="shared" si="6"/>
        <v>1125.6947293447292</v>
      </c>
      <c r="AI6" s="120">
        <v>395118.85</v>
      </c>
      <c r="AJ6" s="30">
        <v>3</v>
      </c>
      <c r="AK6" s="38" t="s">
        <v>9</v>
      </c>
      <c r="AL6" s="126">
        <v>451</v>
      </c>
      <c r="AM6" s="33">
        <f t="shared" si="7"/>
        <v>1129.0282261640798</v>
      </c>
      <c r="AN6" s="120">
        <v>509191.73</v>
      </c>
      <c r="AO6" s="30">
        <v>3</v>
      </c>
      <c r="AP6" s="38" t="s">
        <v>9</v>
      </c>
      <c r="AQ6" s="2">
        <v>489</v>
      </c>
      <c r="AR6" s="33">
        <f t="shared" si="8"/>
        <v>1094.4265439672802</v>
      </c>
      <c r="AS6" s="38">
        <v>535174.57999999996</v>
      </c>
      <c r="AT6" s="30">
        <v>3</v>
      </c>
      <c r="AU6" s="38" t="s">
        <v>9</v>
      </c>
      <c r="AV6" s="126">
        <v>474</v>
      </c>
      <c r="AW6" s="33">
        <f t="shared" si="9"/>
        <v>1167.7059915611815</v>
      </c>
      <c r="AX6" s="120">
        <v>553492.64</v>
      </c>
      <c r="AY6" s="30">
        <v>3</v>
      </c>
      <c r="AZ6" s="38" t="s">
        <v>9</v>
      </c>
      <c r="BA6" s="126">
        <v>444</v>
      </c>
      <c r="BB6" s="33">
        <f t="shared" si="10"/>
        <v>1491.8708108108108</v>
      </c>
      <c r="BC6" s="120">
        <v>662390.64</v>
      </c>
      <c r="BD6" s="30">
        <v>3</v>
      </c>
      <c r="BE6" s="38" t="s">
        <v>10</v>
      </c>
      <c r="BF6" s="126">
        <v>565</v>
      </c>
      <c r="BG6" s="33">
        <f t="shared" si="11"/>
        <v>1693.5661061946903</v>
      </c>
      <c r="BH6" s="120">
        <v>956864.85</v>
      </c>
      <c r="BI6" s="30">
        <v>3</v>
      </c>
      <c r="BJ6" s="38" t="s">
        <v>9</v>
      </c>
      <c r="BK6" s="141">
        <v>4901</v>
      </c>
      <c r="BL6" s="33">
        <f>BM6/BK6</f>
        <v>1337.7375760048969</v>
      </c>
      <c r="BM6" s="144">
        <v>6556251.8600000003</v>
      </c>
      <c r="BN6" s="111">
        <f t="shared" si="12"/>
        <v>8.2885168273296131E-2</v>
      </c>
      <c r="BQ6" s="42"/>
    </row>
    <row r="7" spans="1:69" x14ac:dyDescent="0.35">
      <c r="A7" s="30">
        <v>4</v>
      </c>
      <c r="B7" s="38" t="s">
        <v>9</v>
      </c>
      <c r="C7" s="116">
        <v>308</v>
      </c>
      <c r="D7" s="33">
        <f t="shared" si="0"/>
        <v>1515.0958766233766</v>
      </c>
      <c r="E7" s="120">
        <v>466649.53</v>
      </c>
      <c r="F7" s="34">
        <v>4</v>
      </c>
      <c r="G7" s="38" t="s">
        <v>12</v>
      </c>
      <c r="H7" s="123">
        <v>356</v>
      </c>
      <c r="I7" s="33">
        <f t="shared" si="1"/>
        <v>1702.2595505617978</v>
      </c>
      <c r="J7" s="120">
        <v>606004.4</v>
      </c>
      <c r="K7" s="30">
        <v>4</v>
      </c>
      <c r="L7" s="38" t="s">
        <v>12</v>
      </c>
      <c r="M7" s="120">
        <v>346</v>
      </c>
      <c r="N7" s="33">
        <f t="shared" si="2"/>
        <v>1401.2660115606936</v>
      </c>
      <c r="O7" s="120">
        <v>484838.04</v>
      </c>
      <c r="P7" s="30">
        <v>4</v>
      </c>
      <c r="Q7" s="38" t="s">
        <v>8</v>
      </c>
      <c r="R7" s="120">
        <v>301</v>
      </c>
      <c r="S7" s="33">
        <f t="shared" si="3"/>
        <v>1218.0836544850499</v>
      </c>
      <c r="T7" s="120">
        <v>366643.18</v>
      </c>
      <c r="U7" s="30">
        <v>4</v>
      </c>
      <c r="V7" s="38" t="s">
        <v>9</v>
      </c>
      <c r="W7" s="120">
        <v>358</v>
      </c>
      <c r="X7" s="33">
        <f t="shared" si="4"/>
        <v>1199.3632122905028</v>
      </c>
      <c r="Y7" s="120">
        <v>429372.03</v>
      </c>
      <c r="Z7" s="30">
        <v>4</v>
      </c>
      <c r="AA7" s="38" t="s">
        <v>9</v>
      </c>
      <c r="AB7" s="120">
        <v>277</v>
      </c>
      <c r="AC7" s="33">
        <f t="shared" si="5"/>
        <v>1167.3193501805056</v>
      </c>
      <c r="AD7" s="120">
        <v>323347.46000000002</v>
      </c>
      <c r="AE7" s="30">
        <v>4</v>
      </c>
      <c r="AF7" s="38" t="s">
        <v>8</v>
      </c>
      <c r="AG7" s="126">
        <v>350</v>
      </c>
      <c r="AH7" s="33">
        <f t="shared" si="6"/>
        <v>1094.7621428571429</v>
      </c>
      <c r="AI7" s="120">
        <v>383166.75</v>
      </c>
      <c r="AJ7" s="30">
        <v>4</v>
      </c>
      <c r="AK7" s="38" t="s">
        <v>8</v>
      </c>
      <c r="AL7" s="126">
        <v>412</v>
      </c>
      <c r="AM7" s="33">
        <f t="shared" si="7"/>
        <v>1099.3857524271843</v>
      </c>
      <c r="AN7" s="120">
        <v>452946.93</v>
      </c>
      <c r="AO7" s="30">
        <v>4</v>
      </c>
      <c r="AP7" s="38" t="s">
        <v>10</v>
      </c>
      <c r="AQ7" s="2">
        <v>483</v>
      </c>
      <c r="AR7" s="33">
        <f t="shared" si="8"/>
        <v>1064.6186749482401</v>
      </c>
      <c r="AS7" s="38">
        <v>514210.82</v>
      </c>
      <c r="AT7" s="30">
        <v>4</v>
      </c>
      <c r="AU7" s="38" t="s">
        <v>7</v>
      </c>
      <c r="AV7" s="126">
        <v>356</v>
      </c>
      <c r="AW7" s="33">
        <f t="shared" si="9"/>
        <v>1118.1060112359551</v>
      </c>
      <c r="AX7" s="120">
        <v>398045.74</v>
      </c>
      <c r="AY7" s="30">
        <v>4</v>
      </c>
      <c r="AZ7" s="38" t="s">
        <v>7</v>
      </c>
      <c r="BA7" s="126">
        <v>430</v>
      </c>
      <c r="BB7" s="33">
        <f t="shared" si="10"/>
        <v>1390.697976744186</v>
      </c>
      <c r="BC7" s="120">
        <v>598000.13</v>
      </c>
      <c r="BD7" s="30">
        <v>4</v>
      </c>
      <c r="BE7" s="38" t="s">
        <v>7</v>
      </c>
      <c r="BF7" s="126">
        <v>405</v>
      </c>
      <c r="BG7" s="33">
        <f t="shared" si="11"/>
        <v>1589.4185925925926</v>
      </c>
      <c r="BH7" s="120">
        <v>643714.53</v>
      </c>
      <c r="BI7" s="30">
        <v>4</v>
      </c>
      <c r="BJ7" s="38" t="s">
        <v>8</v>
      </c>
      <c r="BK7" s="140">
        <v>3732</v>
      </c>
      <c r="BL7" s="33">
        <f t="shared" ref="BL7:BL69" si="13">BM7/BK7</f>
        <v>1214.1047990353698</v>
      </c>
      <c r="BM7" s="144">
        <v>4531039.1100000003</v>
      </c>
      <c r="BN7" s="111">
        <f t="shared" si="12"/>
        <v>6.3115169964485032E-2</v>
      </c>
      <c r="BQ7" s="42"/>
    </row>
    <row r="8" spans="1:69" x14ac:dyDescent="0.35">
      <c r="A8" s="30">
        <v>5</v>
      </c>
      <c r="B8" s="38" t="s">
        <v>17</v>
      </c>
      <c r="C8" s="116">
        <v>246</v>
      </c>
      <c r="D8" s="33">
        <f t="shared" si="0"/>
        <v>1671.1259756097561</v>
      </c>
      <c r="E8" s="120">
        <v>411096.99</v>
      </c>
      <c r="F8" s="34">
        <v>5</v>
      </c>
      <c r="G8" s="38" t="s">
        <v>8</v>
      </c>
      <c r="H8" s="123">
        <v>251</v>
      </c>
      <c r="I8" s="33">
        <f t="shared" si="1"/>
        <v>1433.3168525896415</v>
      </c>
      <c r="J8" s="120">
        <v>359762.53</v>
      </c>
      <c r="K8" s="30">
        <v>5</v>
      </c>
      <c r="L8" s="38" t="s">
        <v>8</v>
      </c>
      <c r="M8" s="120">
        <v>305</v>
      </c>
      <c r="N8" s="33">
        <f t="shared" si="2"/>
        <v>1307.638524590164</v>
      </c>
      <c r="O8" s="120">
        <v>398829.75</v>
      </c>
      <c r="P8" s="30">
        <v>5</v>
      </c>
      <c r="Q8" s="38" t="s">
        <v>12</v>
      </c>
      <c r="R8" s="120">
        <v>301</v>
      </c>
      <c r="S8" s="33">
        <f t="shared" si="3"/>
        <v>1344.7577740863787</v>
      </c>
      <c r="T8" s="120">
        <v>404772.09</v>
      </c>
      <c r="U8" s="30">
        <v>5</v>
      </c>
      <c r="V8" s="38" t="s">
        <v>14</v>
      </c>
      <c r="W8" s="120">
        <v>223</v>
      </c>
      <c r="X8" s="33">
        <f t="shared" si="4"/>
        <v>1304.8196860986545</v>
      </c>
      <c r="Y8" s="120">
        <v>290974.78999999998</v>
      </c>
      <c r="Z8" s="30">
        <v>5</v>
      </c>
      <c r="AA8" s="38" t="s">
        <v>7</v>
      </c>
      <c r="AB8" s="119">
        <v>207</v>
      </c>
      <c r="AC8" s="33">
        <f t="shared" si="5"/>
        <v>1186.2988888888888</v>
      </c>
      <c r="AD8" s="119">
        <v>245563.87</v>
      </c>
      <c r="AE8" s="30">
        <v>5</v>
      </c>
      <c r="AF8" s="38" t="s">
        <v>7</v>
      </c>
      <c r="AG8" s="126">
        <v>274</v>
      </c>
      <c r="AH8" s="33">
        <f>AI8/AG8</f>
        <v>1151.8003284671531</v>
      </c>
      <c r="AI8" s="120">
        <v>315593.28999999998</v>
      </c>
      <c r="AJ8" s="30">
        <v>5</v>
      </c>
      <c r="AK8" s="38" t="s">
        <v>16</v>
      </c>
      <c r="AL8" s="126">
        <v>305</v>
      </c>
      <c r="AM8" s="33">
        <f t="shared" si="7"/>
        <v>1198.5674754098361</v>
      </c>
      <c r="AN8" s="120">
        <v>365563.08</v>
      </c>
      <c r="AO8" s="30">
        <v>5</v>
      </c>
      <c r="AP8" s="38" t="s">
        <v>8</v>
      </c>
      <c r="AQ8" s="2">
        <v>330</v>
      </c>
      <c r="AR8" s="33">
        <f t="shared" si="8"/>
        <v>1069.5622424242424</v>
      </c>
      <c r="AS8" s="38">
        <v>352955.54</v>
      </c>
      <c r="AT8" s="30">
        <v>5</v>
      </c>
      <c r="AU8" s="38" t="s">
        <v>11</v>
      </c>
      <c r="AV8" s="126">
        <v>341</v>
      </c>
      <c r="AW8" s="33">
        <f t="shared" si="9"/>
        <v>1131.206715542522</v>
      </c>
      <c r="AX8" s="120">
        <v>385741.49</v>
      </c>
      <c r="AY8" s="30">
        <v>5</v>
      </c>
      <c r="AZ8" s="38" t="s">
        <v>12</v>
      </c>
      <c r="BA8" s="126">
        <v>410</v>
      </c>
      <c r="BB8" s="33">
        <f t="shared" si="10"/>
        <v>1602.6714390243903</v>
      </c>
      <c r="BC8" s="120">
        <v>657095.29</v>
      </c>
      <c r="BD8" s="30">
        <v>5</v>
      </c>
      <c r="BE8" s="38" t="s">
        <v>12</v>
      </c>
      <c r="BF8" s="126">
        <v>368</v>
      </c>
      <c r="BG8" s="33">
        <f t="shared" si="11"/>
        <v>2091.526195652174</v>
      </c>
      <c r="BH8" s="120">
        <v>769681.64</v>
      </c>
      <c r="BI8" s="30">
        <v>5</v>
      </c>
      <c r="BJ8" s="38" t="s">
        <v>12</v>
      </c>
      <c r="BK8" s="140">
        <v>3652</v>
      </c>
      <c r="BL8" s="33">
        <f t="shared" si="13"/>
        <v>1513.9274096385543</v>
      </c>
      <c r="BM8" s="144">
        <v>5528862.9000000004</v>
      </c>
      <c r="BN8" s="111">
        <f t="shared" si="12"/>
        <v>6.176221883984441E-2</v>
      </c>
    </row>
    <row r="9" spans="1:69" x14ac:dyDescent="0.35">
      <c r="A9" s="30">
        <v>6</v>
      </c>
      <c r="B9" s="38" t="s">
        <v>11</v>
      </c>
      <c r="C9" s="116">
        <v>242</v>
      </c>
      <c r="D9" s="33">
        <f t="shared" si="0"/>
        <v>1554.3110743801653</v>
      </c>
      <c r="E9" s="120">
        <v>376143.28</v>
      </c>
      <c r="F9" s="34">
        <v>6</v>
      </c>
      <c r="G9" s="38" t="s">
        <v>17</v>
      </c>
      <c r="H9" s="123">
        <v>243</v>
      </c>
      <c r="I9" s="33">
        <f t="shared" si="1"/>
        <v>1547.494938271605</v>
      </c>
      <c r="J9" s="120">
        <v>376041.27</v>
      </c>
      <c r="K9" s="30">
        <v>6</v>
      </c>
      <c r="L9" s="38" t="s">
        <v>17</v>
      </c>
      <c r="M9" s="120">
        <v>211</v>
      </c>
      <c r="N9" s="33">
        <f t="shared" si="2"/>
        <v>1399.901374407583</v>
      </c>
      <c r="O9" s="120">
        <v>295379.19</v>
      </c>
      <c r="P9" s="30">
        <v>6</v>
      </c>
      <c r="Q9" s="38" t="s">
        <v>17</v>
      </c>
      <c r="R9" s="120">
        <v>221</v>
      </c>
      <c r="S9" s="33">
        <f t="shared" si="3"/>
        <v>1284.9155656108599</v>
      </c>
      <c r="T9" s="120">
        <v>283966.34000000003</v>
      </c>
      <c r="U9" s="30">
        <v>6</v>
      </c>
      <c r="V9" s="38" t="s">
        <v>7</v>
      </c>
      <c r="W9" s="119">
        <v>211</v>
      </c>
      <c r="X9" s="33">
        <f t="shared" si="4"/>
        <v>1265.8792417061613</v>
      </c>
      <c r="Y9" s="119">
        <v>267100.52</v>
      </c>
      <c r="Z9" s="30">
        <v>6</v>
      </c>
      <c r="AA9" s="38" t="s">
        <v>11</v>
      </c>
      <c r="AB9" s="120">
        <v>207</v>
      </c>
      <c r="AC9" s="33">
        <f t="shared" si="5"/>
        <v>1181.6958937198067</v>
      </c>
      <c r="AD9" s="120">
        <v>244611.05</v>
      </c>
      <c r="AE9" s="30">
        <v>6</v>
      </c>
      <c r="AF9" s="38" t="s">
        <v>12</v>
      </c>
      <c r="AG9" s="126">
        <v>229</v>
      </c>
      <c r="AH9" s="33">
        <f t="shared" ref="AH9:AH71" si="14">AI9/AG9</f>
        <v>1215.3430567685589</v>
      </c>
      <c r="AI9" s="120">
        <v>278313.56</v>
      </c>
      <c r="AJ9" s="30">
        <v>6</v>
      </c>
      <c r="AK9" s="38" t="s">
        <v>7</v>
      </c>
      <c r="AL9" s="126">
        <v>289</v>
      </c>
      <c r="AM9" s="33">
        <f t="shared" si="7"/>
        <v>1095.9678200692042</v>
      </c>
      <c r="AN9" s="120">
        <v>316734.7</v>
      </c>
      <c r="AO9" s="30">
        <v>6</v>
      </c>
      <c r="AP9" s="38" t="s">
        <v>11</v>
      </c>
      <c r="AQ9" s="2">
        <v>256</v>
      </c>
      <c r="AR9" s="33">
        <f t="shared" si="8"/>
        <v>1067.3645703125001</v>
      </c>
      <c r="AS9" s="38">
        <v>273245.33</v>
      </c>
      <c r="AT9" s="30">
        <v>6</v>
      </c>
      <c r="AU9" s="38" t="s">
        <v>8</v>
      </c>
      <c r="AV9" s="126">
        <v>267</v>
      </c>
      <c r="AW9" s="33">
        <f t="shared" si="9"/>
        <v>1130.6929213483147</v>
      </c>
      <c r="AX9" s="120">
        <v>301895.01</v>
      </c>
      <c r="AY9" s="30">
        <v>6</v>
      </c>
      <c r="AZ9" s="38" t="s">
        <v>11</v>
      </c>
      <c r="BA9" s="126">
        <v>284</v>
      </c>
      <c r="BB9" s="33">
        <f t="shared" si="10"/>
        <v>1536.4805985915493</v>
      </c>
      <c r="BC9" s="120">
        <v>436360.49</v>
      </c>
      <c r="BD9" s="30">
        <v>6</v>
      </c>
      <c r="BE9" s="38" t="s">
        <v>11</v>
      </c>
      <c r="BF9" s="126">
        <v>290</v>
      </c>
      <c r="BG9" s="33">
        <f t="shared" si="11"/>
        <v>1718.6892068965517</v>
      </c>
      <c r="BH9" s="120">
        <v>498419.87</v>
      </c>
      <c r="BI9" s="30">
        <v>6</v>
      </c>
      <c r="BJ9" s="31" t="s">
        <v>7</v>
      </c>
      <c r="BK9" s="141">
        <v>3274</v>
      </c>
      <c r="BL9" s="33">
        <f t="shared" si="13"/>
        <v>1303.8904520464264</v>
      </c>
      <c r="BM9" s="119">
        <v>4268937.34</v>
      </c>
      <c r="BN9" s="111">
        <f t="shared" si="12"/>
        <v>5.5369524775917472E-2</v>
      </c>
      <c r="BO9" s="42"/>
    </row>
    <row r="10" spans="1:69" x14ac:dyDescent="0.35">
      <c r="A10" s="30">
        <v>7</v>
      </c>
      <c r="B10" s="38" t="s">
        <v>8</v>
      </c>
      <c r="C10" s="116">
        <v>218</v>
      </c>
      <c r="D10" s="33">
        <f t="shared" si="0"/>
        <v>1541.5969724770644</v>
      </c>
      <c r="E10" s="120">
        <v>336068.14</v>
      </c>
      <c r="F10" s="34">
        <v>7</v>
      </c>
      <c r="G10" s="38" t="s">
        <v>16</v>
      </c>
      <c r="H10" s="123">
        <v>223</v>
      </c>
      <c r="I10" s="33">
        <f t="shared" si="1"/>
        <v>1537.3707623318385</v>
      </c>
      <c r="J10" s="120">
        <v>342833.68</v>
      </c>
      <c r="K10" s="30">
        <v>7</v>
      </c>
      <c r="L10" s="38" t="s">
        <v>11</v>
      </c>
      <c r="M10" s="120">
        <v>182</v>
      </c>
      <c r="N10" s="33">
        <f t="shared" si="2"/>
        <v>1357.0067582417582</v>
      </c>
      <c r="O10" s="120">
        <v>246975.23</v>
      </c>
      <c r="P10" s="30">
        <v>7</v>
      </c>
      <c r="Q10" s="38" t="s">
        <v>11</v>
      </c>
      <c r="R10" s="120">
        <v>172</v>
      </c>
      <c r="S10" s="33">
        <f t="shared" si="3"/>
        <v>1348.2573255813954</v>
      </c>
      <c r="T10" s="120">
        <v>231900.26</v>
      </c>
      <c r="U10" s="30">
        <v>7</v>
      </c>
      <c r="V10" s="38" t="s">
        <v>11</v>
      </c>
      <c r="W10" s="120">
        <v>210</v>
      </c>
      <c r="X10" s="33">
        <f t="shared" si="4"/>
        <v>1248.9689523809523</v>
      </c>
      <c r="Y10" s="120">
        <v>262283.48</v>
      </c>
      <c r="Z10" s="30">
        <v>7</v>
      </c>
      <c r="AA10" s="38" t="s">
        <v>12</v>
      </c>
      <c r="AB10" s="120">
        <v>205</v>
      </c>
      <c r="AC10" s="33">
        <f t="shared" si="5"/>
        <v>1169.1585365853659</v>
      </c>
      <c r="AD10" s="120">
        <v>239677.5</v>
      </c>
      <c r="AE10" s="30">
        <v>7</v>
      </c>
      <c r="AF10" s="31" t="s">
        <v>19</v>
      </c>
      <c r="AG10" s="131">
        <v>181</v>
      </c>
      <c r="AH10" s="33">
        <f t="shared" si="14"/>
        <v>1216.3217679558011</v>
      </c>
      <c r="AI10" s="134">
        <v>220154.23999999999</v>
      </c>
      <c r="AJ10" s="30">
        <v>7</v>
      </c>
      <c r="AK10" s="38" t="s">
        <v>12</v>
      </c>
      <c r="AL10" s="126">
        <v>272</v>
      </c>
      <c r="AM10" s="33">
        <f t="shared" si="7"/>
        <v>1210.8994852941175</v>
      </c>
      <c r="AN10" s="120">
        <v>329364.65999999997</v>
      </c>
      <c r="AO10" s="30">
        <v>7</v>
      </c>
      <c r="AP10" s="38" t="s">
        <v>12</v>
      </c>
      <c r="AQ10" s="2">
        <v>236</v>
      </c>
      <c r="AR10" s="33">
        <f t="shared" si="8"/>
        <v>1215.5436440677965</v>
      </c>
      <c r="AS10" s="38">
        <v>286868.3</v>
      </c>
      <c r="AT10" s="30">
        <v>7</v>
      </c>
      <c r="AU10" s="38" t="s">
        <v>14</v>
      </c>
      <c r="AV10" s="126">
        <v>219</v>
      </c>
      <c r="AW10" s="33">
        <f t="shared" si="9"/>
        <v>1247.2971689497717</v>
      </c>
      <c r="AX10" s="120">
        <v>273158.08</v>
      </c>
      <c r="AY10" s="30">
        <v>7</v>
      </c>
      <c r="AZ10" s="38" t="s">
        <v>8</v>
      </c>
      <c r="BA10" s="126">
        <v>228</v>
      </c>
      <c r="BB10" s="33">
        <f t="shared" si="10"/>
        <v>1325.513947368421</v>
      </c>
      <c r="BC10" s="120">
        <v>302217.18</v>
      </c>
      <c r="BD10" s="30">
        <v>7</v>
      </c>
      <c r="BE10" s="38" t="s">
        <v>8</v>
      </c>
      <c r="BF10" s="126">
        <v>272</v>
      </c>
      <c r="BG10" s="33">
        <f t="shared" si="11"/>
        <v>1472.4030514705883</v>
      </c>
      <c r="BH10" s="120">
        <v>400493.63</v>
      </c>
      <c r="BI10" s="30">
        <v>7</v>
      </c>
      <c r="BJ10" s="38" t="s">
        <v>11</v>
      </c>
      <c r="BK10" s="140">
        <v>2772</v>
      </c>
      <c r="BL10" s="33">
        <f t="shared" si="13"/>
        <v>1328.4064033189034</v>
      </c>
      <c r="BM10" s="144">
        <v>3682342.55</v>
      </c>
      <c r="BN10" s="111">
        <f t="shared" si="12"/>
        <v>4.6879756468797565E-2</v>
      </c>
    </row>
    <row r="11" spans="1:69" x14ac:dyDescent="0.35">
      <c r="A11" s="30">
        <v>8</v>
      </c>
      <c r="B11" s="31" t="s">
        <v>19</v>
      </c>
      <c r="C11" s="115">
        <v>182</v>
      </c>
      <c r="D11" s="33">
        <f t="shared" si="0"/>
        <v>1503.1830769230769</v>
      </c>
      <c r="E11" s="119">
        <v>273579.32</v>
      </c>
      <c r="F11" s="34">
        <v>8</v>
      </c>
      <c r="G11" s="31" t="s">
        <v>19</v>
      </c>
      <c r="H11" s="122">
        <v>194</v>
      </c>
      <c r="I11" s="33">
        <f t="shared" si="1"/>
        <v>1554.4923711340207</v>
      </c>
      <c r="J11" s="119">
        <v>301571.52</v>
      </c>
      <c r="K11" s="30">
        <v>8</v>
      </c>
      <c r="L11" s="38" t="s">
        <v>16</v>
      </c>
      <c r="M11" s="120">
        <v>154</v>
      </c>
      <c r="N11" s="33">
        <f t="shared" si="2"/>
        <v>1422.8034415584416</v>
      </c>
      <c r="O11" s="120">
        <v>219111.73</v>
      </c>
      <c r="P11" s="30">
        <v>8</v>
      </c>
      <c r="Q11" s="38" t="s">
        <v>7</v>
      </c>
      <c r="R11" s="119">
        <v>162</v>
      </c>
      <c r="S11" s="33">
        <f t="shared" si="3"/>
        <v>1362.5582716049382</v>
      </c>
      <c r="T11" s="119">
        <v>220734.44</v>
      </c>
      <c r="U11" s="30">
        <v>8</v>
      </c>
      <c r="V11" s="38" t="s">
        <v>21</v>
      </c>
      <c r="W11" s="120">
        <v>209</v>
      </c>
      <c r="X11" s="33">
        <f t="shared" si="4"/>
        <v>1174.982966507177</v>
      </c>
      <c r="Y11" s="120">
        <v>245571.44</v>
      </c>
      <c r="Z11" s="30">
        <v>8</v>
      </c>
      <c r="AA11" s="38" t="s">
        <v>13</v>
      </c>
      <c r="AB11" s="119">
        <v>177</v>
      </c>
      <c r="AC11" s="33">
        <f t="shared" si="5"/>
        <v>1165.4229378531072</v>
      </c>
      <c r="AD11" s="119">
        <v>206279.86</v>
      </c>
      <c r="AE11" s="30">
        <v>8</v>
      </c>
      <c r="AF11" s="38" t="s">
        <v>14</v>
      </c>
      <c r="AG11" s="126">
        <v>175</v>
      </c>
      <c r="AH11" s="33">
        <f t="shared" si="14"/>
        <v>1133.8994285714286</v>
      </c>
      <c r="AI11" s="120">
        <v>198432.4</v>
      </c>
      <c r="AJ11" s="30">
        <v>8</v>
      </c>
      <c r="AK11" s="38" t="s">
        <v>11</v>
      </c>
      <c r="AL11" s="126">
        <v>247</v>
      </c>
      <c r="AM11" s="33">
        <f t="shared" si="7"/>
        <v>1119.3049392712551</v>
      </c>
      <c r="AN11" s="120">
        <v>276468.32</v>
      </c>
      <c r="AO11" s="30">
        <v>8</v>
      </c>
      <c r="AP11" s="38" t="s">
        <v>16</v>
      </c>
      <c r="AQ11" s="39">
        <v>220</v>
      </c>
      <c r="AR11" s="33">
        <f t="shared" si="8"/>
        <v>1120.1662727272726</v>
      </c>
      <c r="AS11" s="38">
        <v>246436.58</v>
      </c>
      <c r="AT11" s="30">
        <v>8</v>
      </c>
      <c r="AU11" s="38" t="s">
        <v>12</v>
      </c>
      <c r="AV11" s="126">
        <v>214</v>
      </c>
      <c r="AW11" s="33">
        <f t="shared" si="9"/>
        <v>1305.5081308411216</v>
      </c>
      <c r="AX11" s="120">
        <v>279378.74</v>
      </c>
      <c r="AY11" s="30">
        <v>8</v>
      </c>
      <c r="AZ11" s="38" t="s">
        <v>25</v>
      </c>
      <c r="BA11" s="126">
        <v>201</v>
      </c>
      <c r="BB11" s="33">
        <f t="shared" si="10"/>
        <v>1532.7769154228854</v>
      </c>
      <c r="BC11" s="120">
        <v>308088.15999999997</v>
      </c>
      <c r="BD11" s="30">
        <v>8</v>
      </c>
      <c r="BE11" s="38" t="s">
        <v>17</v>
      </c>
      <c r="BF11" s="126">
        <v>230</v>
      </c>
      <c r="BG11" s="33">
        <f t="shared" si="11"/>
        <v>1724.9285217391305</v>
      </c>
      <c r="BH11" s="120">
        <v>396733.56</v>
      </c>
      <c r="BI11" s="30">
        <v>8</v>
      </c>
      <c r="BJ11" s="38" t="s">
        <v>17</v>
      </c>
      <c r="BK11" s="140">
        <v>2189</v>
      </c>
      <c r="BL11" s="33">
        <f t="shared" si="13"/>
        <v>1402.4275468250341</v>
      </c>
      <c r="BM11" s="144">
        <v>3069913.9</v>
      </c>
      <c r="BN11" s="111">
        <f t="shared" si="12"/>
        <v>3.7020125147979026E-2</v>
      </c>
    </row>
    <row r="12" spans="1:69" x14ac:dyDescent="0.35">
      <c r="A12" s="30">
        <v>9</v>
      </c>
      <c r="B12" s="38" t="s">
        <v>25</v>
      </c>
      <c r="C12" s="115">
        <v>177</v>
      </c>
      <c r="D12" s="33">
        <f t="shared" si="0"/>
        <v>1682.6088700564974</v>
      </c>
      <c r="E12" s="119">
        <v>297821.77</v>
      </c>
      <c r="F12" s="34">
        <v>9</v>
      </c>
      <c r="G12" s="38" t="s">
        <v>11</v>
      </c>
      <c r="H12" s="123">
        <v>183</v>
      </c>
      <c r="I12" s="33">
        <f t="shared" si="1"/>
        <v>1482.0933879781421</v>
      </c>
      <c r="J12" s="120">
        <v>271223.09000000003</v>
      </c>
      <c r="K12" s="30">
        <v>9</v>
      </c>
      <c r="L12" s="38" t="s">
        <v>15</v>
      </c>
      <c r="M12" s="120">
        <v>154</v>
      </c>
      <c r="N12" s="33">
        <f t="shared" si="2"/>
        <v>1522.2512337662338</v>
      </c>
      <c r="O12" s="120">
        <v>234426.69</v>
      </c>
      <c r="P12" s="30">
        <v>9</v>
      </c>
      <c r="Q12" s="38" t="s">
        <v>21</v>
      </c>
      <c r="R12" s="120">
        <v>162</v>
      </c>
      <c r="S12" s="33">
        <f t="shared" si="3"/>
        <v>1263.5535802469135</v>
      </c>
      <c r="T12" s="120">
        <v>204695.67999999999</v>
      </c>
      <c r="U12" s="30">
        <v>9</v>
      </c>
      <c r="V12" s="38" t="s">
        <v>12</v>
      </c>
      <c r="W12" s="120">
        <v>183</v>
      </c>
      <c r="X12" s="33">
        <f t="shared" si="4"/>
        <v>1274.1715846994534</v>
      </c>
      <c r="Y12" s="120">
        <v>233173.4</v>
      </c>
      <c r="Z12" s="30">
        <v>9</v>
      </c>
      <c r="AA12" s="38" t="s">
        <v>14</v>
      </c>
      <c r="AB12" s="120">
        <v>177</v>
      </c>
      <c r="AC12" s="33">
        <f t="shared" si="5"/>
        <v>1228.9429378531074</v>
      </c>
      <c r="AD12" s="120">
        <v>217522.9</v>
      </c>
      <c r="AE12" s="30">
        <v>9</v>
      </c>
      <c r="AF12" s="38" t="s">
        <v>16</v>
      </c>
      <c r="AG12" s="126">
        <v>166</v>
      </c>
      <c r="AH12" s="33">
        <f t="shared" si="14"/>
        <v>1165.5657831325302</v>
      </c>
      <c r="AI12" s="120">
        <v>193483.92</v>
      </c>
      <c r="AJ12" s="30">
        <v>9</v>
      </c>
      <c r="AK12" s="38" t="s">
        <v>14</v>
      </c>
      <c r="AL12" s="126">
        <v>215</v>
      </c>
      <c r="AM12" s="33">
        <f t="shared" si="7"/>
        <v>1166.0533023255814</v>
      </c>
      <c r="AN12" s="120">
        <v>250701.46</v>
      </c>
      <c r="AO12" s="30">
        <v>9</v>
      </c>
      <c r="AP12" s="38" t="s">
        <v>21</v>
      </c>
      <c r="AQ12" s="2">
        <v>180</v>
      </c>
      <c r="AR12" s="33">
        <f t="shared" si="8"/>
        <v>1134.0377222222223</v>
      </c>
      <c r="AS12" s="38">
        <v>204126.79</v>
      </c>
      <c r="AT12" s="30">
        <v>9</v>
      </c>
      <c r="AU12" s="38" t="s">
        <v>21</v>
      </c>
      <c r="AV12" s="126">
        <v>176</v>
      </c>
      <c r="AW12" s="33">
        <f t="shared" si="9"/>
        <v>1230.4269318181819</v>
      </c>
      <c r="AX12" s="120">
        <v>216555.14</v>
      </c>
      <c r="AY12" s="30">
        <v>9</v>
      </c>
      <c r="AZ12" s="38" t="s">
        <v>17</v>
      </c>
      <c r="BA12" s="126">
        <v>201</v>
      </c>
      <c r="BB12" s="33">
        <f t="shared" si="10"/>
        <v>1481.8331840796018</v>
      </c>
      <c r="BC12" s="120">
        <v>297848.46999999997</v>
      </c>
      <c r="BD12" s="30">
        <v>9</v>
      </c>
      <c r="BE12" s="38" t="s">
        <v>13</v>
      </c>
      <c r="BF12" s="126">
        <v>191</v>
      </c>
      <c r="BG12" s="33">
        <f t="shared" si="11"/>
        <v>1457.6888481675394</v>
      </c>
      <c r="BH12" s="120">
        <v>278418.57</v>
      </c>
      <c r="BI12" s="30">
        <v>9</v>
      </c>
      <c r="BJ12" s="38" t="s">
        <v>16</v>
      </c>
      <c r="BK12" s="141">
        <v>2121</v>
      </c>
      <c r="BL12" s="33">
        <f t="shared" si="13"/>
        <v>1325.6594719471948</v>
      </c>
      <c r="BM12" s="144">
        <v>2811723.74</v>
      </c>
      <c r="BN12" s="111">
        <f t="shared" si="12"/>
        <v>3.58701166920345E-2</v>
      </c>
    </row>
    <row r="13" spans="1:69" x14ac:dyDescent="0.35">
      <c r="A13" s="30">
        <v>10</v>
      </c>
      <c r="B13" s="38" t="s">
        <v>7</v>
      </c>
      <c r="C13" s="115">
        <v>162</v>
      </c>
      <c r="D13" s="33">
        <f t="shared" si="0"/>
        <v>1655.5617901234568</v>
      </c>
      <c r="E13" s="119">
        <v>268201.01</v>
      </c>
      <c r="F13" s="34">
        <v>10</v>
      </c>
      <c r="G13" s="38" t="s">
        <v>25</v>
      </c>
      <c r="H13" s="122">
        <v>178</v>
      </c>
      <c r="I13" s="33">
        <f t="shared" si="1"/>
        <v>1669.7724157303371</v>
      </c>
      <c r="J13" s="119">
        <v>297219.49</v>
      </c>
      <c r="K13" s="30">
        <v>10</v>
      </c>
      <c r="L13" s="31" t="s">
        <v>19</v>
      </c>
      <c r="M13" s="119">
        <v>153</v>
      </c>
      <c r="N13" s="33">
        <f t="shared" si="2"/>
        <v>1368.703071895425</v>
      </c>
      <c r="O13" s="119">
        <v>209411.57</v>
      </c>
      <c r="P13" s="30">
        <v>10</v>
      </c>
      <c r="Q13" s="31" t="s">
        <v>19</v>
      </c>
      <c r="R13" s="119">
        <v>144</v>
      </c>
      <c r="S13" s="33">
        <f t="shared" si="3"/>
        <v>1327.9221527777779</v>
      </c>
      <c r="T13" s="119">
        <v>191220.79</v>
      </c>
      <c r="U13" s="30">
        <v>10</v>
      </c>
      <c r="V13" s="38" t="s">
        <v>17</v>
      </c>
      <c r="W13" s="120">
        <v>168</v>
      </c>
      <c r="X13" s="33">
        <f t="shared" si="4"/>
        <v>1250.9304761904762</v>
      </c>
      <c r="Y13" s="120">
        <v>210156.32</v>
      </c>
      <c r="Z13" s="30">
        <v>10</v>
      </c>
      <c r="AA13" s="38" t="s">
        <v>15</v>
      </c>
      <c r="AB13" s="120">
        <v>162</v>
      </c>
      <c r="AC13" s="33">
        <f t="shared" si="5"/>
        <v>1180.2008024691359</v>
      </c>
      <c r="AD13" s="120">
        <v>191192.53</v>
      </c>
      <c r="AE13" s="30">
        <v>10</v>
      </c>
      <c r="AF13" s="38" t="s">
        <v>11</v>
      </c>
      <c r="AG13" s="126">
        <v>158</v>
      </c>
      <c r="AH13" s="33">
        <f t="shared" si="14"/>
        <v>1132.7256962025317</v>
      </c>
      <c r="AI13" s="120">
        <v>178970.66</v>
      </c>
      <c r="AJ13" s="30">
        <v>10</v>
      </c>
      <c r="AK13" s="38" t="s">
        <v>13</v>
      </c>
      <c r="AL13" s="126">
        <v>146</v>
      </c>
      <c r="AM13" s="33">
        <f t="shared" si="7"/>
        <v>1096.4033561643837</v>
      </c>
      <c r="AN13" s="120">
        <v>160074.89000000001</v>
      </c>
      <c r="AO13" s="30">
        <v>10</v>
      </c>
      <c r="AP13" s="38" t="s">
        <v>17</v>
      </c>
      <c r="AQ13" s="2">
        <v>152</v>
      </c>
      <c r="AR13" s="33">
        <f t="shared" si="8"/>
        <v>1139.1503289473685</v>
      </c>
      <c r="AS13" s="38">
        <v>173150.85</v>
      </c>
      <c r="AT13" s="30">
        <v>10</v>
      </c>
      <c r="AU13" s="38" t="s">
        <v>16</v>
      </c>
      <c r="AV13" s="126">
        <v>174</v>
      </c>
      <c r="AW13" s="33">
        <f t="shared" si="9"/>
        <v>1132.9612068965516</v>
      </c>
      <c r="AX13" s="120">
        <v>197135.25</v>
      </c>
      <c r="AY13" s="30">
        <v>10</v>
      </c>
      <c r="AZ13" s="38" t="s">
        <v>16</v>
      </c>
      <c r="BA13" s="126">
        <v>191</v>
      </c>
      <c r="BB13" s="33">
        <f t="shared" si="10"/>
        <v>1494.2049738219896</v>
      </c>
      <c r="BC13" s="120">
        <v>285393.15000000002</v>
      </c>
      <c r="BD13" s="30">
        <v>10</v>
      </c>
      <c r="BE13" s="38" t="s">
        <v>25</v>
      </c>
      <c r="BF13" s="126">
        <v>150</v>
      </c>
      <c r="BG13" s="33">
        <f t="shared" si="11"/>
        <v>1731.2271999999998</v>
      </c>
      <c r="BH13" s="120">
        <v>259684.08</v>
      </c>
      <c r="BI13" s="30">
        <v>10</v>
      </c>
      <c r="BJ13" s="38" t="s">
        <v>14</v>
      </c>
      <c r="BK13" s="140">
        <v>1810</v>
      </c>
      <c r="BL13" s="33">
        <f t="shared" si="13"/>
        <v>1333.4986298342542</v>
      </c>
      <c r="BM13" s="144">
        <v>2413632.52</v>
      </c>
      <c r="BN13" s="111">
        <f t="shared" si="12"/>
        <v>3.0610519194994079E-2</v>
      </c>
    </row>
    <row r="14" spans="1:69" x14ac:dyDescent="0.35">
      <c r="A14" s="30">
        <v>11</v>
      </c>
      <c r="B14" s="38" t="s">
        <v>21</v>
      </c>
      <c r="C14" s="116">
        <v>151</v>
      </c>
      <c r="D14" s="33">
        <f t="shared" si="0"/>
        <v>1585.9594701986755</v>
      </c>
      <c r="E14" s="120">
        <v>239479.88</v>
      </c>
      <c r="F14" s="34">
        <v>11</v>
      </c>
      <c r="G14" s="38" t="s">
        <v>21</v>
      </c>
      <c r="H14" s="123">
        <v>154</v>
      </c>
      <c r="I14" s="33">
        <f t="shared" si="1"/>
        <v>1617.1683116883119</v>
      </c>
      <c r="J14" s="120">
        <v>249043.92</v>
      </c>
      <c r="K14" s="30">
        <v>11</v>
      </c>
      <c r="L14" s="38" t="s">
        <v>25</v>
      </c>
      <c r="M14" s="119">
        <v>151</v>
      </c>
      <c r="N14" s="33">
        <f t="shared" si="2"/>
        <v>1473.3558940397349</v>
      </c>
      <c r="O14" s="119">
        <v>222476.74</v>
      </c>
      <c r="P14" s="30">
        <v>11</v>
      </c>
      <c r="Q14" s="38" t="s">
        <v>16</v>
      </c>
      <c r="R14" s="120">
        <v>125</v>
      </c>
      <c r="S14" s="33">
        <f t="shared" si="3"/>
        <v>1330.34392</v>
      </c>
      <c r="T14" s="120">
        <v>166292.99</v>
      </c>
      <c r="U14" s="30">
        <v>11</v>
      </c>
      <c r="V14" s="38" t="s">
        <v>16</v>
      </c>
      <c r="W14" s="120">
        <v>164</v>
      </c>
      <c r="X14" s="33">
        <f t="shared" si="4"/>
        <v>1215.1223170731707</v>
      </c>
      <c r="Y14" s="120">
        <v>199280.06</v>
      </c>
      <c r="Z14" s="30">
        <v>11</v>
      </c>
      <c r="AA14" s="38" t="s">
        <v>16</v>
      </c>
      <c r="AB14" s="120">
        <v>135</v>
      </c>
      <c r="AC14" s="33">
        <f t="shared" si="5"/>
        <v>1163.232074074074</v>
      </c>
      <c r="AD14" s="120">
        <v>157036.32999999999</v>
      </c>
      <c r="AE14" s="30">
        <v>11</v>
      </c>
      <c r="AF14" s="38" t="s">
        <v>21</v>
      </c>
      <c r="AG14" s="126">
        <v>157</v>
      </c>
      <c r="AH14" s="33">
        <f t="shared" si="14"/>
        <v>1091.6545222929938</v>
      </c>
      <c r="AI14" s="120">
        <v>171389.76</v>
      </c>
      <c r="AJ14" s="30">
        <v>11</v>
      </c>
      <c r="AK14" s="38" t="s">
        <v>17</v>
      </c>
      <c r="AL14" s="126">
        <v>144</v>
      </c>
      <c r="AM14" s="33">
        <f t="shared" si="7"/>
        <v>1181.2577777777778</v>
      </c>
      <c r="AN14" s="120">
        <v>170101.12</v>
      </c>
      <c r="AO14" s="30">
        <v>11</v>
      </c>
      <c r="AP14" s="38" t="s">
        <v>13</v>
      </c>
      <c r="AQ14" s="39">
        <v>113</v>
      </c>
      <c r="AR14" s="33">
        <f t="shared" si="8"/>
        <v>1088.8204424778762</v>
      </c>
      <c r="AS14" s="40">
        <v>123036.71</v>
      </c>
      <c r="AT14" s="30">
        <v>11</v>
      </c>
      <c r="AU14" s="31" t="s">
        <v>19</v>
      </c>
      <c r="AV14" s="131">
        <v>162</v>
      </c>
      <c r="AW14" s="33">
        <f t="shared" si="9"/>
        <v>1242.901975308642</v>
      </c>
      <c r="AX14" s="134">
        <v>201350.12</v>
      </c>
      <c r="AY14" s="30">
        <v>11</v>
      </c>
      <c r="AZ14" s="31" t="s">
        <v>19</v>
      </c>
      <c r="BA14" s="131">
        <v>152</v>
      </c>
      <c r="BB14" s="33">
        <f t="shared" si="10"/>
        <v>1373.7485526315788</v>
      </c>
      <c r="BC14" s="134">
        <v>208809.78</v>
      </c>
      <c r="BD14" s="30">
        <v>11</v>
      </c>
      <c r="BE14" s="38" t="s">
        <v>16</v>
      </c>
      <c r="BF14" s="126">
        <v>148</v>
      </c>
      <c r="BG14" s="33">
        <f t="shared" si="11"/>
        <v>1735.0722297297298</v>
      </c>
      <c r="BH14" s="120">
        <v>256790.69</v>
      </c>
      <c r="BI14" s="30">
        <v>11</v>
      </c>
      <c r="BJ14" s="38" t="s">
        <v>21</v>
      </c>
      <c r="BK14" s="140">
        <v>1782</v>
      </c>
      <c r="BL14" s="33">
        <f t="shared" si="13"/>
        <v>1328.1989842873174</v>
      </c>
      <c r="BM14" s="144">
        <v>2366850.59</v>
      </c>
      <c r="BN14" s="111">
        <f t="shared" si="12"/>
        <v>3.0136986301369864E-2</v>
      </c>
    </row>
    <row r="15" spans="1:69" x14ac:dyDescent="0.35">
      <c r="A15" s="30">
        <v>12</v>
      </c>
      <c r="B15" s="38" t="s">
        <v>39</v>
      </c>
      <c r="C15" s="116">
        <v>147</v>
      </c>
      <c r="D15" s="33">
        <f t="shared" si="0"/>
        <v>1868.3906122448977</v>
      </c>
      <c r="E15" s="120">
        <v>274653.42</v>
      </c>
      <c r="F15" s="34">
        <v>12</v>
      </c>
      <c r="G15" s="38" t="s">
        <v>7</v>
      </c>
      <c r="H15" s="122">
        <v>150</v>
      </c>
      <c r="I15" s="33">
        <f t="shared" si="1"/>
        <v>1787.0196666666668</v>
      </c>
      <c r="J15" s="119">
        <v>268052.95</v>
      </c>
      <c r="K15" s="30">
        <v>12</v>
      </c>
      <c r="L15" s="38" t="s">
        <v>14</v>
      </c>
      <c r="M15" s="120">
        <v>127</v>
      </c>
      <c r="N15" s="33">
        <f t="shared" si="2"/>
        <v>1326.0877165354332</v>
      </c>
      <c r="O15" s="120">
        <v>168413.14</v>
      </c>
      <c r="P15" s="30">
        <v>12</v>
      </c>
      <c r="Q15" s="38" t="s">
        <v>14</v>
      </c>
      <c r="R15" s="120">
        <v>124</v>
      </c>
      <c r="S15" s="33">
        <f t="shared" si="3"/>
        <v>1344.8857258064515</v>
      </c>
      <c r="T15" s="120">
        <v>166765.82999999999</v>
      </c>
      <c r="U15" s="30">
        <v>12</v>
      </c>
      <c r="V15" s="38" t="s">
        <v>15</v>
      </c>
      <c r="W15" s="120">
        <v>128</v>
      </c>
      <c r="X15" s="33">
        <f t="shared" si="4"/>
        <v>1259.691171875</v>
      </c>
      <c r="Y15" s="120">
        <v>161240.47</v>
      </c>
      <c r="Z15" s="30">
        <v>12</v>
      </c>
      <c r="AA15" s="31" t="s">
        <v>19</v>
      </c>
      <c r="AB15" s="119">
        <v>111</v>
      </c>
      <c r="AC15" s="33">
        <f t="shared" si="5"/>
        <v>1130.00009009009</v>
      </c>
      <c r="AD15" s="119">
        <v>125430.01</v>
      </c>
      <c r="AE15" s="30">
        <v>12</v>
      </c>
      <c r="AF15" s="38" t="s">
        <v>17</v>
      </c>
      <c r="AG15" s="126">
        <v>137</v>
      </c>
      <c r="AH15" s="33">
        <f t="shared" si="14"/>
        <v>1203.5967153284671</v>
      </c>
      <c r="AI15" s="120">
        <v>164892.75</v>
      </c>
      <c r="AJ15" s="30">
        <v>12</v>
      </c>
      <c r="AK15" s="38" t="s">
        <v>21</v>
      </c>
      <c r="AL15" s="126">
        <v>128</v>
      </c>
      <c r="AM15" s="33">
        <f t="shared" si="7"/>
        <v>1139.5057812499999</v>
      </c>
      <c r="AN15" s="120">
        <v>145856.74</v>
      </c>
      <c r="AO15" s="30">
        <v>12</v>
      </c>
      <c r="AP15" s="38" t="s">
        <v>15</v>
      </c>
      <c r="AQ15" s="2">
        <v>111</v>
      </c>
      <c r="AR15" s="33">
        <f t="shared" si="8"/>
        <v>1034.5864864864866</v>
      </c>
      <c r="AS15" s="38">
        <v>114839.1</v>
      </c>
      <c r="AT15" s="30">
        <v>12</v>
      </c>
      <c r="AU15" s="38" t="s">
        <v>13</v>
      </c>
      <c r="AV15" s="126">
        <v>155</v>
      </c>
      <c r="AW15" s="33">
        <f t="shared" si="9"/>
        <v>1205.8830967741935</v>
      </c>
      <c r="AX15" s="120">
        <v>186911.88</v>
      </c>
      <c r="AY15" s="30">
        <v>12</v>
      </c>
      <c r="AZ15" s="38" t="s">
        <v>13</v>
      </c>
      <c r="BA15" s="126">
        <v>138</v>
      </c>
      <c r="BB15" s="33">
        <f t="shared" si="10"/>
        <v>1387.7858695652176</v>
      </c>
      <c r="BC15" s="120">
        <v>191514.45</v>
      </c>
      <c r="BD15" s="30">
        <v>12</v>
      </c>
      <c r="BE15" s="38" t="s">
        <v>14</v>
      </c>
      <c r="BF15" s="126">
        <v>128</v>
      </c>
      <c r="BG15" s="33">
        <f t="shared" si="11"/>
        <v>1684.9505468750001</v>
      </c>
      <c r="BH15" s="120">
        <v>215673.67</v>
      </c>
      <c r="BI15" s="30">
        <v>12</v>
      </c>
      <c r="BJ15" s="31" t="s">
        <v>19</v>
      </c>
      <c r="BK15" s="141">
        <v>1725</v>
      </c>
      <c r="BL15" s="33">
        <f t="shared" si="13"/>
        <v>1340.4978086956523</v>
      </c>
      <c r="BM15" s="119">
        <v>2312358.7200000002</v>
      </c>
      <c r="BN15" s="111">
        <f t="shared" si="12"/>
        <v>2.9173008625063418E-2</v>
      </c>
    </row>
    <row r="16" spans="1:69" x14ac:dyDescent="0.35">
      <c r="A16" s="30">
        <v>13</v>
      </c>
      <c r="B16" s="31" t="s">
        <v>26</v>
      </c>
      <c r="C16" s="115">
        <v>135</v>
      </c>
      <c r="D16" s="33">
        <f t="shared" si="0"/>
        <v>1740.426074074074</v>
      </c>
      <c r="E16" s="119">
        <v>234957.52</v>
      </c>
      <c r="F16" s="34">
        <v>13</v>
      </c>
      <c r="G16" s="38" t="s">
        <v>15</v>
      </c>
      <c r="H16" s="123">
        <v>123</v>
      </c>
      <c r="I16" s="33">
        <f t="shared" si="1"/>
        <v>1653.469512195122</v>
      </c>
      <c r="J16" s="120">
        <v>203376.75</v>
      </c>
      <c r="K16" s="30">
        <v>13</v>
      </c>
      <c r="L16" s="38" t="s">
        <v>7</v>
      </c>
      <c r="M16" s="119">
        <v>124</v>
      </c>
      <c r="N16" s="33">
        <f t="shared" si="2"/>
        <v>1506.9291129032258</v>
      </c>
      <c r="O16" s="119">
        <v>186859.21</v>
      </c>
      <c r="P16" s="30">
        <v>13</v>
      </c>
      <c r="Q16" s="38" t="s">
        <v>25</v>
      </c>
      <c r="R16" s="119">
        <v>119</v>
      </c>
      <c r="S16" s="33">
        <f t="shared" si="3"/>
        <v>1340.2056302521009</v>
      </c>
      <c r="T16" s="119">
        <v>159484.47</v>
      </c>
      <c r="U16" s="30">
        <v>13</v>
      </c>
      <c r="V16" s="38" t="s">
        <v>13</v>
      </c>
      <c r="W16" s="119">
        <v>122</v>
      </c>
      <c r="X16" s="33">
        <f t="shared" si="4"/>
        <v>1168.8019672131147</v>
      </c>
      <c r="Y16" s="119">
        <v>142593.84</v>
      </c>
      <c r="Z16" s="30">
        <v>13</v>
      </c>
      <c r="AA16" s="38" t="s">
        <v>21</v>
      </c>
      <c r="AB16" s="120">
        <v>107</v>
      </c>
      <c r="AC16" s="33">
        <f t="shared" si="5"/>
        <v>1121.6919626168224</v>
      </c>
      <c r="AD16" s="120">
        <v>120021.04</v>
      </c>
      <c r="AE16" s="30">
        <v>13</v>
      </c>
      <c r="AF16" s="38" t="s">
        <v>15</v>
      </c>
      <c r="AG16" s="126">
        <v>99</v>
      </c>
      <c r="AH16" s="33">
        <f t="shared" si="14"/>
        <v>1179.5093939393939</v>
      </c>
      <c r="AI16" s="120">
        <v>116771.43</v>
      </c>
      <c r="AJ16" s="30">
        <v>13</v>
      </c>
      <c r="AK16" s="38" t="s">
        <v>19</v>
      </c>
      <c r="AL16" s="126">
        <v>127</v>
      </c>
      <c r="AM16" s="33">
        <f t="shared" si="7"/>
        <v>1226.4098425196848</v>
      </c>
      <c r="AN16" s="120">
        <v>155754.04999999999</v>
      </c>
      <c r="AO16" s="30">
        <v>13</v>
      </c>
      <c r="AP16" s="31" t="s">
        <v>19</v>
      </c>
      <c r="AQ16" s="39">
        <v>110</v>
      </c>
      <c r="AR16" s="33">
        <f t="shared" si="8"/>
        <v>1186.5360000000001</v>
      </c>
      <c r="AS16" s="40">
        <v>130518.96</v>
      </c>
      <c r="AT16" s="30">
        <v>13</v>
      </c>
      <c r="AU16" s="38" t="s">
        <v>17</v>
      </c>
      <c r="AV16" s="126">
        <v>131</v>
      </c>
      <c r="AW16" s="33">
        <f t="shared" si="9"/>
        <v>1263.991679389313</v>
      </c>
      <c r="AX16" s="120">
        <v>165582.91</v>
      </c>
      <c r="AY16" s="30">
        <v>13</v>
      </c>
      <c r="AZ16" s="38" t="s">
        <v>15</v>
      </c>
      <c r="BA16" s="126">
        <v>138</v>
      </c>
      <c r="BB16" s="33">
        <f t="shared" si="10"/>
        <v>1476.8928985507246</v>
      </c>
      <c r="BC16" s="120">
        <v>203811.22</v>
      </c>
      <c r="BD16" s="30">
        <v>13</v>
      </c>
      <c r="BE16" s="38" t="s">
        <v>21</v>
      </c>
      <c r="BF16" s="126">
        <v>125</v>
      </c>
      <c r="BG16" s="33">
        <f t="shared" si="11"/>
        <v>1760.7268799999999</v>
      </c>
      <c r="BH16" s="120">
        <v>220090.86</v>
      </c>
      <c r="BI16" s="30">
        <v>13</v>
      </c>
      <c r="BJ16" s="38" t="s">
        <v>13</v>
      </c>
      <c r="BK16" s="141">
        <v>1540</v>
      </c>
      <c r="BL16" s="33">
        <f t="shared" si="13"/>
        <v>1292.3915324675324</v>
      </c>
      <c r="BM16" s="144">
        <v>1990282.96</v>
      </c>
      <c r="BN16" s="111">
        <f t="shared" si="12"/>
        <v>2.6044309149331979E-2</v>
      </c>
    </row>
    <row r="17" spans="1:66" x14ac:dyDescent="0.35">
      <c r="A17" s="30">
        <v>14</v>
      </c>
      <c r="B17" s="31" t="s">
        <v>65</v>
      </c>
      <c r="C17" s="115">
        <v>124</v>
      </c>
      <c r="D17" s="33">
        <f t="shared" si="0"/>
        <v>1669.6283870967743</v>
      </c>
      <c r="E17" s="119">
        <v>207033.92</v>
      </c>
      <c r="F17" s="34">
        <v>14</v>
      </c>
      <c r="G17" s="38" t="s">
        <v>14</v>
      </c>
      <c r="H17" s="123">
        <v>112</v>
      </c>
      <c r="I17" s="33">
        <f t="shared" si="1"/>
        <v>1674.1970535714286</v>
      </c>
      <c r="J17" s="120">
        <v>187510.07</v>
      </c>
      <c r="K17" s="30">
        <v>14</v>
      </c>
      <c r="L17" s="38" t="s">
        <v>13</v>
      </c>
      <c r="M17" s="119">
        <v>123</v>
      </c>
      <c r="N17" s="33">
        <f t="shared" si="2"/>
        <v>1416.5594308943089</v>
      </c>
      <c r="O17" s="119">
        <v>174236.81</v>
      </c>
      <c r="P17" s="30">
        <v>14</v>
      </c>
      <c r="Q17" s="38" t="s">
        <v>15</v>
      </c>
      <c r="R17" s="120">
        <v>112</v>
      </c>
      <c r="S17" s="33">
        <f t="shared" si="3"/>
        <v>1235.9205357142857</v>
      </c>
      <c r="T17" s="120">
        <v>138423.1</v>
      </c>
      <c r="U17" s="30">
        <v>14</v>
      </c>
      <c r="V17" s="31" t="s">
        <v>19</v>
      </c>
      <c r="W17" s="119">
        <v>101</v>
      </c>
      <c r="X17" s="33">
        <f t="shared" si="4"/>
        <v>1228.6233663366338</v>
      </c>
      <c r="Y17" s="119">
        <v>124090.96</v>
      </c>
      <c r="Z17" s="30">
        <v>14</v>
      </c>
      <c r="AA17" s="38" t="s">
        <v>17</v>
      </c>
      <c r="AB17" s="120">
        <v>105</v>
      </c>
      <c r="AC17" s="33">
        <f t="shared" si="5"/>
        <v>1190.1345714285715</v>
      </c>
      <c r="AD17" s="120">
        <v>124964.13</v>
      </c>
      <c r="AE17" s="30">
        <v>14</v>
      </c>
      <c r="AF17" s="38" t="s">
        <v>13</v>
      </c>
      <c r="AG17" s="126">
        <v>97</v>
      </c>
      <c r="AH17" s="33">
        <f t="shared" si="14"/>
        <v>1051.918350515464</v>
      </c>
      <c r="AI17" s="120">
        <v>102036.08</v>
      </c>
      <c r="AJ17" s="30">
        <v>14</v>
      </c>
      <c r="AK17" s="38" t="s">
        <v>25</v>
      </c>
      <c r="AL17" s="126">
        <v>118</v>
      </c>
      <c r="AM17" s="33">
        <f t="shared" si="7"/>
        <v>1300.1430508474577</v>
      </c>
      <c r="AN17" s="120">
        <v>153416.88</v>
      </c>
      <c r="AO17" s="30">
        <v>14</v>
      </c>
      <c r="AP17" s="38" t="s">
        <v>25</v>
      </c>
      <c r="AQ17" s="39">
        <v>98</v>
      </c>
      <c r="AR17" s="33">
        <f t="shared" si="8"/>
        <v>1219.2370408163265</v>
      </c>
      <c r="AS17" s="40">
        <v>119485.23</v>
      </c>
      <c r="AT17" s="30">
        <v>14</v>
      </c>
      <c r="AU17" s="38" t="s">
        <v>25</v>
      </c>
      <c r="AV17" s="126">
        <v>90</v>
      </c>
      <c r="AW17" s="33">
        <f t="shared" si="9"/>
        <v>1286.7513333333334</v>
      </c>
      <c r="AX17" s="120">
        <v>115807.62</v>
      </c>
      <c r="AY17" s="30">
        <v>14</v>
      </c>
      <c r="AZ17" s="38" t="s">
        <v>14</v>
      </c>
      <c r="BA17" s="126">
        <v>130</v>
      </c>
      <c r="BB17" s="33">
        <f t="shared" si="10"/>
        <v>1519.5266923076924</v>
      </c>
      <c r="BC17" s="120">
        <v>197538.47</v>
      </c>
      <c r="BD17" s="30">
        <v>14</v>
      </c>
      <c r="BE17" s="38" t="s">
        <v>26</v>
      </c>
      <c r="BF17" s="126">
        <v>124</v>
      </c>
      <c r="BG17" s="33">
        <f t="shared" si="11"/>
        <v>1651.5925</v>
      </c>
      <c r="BH17" s="120">
        <v>204797.47</v>
      </c>
      <c r="BI17" s="30">
        <v>14</v>
      </c>
      <c r="BJ17" s="38" t="s">
        <v>25</v>
      </c>
      <c r="BK17" s="141">
        <v>1448</v>
      </c>
      <c r="BL17" s="33">
        <f t="shared" si="13"/>
        <v>1477.5452486187846</v>
      </c>
      <c r="BM17" s="144">
        <v>2139485.52</v>
      </c>
      <c r="BN17" s="111">
        <f t="shared" si="12"/>
        <v>2.4488415355995264E-2</v>
      </c>
    </row>
    <row r="18" spans="1:66" x14ac:dyDescent="0.35">
      <c r="A18" s="30">
        <v>15</v>
      </c>
      <c r="B18" s="38" t="s">
        <v>16</v>
      </c>
      <c r="C18" s="116">
        <v>116</v>
      </c>
      <c r="D18" s="33">
        <f t="shared" si="0"/>
        <v>1572.1231034482757</v>
      </c>
      <c r="E18" s="120">
        <v>182366.28</v>
      </c>
      <c r="F18" s="34">
        <v>15</v>
      </c>
      <c r="G18" s="31" t="s">
        <v>27</v>
      </c>
      <c r="H18" s="122">
        <v>105</v>
      </c>
      <c r="I18" s="33">
        <f t="shared" si="1"/>
        <v>1662.6013333333335</v>
      </c>
      <c r="J18" s="119">
        <v>174573.14</v>
      </c>
      <c r="K18" s="30">
        <v>15</v>
      </c>
      <c r="L18" s="38" t="s">
        <v>21</v>
      </c>
      <c r="M18" s="120">
        <v>107</v>
      </c>
      <c r="N18" s="33">
        <f t="shared" si="2"/>
        <v>1391.6143925233644</v>
      </c>
      <c r="O18" s="120">
        <v>148902.74</v>
      </c>
      <c r="P18" s="30">
        <v>15</v>
      </c>
      <c r="Q18" s="38" t="s">
        <v>13</v>
      </c>
      <c r="R18" s="119">
        <v>101</v>
      </c>
      <c r="S18" s="33">
        <f t="shared" si="3"/>
        <v>1328.758514851485</v>
      </c>
      <c r="T18" s="119">
        <v>134204.60999999999</v>
      </c>
      <c r="U18" s="30">
        <v>15</v>
      </c>
      <c r="V18" s="38" t="s">
        <v>35</v>
      </c>
      <c r="W18" s="120">
        <v>58</v>
      </c>
      <c r="X18" s="33">
        <f t="shared" si="4"/>
        <v>1197.6922413793102</v>
      </c>
      <c r="Y18" s="120">
        <v>69466.149999999994</v>
      </c>
      <c r="Z18" s="30">
        <v>15</v>
      </c>
      <c r="AA18" s="38" t="s">
        <v>25</v>
      </c>
      <c r="AB18" s="119">
        <v>68</v>
      </c>
      <c r="AC18" s="33">
        <f t="shared" si="5"/>
        <v>1253.2776470588235</v>
      </c>
      <c r="AD18" s="119">
        <v>85222.88</v>
      </c>
      <c r="AE18" s="30">
        <v>15</v>
      </c>
      <c r="AF18" s="38" t="s">
        <v>83</v>
      </c>
      <c r="AG18" s="126">
        <v>62</v>
      </c>
      <c r="AH18" s="33">
        <f t="shared" si="14"/>
        <v>1247.8833870967742</v>
      </c>
      <c r="AI18" s="120">
        <v>77368.77</v>
      </c>
      <c r="AJ18" s="30">
        <v>15</v>
      </c>
      <c r="AK18" s="38" t="s">
        <v>26</v>
      </c>
      <c r="AL18" s="126">
        <v>108</v>
      </c>
      <c r="AM18" s="33">
        <f t="shared" si="7"/>
        <v>1265.8472222222222</v>
      </c>
      <c r="AN18" s="120">
        <v>136711.5</v>
      </c>
      <c r="AO18" s="30">
        <v>15</v>
      </c>
      <c r="AP18" s="38" t="s">
        <v>14</v>
      </c>
      <c r="AQ18" s="2">
        <v>95</v>
      </c>
      <c r="AR18" s="33">
        <f t="shared" si="8"/>
        <v>1051.7536842105264</v>
      </c>
      <c r="AS18" s="38">
        <v>99916.6</v>
      </c>
      <c r="AT18" s="30">
        <v>15</v>
      </c>
      <c r="AU18" s="31" t="s">
        <v>27</v>
      </c>
      <c r="AV18" s="131">
        <v>79</v>
      </c>
      <c r="AW18" s="33">
        <f t="shared" si="9"/>
        <v>1257.4744303797468</v>
      </c>
      <c r="AX18" s="134">
        <v>99340.479999999996</v>
      </c>
      <c r="AY18" s="30">
        <v>15</v>
      </c>
      <c r="AZ18" s="38" t="s">
        <v>21</v>
      </c>
      <c r="BA18" s="126">
        <v>126</v>
      </c>
      <c r="BB18" s="33">
        <f t="shared" si="10"/>
        <v>1596.1634920634922</v>
      </c>
      <c r="BC18" s="120">
        <v>201116.6</v>
      </c>
      <c r="BD18" s="30">
        <v>15</v>
      </c>
      <c r="BE18" s="31" t="s">
        <v>27</v>
      </c>
      <c r="BF18" s="131">
        <v>116</v>
      </c>
      <c r="BG18" s="33">
        <f t="shared" si="11"/>
        <v>1511.3180172413795</v>
      </c>
      <c r="BH18" s="134">
        <v>175312.89</v>
      </c>
      <c r="BI18" s="30">
        <v>15</v>
      </c>
      <c r="BJ18" s="38" t="s">
        <v>15</v>
      </c>
      <c r="BK18" s="140">
        <v>1364</v>
      </c>
      <c r="BL18" s="33">
        <f t="shared" si="13"/>
        <v>1344.6576832844576</v>
      </c>
      <c r="BM18" s="144">
        <v>1834113.08</v>
      </c>
      <c r="BN18" s="111">
        <f t="shared" si="12"/>
        <v>2.3067816675122612E-2</v>
      </c>
    </row>
    <row r="19" spans="1:66" x14ac:dyDescent="0.35">
      <c r="A19" s="30">
        <v>16</v>
      </c>
      <c r="B19" s="38" t="s">
        <v>33</v>
      </c>
      <c r="C19" s="116">
        <v>106</v>
      </c>
      <c r="D19" s="33">
        <f t="shared" si="0"/>
        <v>1704.3784905660377</v>
      </c>
      <c r="E19" s="120">
        <v>180664.12</v>
      </c>
      <c r="F19" s="34">
        <v>16</v>
      </c>
      <c r="G19" s="31" t="s">
        <v>65</v>
      </c>
      <c r="H19" s="122">
        <v>101</v>
      </c>
      <c r="I19" s="33">
        <f t="shared" si="1"/>
        <v>1545.02801980198</v>
      </c>
      <c r="J19" s="119">
        <v>156047.82999999999</v>
      </c>
      <c r="K19" s="30">
        <v>16</v>
      </c>
      <c r="L19" s="31" t="s">
        <v>65</v>
      </c>
      <c r="M19" s="119">
        <v>65</v>
      </c>
      <c r="N19" s="33">
        <f t="shared" si="2"/>
        <v>1343.166153846154</v>
      </c>
      <c r="O19" s="119">
        <v>87305.8</v>
      </c>
      <c r="P19" s="30">
        <v>16</v>
      </c>
      <c r="Q19" s="31" t="s">
        <v>26</v>
      </c>
      <c r="R19" s="119">
        <v>99</v>
      </c>
      <c r="S19" s="33">
        <f t="shared" si="3"/>
        <v>1420.7432323232322</v>
      </c>
      <c r="T19" s="119">
        <v>140653.57999999999</v>
      </c>
      <c r="U19" s="30">
        <v>16</v>
      </c>
      <c r="V19" s="38" t="s">
        <v>33</v>
      </c>
      <c r="W19" s="120">
        <v>56</v>
      </c>
      <c r="X19" s="33">
        <f t="shared" si="4"/>
        <v>1238.1448214285715</v>
      </c>
      <c r="Y19" s="120">
        <v>69336.11</v>
      </c>
      <c r="Z19" s="30">
        <v>16</v>
      </c>
      <c r="AA19" s="38" t="s">
        <v>20</v>
      </c>
      <c r="AB19" s="120">
        <v>56</v>
      </c>
      <c r="AC19" s="33">
        <f t="shared" si="5"/>
        <v>1146.0423214285715</v>
      </c>
      <c r="AD19" s="120">
        <v>64178.37</v>
      </c>
      <c r="AE19" s="30">
        <v>16</v>
      </c>
      <c r="AF19" s="38" t="s">
        <v>39</v>
      </c>
      <c r="AG19" s="126">
        <v>61</v>
      </c>
      <c r="AH19" s="33">
        <f t="shared" si="14"/>
        <v>1222.8734426229507</v>
      </c>
      <c r="AI19" s="120">
        <v>74595.28</v>
      </c>
      <c r="AJ19" s="30">
        <v>16</v>
      </c>
      <c r="AK19" s="38" t="s">
        <v>15</v>
      </c>
      <c r="AL19" s="126">
        <v>96</v>
      </c>
      <c r="AM19" s="33">
        <f t="shared" si="7"/>
        <v>1186.1760416666666</v>
      </c>
      <c r="AN19" s="120">
        <v>113872.9</v>
      </c>
      <c r="AO19" s="30">
        <v>16</v>
      </c>
      <c r="AP19" s="38" t="s">
        <v>35</v>
      </c>
      <c r="AQ19" s="39">
        <v>74</v>
      </c>
      <c r="AR19" s="33">
        <f t="shared" si="8"/>
        <v>1291.005945945946</v>
      </c>
      <c r="AS19" s="40">
        <v>95534.44</v>
      </c>
      <c r="AT19" s="30">
        <v>16</v>
      </c>
      <c r="AU19" s="38" t="s">
        <v>15</v>
      </c>
      <c r="AV19" s="126">
        <v>74</v>
      </c>
      <c r="AW19" s="33">
        <f t="shared" si="9"/>
        <v>1133.4856756756758</v>
      </c>
      <c r="AX19" s="120">
        <v>83877.94</v>
      </c>
      <c r="AY19" s="30">
        <v>16</v>
      </c>
      <c r="AZ19" s="38" t="s">
        <v>26</v>
      </c>
      <c r="BA19" s="126">
        <v>95</v>
      </c>
      <c r="BB19" s="33">
        <f t="shared" si="10"/>
        <v>1558.2504210526317</v>
      </c>
      <c r="BC19" s="120">
        <v>148033.79</v>
      </c>
      <c r="BD19" s="30">
        <v>16</v>
      </c>
      <c r="BE19" s="31" t="s">
        <v>19</v>
      </c>
      <c r="BF19" s="132">
        <v>108</v>
      </c>
      <c r="BG19" s="33">
        <f t="shared" si="11"/>
        <v>1578.4018518518517</v>
      </c>
      <c r="BH19" s="135">
        <v>170467.4</v>
      </c>
      <c r="BI19" s="30">
        <v>16</v>
      </c>
      <c r="BJ19" s="31" t="s">
        <v>26</v>
      </c>
      <c r="BK19" s="141">
        <v>880</v>
      </c>
      <c r="BL19" s="33">
        <f t="shared" si="13"/>
        <v>1499.080659090909</v>
      </c>
      <c r="BM19" s="119">
        <v>1319190.98</v>
      </c>
      <c r="BN19" s="111">
        <f t="shared" si="12"/>
        <v>1.4882462371046845E-2</v>
      </c>
    </row>
    <row r="20" spans="1:66" x14ac:dyDescent="0.35">
      <c r="A20" s="30">
        <v>17</v>
      </c>
      <c r="B20" s="38" t="s">
        <v>13</v>
      </c>
      <c r="C20" s="115">
        <v>100</v>
      </c>
      <c r="D20" s="33">
        <f t="shared" si="0"/>
        <v>1672.2414000000001</v>
      </c>
      <c r="E20" s="119">
        <v>167224.14000000001</v>
      </c>
      <c r="F20" s="34">
        <v>17</v>
      </c>
      <c r="G20" s="31" t="s">
        <v>26</v>
      </c>
      <c r="H20" s="122">
        <v>80</v>
      </c>
      <c r="I20" s="33">
        <f t="shared" si="1"/>
        <v>1741.9959999999999</v>
      </c>
      <c r="J20" s="119">
        <v>139359.67999999999</v>
      </c>
      <c r="K20" s="30">
        <v>17</v>
      </c>
      <c r="L20" s="31" t="s">
        <v>26</v>
      </c>
      <c r="M20" s="119">
        <v>57</v>
      </c>
      <c r="N20" s="33">
        <f t="shared" si="2"/>
        <v>1488.0033333333333</v>
      </c>
      <c r="O20" s="119">
        <v>84816.19</v>
      </c>
      <c r="P20" s="30">
        <v>17</v>
      </c>
      <c r="Q20" s="31" t="s">
        <v>27</v>
      </c>
      <c r="R20" s="119">
        <v>77</v>
      </c>
      <c r="S20" s="33">
        <f t="shared" si="3"/>
        <v>1381.7062337662339</v>
      </c>
      <c r="T20" s="119">
        <v>106391.38</v>
      </c>
      <c r="U20" s="30">
        <v>17</v>
      </c>
      <c r="V20" s="31" t="s">
        <v>27</v>
      </c>
      <c r="W20" s="119">
        <v>47</v>
      </c>
      <c r="X20" s="33">
        <f t="shared" si="4"/>
        <v>1212.0955319148936</v>
      </c>
      <c r="Y20" s="119">
        <v>56968.49</v>
      </c>
      <c r="Z20" s="30">
        <v>17</v>
      </c>
      <c r="AA20" s="38" t="s">
        <v>35</v>
      </c>
      <c r="AB20" s="120">
        <v>51</v>
      </c>
      <c r="AC20" s="33">
        <f t="shared" si="5"/>
        <v>1176.9096078431373</v>
      </c>
      <c r="AD20" s="120">
        <v>60022.39</v>
      </c>
      <c r="AE20" s="30">
        <v>17</v>
      </c>
      <c r="AF20" s="38" t="s">
        <v>18</v>
      </c>
      <c r="AG20" s="126">
        <v>60</v>
      </c>
      <c r="AH20" s="33">
        <f t="shared" si="14"/>
        <v>1192.5858333333333</v>
      </c>
      <c r="AI20" s="120">
        <v>71555.149999999994</v>
      </c>
      <c r="AJ20" s="30">
        <v>17</v>
      </c>
      <c r="AK20" s="38" t="s">
        <v>20</v>
      </c>
      <c r="AL20" s="126">
        <v>82</v>
      </c>
      <c r="AM20" s="33">
        <f t="shared" si="7"/>
        <v>1129.1397560975611</v>
      </c>
      <c r="AN20" s="120">
        <v>92589.46</v>
      </c>
      <c r="AO20" s="30">
        <v>17</v>
      </c>
      <c r="AP20" s="38" t="s">
        <v>20</v>
      </c>
      <c r="AQ20" s="2">
        <v>45</v>
      </c>
      <c r="AR20" s="33">
        <f t="shared" si="8"/>
        <v>1101.2335555555555</v>
      </c>
      <c r="AS20" s="38">
        <v>49555.51</v>
      </c>
      <c r="AT20" s="30">
        <v>17</v>
      </c>
      <c r="AU20" s="38" t="s">
        <v>26</v>
      </c>
      <c r="AV20" s="126">
        <v>62</v>
      </c>
      <c r="AW20" s="33">
        <f t="shared" si="9"/>
        <v>1235.0548387096774</v>
      </c>
      <c r="AX20" s="120">
        <v>76573.399999999994</v>
      </c>
      <c r="AY20" s="30">
        <v>17</v>
      </c>
      <c r="AZ20" s="31" t="s">
        <v>27</v>
      </c>
      <c r="BA20" s="131">
        <v>91</v>
      </c>
      <c r="BB20" s="33">
        <f t="shared" si="10"/>
        <v>1416.1229670329672</v>
      </c>
      <c r="BC20" s="134">
        <v>128867.19</v>
      </c>
      <c r="BD20" s="30">
        <v>17</v>
      </c>
      <c r="BE20" s="38" t="s">
        <v>15</v>
      </c>
      <c r="BF20" s="126">
        <v>92</v>
      </c>
      <c r="BG20" s="33">
        <f t="shared" si="11"/>
        <v>1635.1727173913046</v>
      </c>
      <c r="BH20" s="120">
        <v>150435.89000000001</v>
      </c>
      <c r="BI20" s="30">
        <v>17</v>
      </c>
      <c r="BJ20" s="31" t="s">
        <v>27</v>
      </c>
      <c r="BK20" s="141">
        <v>760</v>
      </c>
      <c r="BL20" s="33">
        <f t="shared" si="13"/>
        <v>1405.9554078947369</v>
      </c>
      <c r="BM20" s="119">
        <v>1068526.1100000001</v>
      </c>
      <c r="BN20" s="111">
        <f t="shared" si="12"/>
        <v>1.2853035684085912E-2</v>
      </c>
    </row>
    <row r="21" spans="1:66" x14ac:dyDescent="0.35">
      <c r="A21" s="30">
        <v>18</v>
      </c>
      <c r="B21" s="38" t="s">
        <v>14</v>
      </c>
      <c r="C21" s="116">
        <v>85</v>
      </c>
      <c r="D21" s="33">
        <f t="shared" si="0"/>
        <v>1729.7071764705881</v>
      </c>
      <c r="E21" s="120">
        <v>147025.10999999999</v>
      </c>
      <c r="F21" s="34">
        <v>18</v>
      </c>
      <c r="G21" s="38" t="s">
        <v>13</v>
      </c>
      <c r="H21" s="122">
        <v>77</v>
      </c>
      <c r="I21" s="33">
        <f t="shared" si="1"/>
        <v>1607.1574025974026</v>
      </c>
      <c r="J21" s="119">
        <v>123751.12</v>
      </c>
      <c r="K21" s="30">
        <v>18</v>
      </c>
      <c r="L21" s="38" t="s">
        <v>33</v>
      </c>
      <c r="M21" s="120">
        <v>48</v>
      </c>
      <c r="N21" s="33">
        <f t="shared" si="2"/>
        <v>1456.6395833333333</v>
      </c>
      <c r="O21" s="120">
        <v>69918.7</v>
      </c>
      <c r="P21" s="30">
        <v>18</v>
      </c>
      <c r="Q21" s="38" t="s">
        <v>35</v>
      </c>
      <c r="R21" s="120">
        <v>57</v>
      </c>
      <c r="S21" s="33">
        <f t="shared" si="3"/>
        <v>1356.6614035087719</v>
      </c>
      <c r="T21" s="120">
        <v>77329.7</v>
      </c>
      <c r="U21" s="30">
        <v>18</v>
      </c>
      <c r="V21" s="38" t="s">
        <v>25</v>
      </c>
      <c r="W21" s="119">
        <v>47</v>
      </c>
      <c r="X21" s="33">
        <f t="shared" si="4"/>
        <v>1289.7782978723405</v>
      </c>
      <c r="Y21" s="119">
        <v>60619.58</v>
      </c>
      <c r="Z21" s="30">
        <v>18</v>
      </c>
      <c r="AA21" s="38" t="s">
        <v>39</v>
      </c>
      <c r="AB21" s="120">
        <v>34</v>
      </c>
      <c r="AC21" s="33">
        <f t="shared" si="5"/>
        <v>1284.3420588235294</v>
      </c>
      <c r="AD21" s="120">
        <v>43667.63</v>
      </c>
      <c r="AE21" s="30">
        <v>18</v>
      </c>
      <c r="AF21" s="38" t="s">
        <v>25</v>
      </c>
      <c r="AG21" s="126">
        <v>51</v>
      </c>
      <c r="AH21" s="33">
        <f t="shared" si="14"/>
        <v>1179.5807843137256</v>
      </c>
      <c r="AI21" s="120">
        <v>60158.62</v>
      </c>
      <c r="AJ21" s="30">
        <v>18</v>
      </c>
      <c r="AK21" s="38" t="s">
        <v>34</v>
      </c>
      <c r="AL21" s="126">
        <v>45</v>
      </c>
      <c r="AM21" s="33">
        <f t="shared" si="7"/>
        <v>1306.9868888888889</v>
      </c>
      <c r="AN21" s="120">
        <v>58814.41</v>
      </c>
      <c r="AO21" s="30">
        <v>18</v>
      </c>
      <c r="AP21" s="38" t="s">
        <v>18</v>
      </c>
      <c r="AQ21" s="2">
        <v>39</v>
      </c>
      <c r="AR21" s="33">
        <f t="shared" si="8"/>
        <v>1049.6674358974358</v>
      </c>
      <c r="AS21" s="38">
        <v>40937.03</v>
      </c>
      <c r="AT21" s="30">
        <v>18</v>
      </c>
      <c r="AU21" s="38" t="s">
        <v>35</v>
      </c>
      <c r="AV21" s="126">
        <v>55</v>
      </c>
      <c r="AW21" s="33">
        <f t="shared" si="9"/>
        <v>1270.9565454545454</v>
      </c>
      <c r="AX21" s="120">
        <v>69902.61</v>
      </c>
      <c r="AY21" s="30">
        <v>18</v>
      </c>
      <c r="AZ21" s="38" t="s">
        <v>39</v>
      </c>
      <c r="BA21" s="126">
        <v>50</v>
      </c>
      <c r="BB21" s="33">
        <f t="shared" si="10"/>
        <v>1594.1542000000002</v>
      </c>
      <c r="BC21" s="120">
        <v>79707.710000000006</v>
      </c>
      <c r="BD21" s="30">
        <v>18</v>
      </c>
      <c r="BE21" s="38" t="s">
        <v>39</v>
      </c>
      <c r="BF21" s="126">
        <v>80</v>
      </c>
      <c r="BG21" s="33">
        <f t="shared" si="11"/>
        <v>1842.7798750000002</v>
      </c>
      <c r="BH21" s="120">
        <v>147422.39000000001</v>
      </c>
      <c r="BI21" s="30">
        <v>18</v>
      </c>
      <c r="BJ21" s="38" t="s">
        <v>39</v>
      </c>
      <c r="BK21" s="140">
        <v>623</v>
      </c>
      <c r="BL21" s="33">
        <f t="shared" si="13"/>
        <v>1563.7750882825039</v>
      </c>
      <c r="BM21" s="144">
        <v>974231.88</v>
      </c>
      <c r="BN21" s="111">
        <f t="shared" si="12"/>
        <v>1.0536106883138847E-2</v>
      </c>
    </row>
    <row r="22" spans="1:66" x14ac:dyDescent="0.35">
      <c r="A22" s="30">
        <v>19</v>
      </c>
      <c r="B22" s="38" t="s">
        <v>50</v>
      </c>
      <c r="C22" s="116">
        <v>82</v>
      </c>
      <c r="D22" s="33">
        <f t="shared" si="0"/>
        <v>1861.0109756097561</v>
      </c>
      <c r="E22" s="120">
        <v>152602.9</v>
      </c>
      <c r="F22" s="34">
        <v>19</v>
      </c>
      <c r="G22" s="38" t="s">
        <v>33</v>
      </c>
      <c r="H22" s="123">
        <v>75</v>
      </c>
      <c r="I22" s="33">
        <f t="shared" si="1"/>
        <v>1733.1070666666667</v>
      </c>
      <c r="J22" s="120">
        <v>129983.03</v>
      </c>
      <c r="K22" s="30">
        <v>19</v>
      </c>
      <c r="L22" s="38" t="s">
        <v>20</v>
      </c>
      <c r="M22" s="120">
        <v>35</v>
      </c>
      <c r="N22" s="33">
        <f t="shared" si="2"/>
        <v>1433.646857142857</v>
      </c>
      <c r="O22" s="120">
        <v>50177.64</v>
      </c>
      <c r="P22" s="30">
        <v>19</v>
      </c>
      <c r="Q22" s="38" t="s">
        <v>39</v>
      </c>
      <c r="R22" s="120">
        <v>51</v>
      </c>
      <c r="S22" s="33">
        <f t="shared" si="3"/>
        <v>1545.377843137255</v>
      </c>
      <c r="T22" s="120">
        <v>78814.27</v>
      </c>
      <c r="U22" s="30">
        <v>19</v>
      </c>
      <c r="V22" s="38" t="s">
        <v>65</v>
      </c>
      <c r="W22" s="120">
        <v>45</v>
      </c>
      <c r="X22" s="33">
        <f t="shared" si="4"/>
        <v>1262.2433333333333</v>
      </c>
      <c r="Y22" s="120">
        <v>56800.95</v>
      </c>
      <c r="Z22" s="30">
        <v>19</v>
      </c>
      <c r="AA22" s="38" t="s">
        <v>18</v>
      </c>
      <c r="AB22" s="120">
        <v>32</v>
      </c>
      <c r="AC22" s="33">
        <f t="shared" si="5"/>
        <v>1296.368125</v>
      </c>
      <c r="AD22" s="120">
        <v>41483.78</v>
      </c>
      <c r="AE22" s="30">
        <v>19</v>
      </c>
      <c r="AF22" s="38" t="s">
        <v>20</v>
      </c>
      <c r="AG22" s="126">
        <v>47</v>
      </c>
      <c r="AH22" s="33">
        <f t="shared" si="14"/>
        <v>1079.2321276595746</v>
      </c>
      <c r="AI22" s="120">
        <v>50723.91</v>
      </c>
      <c r="AJ22" s="30">
        <v>19</v>
      </c>
      <c r="AK22" s="38" t="s">
        <v>39</v>
      </c>
      <c r="AL22" s="126">
        <v>42</v>
      </c>
      <c r="AM22" s="33">
        <f t="shared" si="7"/>
        <v>1169.6742857142858</v>
      </c>
      <c r="AN22" s="120">
        <v>49126.32</v>
      </c>
      <c r="AO22" s="30">
        <v>19</v>
      </c>
      <c r="AP22" s="38" t="s">
        <v>26</v>
      </c>
      <c r="AQ22" s="39">
        <v>36</v>
      </c>
      <c r="AR22" s="33">
        <f t="shared" si="8"/>
        <v>1243.3963888888889</v>
      </c>
      <c r="AS22" s="40">
        <v>44762.27</v>
      </c>
      <c r="AT22" s="30">
        <v>19</v>
      </c>
      <c r="AU22" s="38" t="s">
        <v>20</v>
      </c>
      <c r="AV22" s="126">
        <v>53</v>
      </c>
      <c r="AW22" s="33">
        <f t="shared" si="9"/>
        <v>1134.0232075471699</v>
      </c>
      <c r="AX22" s="120">
        <v>60103.23</v>
      </c>
      <c r="AY22" s="30">
        <v>19</v>
      </c>
      <c r="AZ22" s="38" t="s">
        <v>34</v>
      </c>
      <c r="BA22" s="126">
        <v>46</v>
      </c>
      <c r="BB22" s="33">
        <f t="shared" si="10"/>
        <v>1432.6369565217392</v>
      </c>
      <c r="BC22" s="120">
        <v>65901.3</v>
      </c>
      <c r="BD22" s="30">
        <v>19</v>
      </c>
      <c r="BE22" s="38" t="s">
        <v>20</v>
      </c>
      <c r="BF22" s="126">
        <v>62</v>
      </c>
      <c r="BG22" s="33">
        <f t="shared" si="11"/>
        <v>1593.4909677419355</v>
      </c>
      <c r="BH22" s="120">
        <v>98796.44</v>
      </c>
      <c r="BI22" s="30">
        <v>19</v>
      </c>
      <c r="BJ22" s="38" t="s">
        <v>33</v>
      </c>
      <c r="BK22" s="140">
        <v>526</v>
      </c>
      <c r="BL22" s="33">
        <f t="shared" si="13"/>
        <v>1513.1476615969582</v>
      </c>
      <c r="BM22" s="144">
        <v>795915.67</v>
      </c>
      <c r="BN22" s="111">
        <f t="shared" ref="BN22:BN53" si="15">BK21/$BK$3</f>
        <v>1.0536106883138847E-2</v>
      </c>
    </row>
    <row r="23" spans="1:66" x14ac:dyDescent="0.35">
      <c r="A23" s="30">
        <v>20</v>
      </c>
      <c r="B23" s="31" t="s">
        <v>27</v>
      </c>
      <c r="C23" s="115">
        <v>76</v>
      </c>
      <c r="D23" s="33">
        <f t="shared" si="0"/>
        <v>1506.2886842105263</v>
      </c>
      <c r="E23" s="119">
        <v>114477.94</v>
      </c>
      <c r="F23" s="34">
        <v>20</v>
      </c>
      <c r="G23" s="38" t="s">
        <v>34</v>
      </c>
      <c r="H23" s="123">
        <v>63</v>
      </c>
      <c r="I23" s="33">
        <f t="shared" si="1"/>
        <v>1615.1480952380953</v>
      </c>
      <c r="J23" s="120">
        <v>101754.33</v>
      </c>
      <c r="K23" s="30">
        <v>20</v>
      </c>
      <c r="L23" s="31" t="s">
        <v>27</v>
      </c>
      <c r="M23" s="119">
        <v>33</v>
      </c>
      <c r="N23" s="33">
        <f t="shared" si="2"/>
        <v>1412.0187878787879</v>
      </c>
      <c r="O23" s="119">
        <v>46596.62</v>
      </c>
      <c r="P23" s="30">
        <v>20</v>
      </c>
      <c r="Q23" s="38" t="s">
        <v>41</v>
      </c>
      <c r="R23" s="120">
        <v>47</v>
      </c>
      <c r="S23" s="33">
        <f t="shared" si="3"/>
        <v>1486.8904255319151</v>
      </c>
      <c r="T23" s="120">
        <v>69883.850000000006</v>
      </c>
      <c r="U23" s="30">
        <v>20</v>
      </c>
      <c r="V23" s="38" t="s">
        <v>20</v>
      </c>
      <c r="W23" s="120">
        <v>40</v>
      </c>
      <c r="X23" s="33">
        <f t="shared" si="4"/>
        <v>1209.22425</v>
      </c>
      <c r="Y23" s="120">
        <v>48368.97</v>
      </c>
      <c r="Z23" s="30">
        <v>20</v>
      </c>
      <c r="AA23" s="38" t="s">
        <v>33</v>
      </c>
      <c r="AB23" s="120">
        <v>31</v>
      </c>
      <c r="AC23" s="33">
        <f t="shared" si="5"/>
        <v>1299.4664516129033</v>
      </c>
      <c r="AD23" s="120">
        <v>40283.46</v>
      </c>
      <c r="AE23" s="30">
        <v>20</v>
      </c>
      <c r="AF23" s="38" t="s">
        <v>35</v>
      </c>
      <c r="AG23" s="126">
        <v>40</v>
      </c>
      <c r="AH23" s="33">
        <f t="shared" si="14"/>
        <v>1133.7860000000001</v>
      </c>
      <c r="AI23" s="120">
        <v>45351.44</v>
      </c>
      <c r="AJ23" s="30">
        <v>20</v>
      </c>
      <c r="AK23" s="38" t="s">
        <v>27</v>
      </c>
      <c r="AL23" s="126">
        <v>37</v>
      </c>
      <c r="AM23" s="33">
        <f t="shared" si="7"/>
        <v>1303.5843243243244</v>
      </c>
      <c r="AN23" s="120">
        <v>48232.62</v>
      </c>
      <c r="AO23" s="30">
        <v>20</v>
      </c>
      <c r="AP23" s="38" t="s">
        <v>41</v>
      </c>
      <c r="AQ23" s="2">
        <v>36</v>
      </c>
      <c r="AR23" s="33">
        <f t="shared" si="8"/>
        <v>1089.8077777777778</v>
      </c>
      <c r="AS23" s="38">
        <v>39233.08</v>
      </c>
      <c r="AT23" s="30">
        <v>20</v>
      </c>
      <c r="AU23" s="38" t="s">
        <v>42</v>
      </c>
      <c r="AV23" s="126">
        <v>39</v>
      </c>
      <c r="AW23" s="33">
        <f t="shared" si="9"/>
        <v>1166.781282051282</v>
      </c>
      <c r="AX23" s="120">
        <v>45504.47</v>
      </c>
      <c r="AY23" s="30">
        <v>20</v>
      </c>
      <c r="AZ23" s="38" t="s">
        <v>43</v>
      </c>
      <c r="BA23" s="126">
        <v>44</v>
      </c>
      <c r="BB23" s="33">
        <f t="shared" si="10"/>
        <v>1427.4261363636363</v>
      </c>
      <c r="BC23" s="120">
        <v>62806.75</v>
      </c>
      <c r="BD23" s="30">
        <v>20</v>
      </c>
      <c r="BE23" s="38" t="s">
        <v>34</v>
      </c>
      <c r="BF23" s="126">
        <v>44</v>
      </c>
      <c r="BG23" s="33">
        <f t="shared" si="11"/>
        <v>1617.3631818181818</v>
      </c>
      <c r="BH23" s="120">
        <v>71163.98</v>
      </c>
      <c r="BI23" s="30">
        <v>20</v>
      </c>
      <c r="BJ23" s="38" t="s">
        <v>20</v>
      </c>
      <c r="BK23" s="141">
        <v>515</v>
      </c>
      <c r="BL23" s="33">
        <f t="shared" si="13"/>
        <v>1284.874582524272</v>
      </c>
      <c r="BM23" s="144">
        <v>661710.41</v>
      </c>
      <c r="BN23" s="111">
        <f t="shared" si="15"/>
        <v>8.8956536445120912E-3</v>
      </c>
    </row>
    <row r="24" spans="1:66" x14ac:dyDescent="0.35">
      <c r="A24" s="30">
        <v>21</v>
      </c>
      <c r="B24" s="38" t="s">
        <v>15</v>
      </c>
      <c r="C24" s="116">
        <v>75</v>
      </c>
      <c r="D24" s="33">
        <f t="shared" si="0"/>
        <v>1624.6007999999999</v>
      </c>
      <c r="E24" s="120">
        <v>121845.06</v>
      </c>
      <c r="F24" s="34">
        <v>21</v>
      </c>
      <c r="G24" s="38" t="s">
        <v>39</v>
      </c>
      <c r="H24" s="123">
        <v>59</v>
      </c>
      <c r="I24" s="33">
        <f t="shared" si="1"/>
        <v>1692.2772881355932</v>
      </c>
      <c r="J24" s="120">
        <v>99844.36</v>
      </c>
      <c r="K24" s="30">
        <v>21</v>
      </c>
      <c r="L24" s="38" t="s">
        <v>39</v>
      </c>
      <c r="M24" s="120">
        <v>30</v>
      </c>
      <c r="N24" s="33">
        <f t="shared" si="2"/>
        <v>1483.72</v>
      </c>
      <c r="O24" s="120">
        <v>44511.6</v>
      </c>
      <c r="P24" s="30">
        <v>21</v>
      </c>
      <c r="Q24" s="38" t="s">
        <v>43</v>
      </c>
      <c r="R24" s="120">
        <v>45</v>
      </c>
      <c r="S24" s="33">
        <f t="shared" si="3"/>
        <v>1574.7242222222221</v>
      </c>
      <c r="T24" s="120">
        <v>70862.59</v>
      </c>
      <c r="U24" s="30">
        <v>21</v>
      </c>
      <c r="V24" s="31" t="s">
        <v>26</v>
      </c>
      <c r="W24" s="119">
        <v>34</v>
      </c>
      <c r="X24" s="33">
        <f t="shared" si="4"/>
        <v>1303.3832352941176</v>
      </c>
      <c r="Y24" s="119">
        <v>44315.03</v>
      </c>
      <c r="Z24" s="30">
        <v>21</v>
      </c>
      <c r="AA24" s="31" t="s">
        <v>27</v>
      </c>
      <c r="AB24" s="119">
        <v>28</v>
      </c>
      <c r="AC24" s="33">
        <f t="shared" si="5"/>
        <v>1264.4310714285714</v>
      </c>
      <c r="AD24" s="119">
        <v>35404.07</v>
      </c>
      <c r="AE24" s="30">
        <v>21</v>
      </c>
      <c r="AF24" s="31" t="s">
        <v>27</v>
      </c>
      <c r="AG24" s="131">
        <v>37</v>
      </c>
      <c r="AH24" s="33">
        <f t="shared" si="14"/>
        <v>1207.678918918919</v>
      </c>
      <c r="AI24" s="134">
        <v>44684.12</v>
      </c>
      <c r="AJ24" s="30">
        <v>21</v>
      </c>
      <c r="AK24" s="38" t="s">
        <v>18</v>
      </c>
      <c r="AL24" s="126">
        <v>33</v>
      </c>
      <c r="AM24" s="33">
        <f t="shared" si="7"/>
        <v>1189.2087878787879</v>
      </c>
      <c r="AN24" s="120">
        <v>39243.89</v>
      </c>
      <c r="AO24" s="30">
        <v>21</v>
      </c>
      <c r="AP24" s="31" t="s">
        <v>27</v>
      </c>
      <c r="AQ24" s="39">
        <v>34</v>
      </c>
      <c r="AR24" s="33">
        <f t="shared" si="8"/>
        <v>1108.1520588235294</v>
      </c>
      <c r="AS24" s="40">
        <v>37677.17</v>
      </c>
      <c r="AT24" s="30">
        <v>21</v>
      </c>
      <c r="AU24" s="38" t="s">
        <v>34</v>
      </c>
      <c r="AV24" s="126">
        <v>38</v>
      </c>
      <c r="AW24" s="33">
        <f t="shared" si="9"/>
        <v>1202.8539473684209</v>
      </c>
      <c r="AX24" s="120">
        <v>45708.45</v>
      </c>
      <c r="AY24" s="30">
        <v>21</v>
      </c>
      <c r="AZ24" s="38" t="s">
        <v>18</v>
      </c>
      <c r="BA24" s="126">
        <v>44</v>
      </c>
      <c r="BB24" s="33">
        <f t="shared" si="10"/>
        <v>1660.1795454545454</v>
      </c>
      <c r="BC24" s="120">
        <v>73047.899999999994</v>
      </c>
      <c r="BD24" s="30">
        <v>21</v>
      </c>
      <c r="BE24" s="38" t="s">
        <v>46</v>
      </c>
      <c r="BF24" s="126">
        <v>39</v>
      </c>
      <c r="BG24" s="33">
        <f t="shared" si="11"/>
        <v>1719.3094871794874</v>
      </c>
      <c r="BH24" s="120">
        <v>67053.070000000007</v>
      </c>
      <c r="BI24" s="30">
        <v>21</v>
      </c>
      <c r="BJ24" s="38" t="s">
        <v>65</v>
      </c>
      <c r="BK24" s="141">
        <v>499</v>
      </c>
      <c r="BL24" s="33">
        <f t="shared" si="13"/>
        <v>1423.9520440881763</v>
      </c>
      <c r="BM24" s="144">
        <v>710552.07</v>
      </c>
      <c r="BN24" s="111">
        <f t="shared" si="15"/>
        <v>8.7096228648740059E-3</v>
      </c>
    </row>
    <row r="25" spans="1:66" x14ac:dyDescent="0.35">
      <c r="A25" s="30">
        <v>22</v>
      </c>
      <c r="B25" s="38" t="s">
        <v>34</v>
      </c>
      <c r="C25" s="116">
        <v>49</v>
      </c>
      <c r="D25" s="33">
        <f t="shared" si="0"/>
        <v>1719.3842857142859</v>
      </c>
      <c r="E25" s="120">
        <v>84249.83</v>
      </c>
      <c r="F25" s="34">
        <v>22</v>
      </c>
      <c r="G25" s="38" t="s">
        <v>43</v>
      </c>
      <c r="H25" s="123">
        <v>52</v>
      </c>
      <c r="I25" s="33">
        <f t="shared" si="1"/>
        <v>1852.4419230769231</v>
      </c>
      <c r="J25" s="120">
        <v>96326.98</v>
      </c>
      <c r="K25" s="30">
        <v>22</v>
      </c>
      <c r="L25" s="38" t="s">
        <v>41</v>
      </c>
      <c r="M25" s="120">
        <v>30</v>
      </c>
      <c r="N25" s="33">
        <f t="shared" si="2"/>
        <v>1587.355</v>
      </c>
      <c r="O25" s="120">
        <v>47620.65</v>
      </c>
      <c r="P25" s="30">
        <v>22</v>
      </c>
      <c r="Q25" s="38" t="s">
        <v>33</v>
      </c>
      <c r="R25" s="120">
        <v>42</v>
      </c>
      <c r="S25" s="33">
        <f t="shared" si="3"/>
        <v>1302.2411904761905</v>
      </c>
      <c r="T25" s="120">
        <v>54694.13</v>
      </c>
      <c r="U25" s="30">
        <v>22</v>
      </c>
      <c r="V25" s="38" t="s">
        <v>39</v>
      </c>
      <c r="W25" s="120">
        <v>32</v>
      </c>
      <c r="X25" s="33">
        <f t="shared" si="4"/>
        <v>1256.869375</v>
      </c>
      <c r="Y25" s="120">
        <v>40219.82</v>
      </c>
      <c r="Z25" s="30">
        <v>22</v>
      </c>
      <c r="AA25" s="31" t="s">
        <v>54</v>
      </c>
      <c r="AB25" s="119">
        <v>20</v>
      </c>
      <c r="AC25" s="33">
        <f t="shared" si="5"/>
        <v>1226.7445</v>
      </c>
      <c r="AD25" s="119">
        <v>24534.89</v>
      </c>
      <c r="AE25" s="30">
        <v>22</v>
      </c>
      <c r="AF25" s="38" t="s">
        <v>26</v>
      </c>
      <c r="AG25" s="126">
        <v>37</v>
      </c>
      <c r="AH25" s="33">
        <f t="shared" si="14"/>
        <v>1282.0151351351351</v>
      </c>
      <c r="AI25" s="120">
        <v>47434.559999999998</v>
      </c>
      <c r="AJ25" s="30">
        <v>22</v>
      </c>
      <c r="AK25" s="38" t="s">
        <v>54</v>
      </c>
      <c r="AL25" s="126">
        <v>29</v>
      </c>
      <c r="AM25" s="33">
        <f t="shared" si="7"/>
        <v>1237.2199999999998</v>
      </c>
      <c r="AN25" s="120">
        <v>35879.379999999997</v>
      </c>
      <c r="AO25" s="30">
        <v>22</v>
      </c>
      <c r="AP25" s="38" t="s">
        <v>34</v>
      </c>
      <c r="AQ25" s="39">
        <v>33</v>
      </c>
      <c r="AR25" s="33">
        <f t="shared" si="8"/>
        <v>1303.4060606060607</v>
      </c>
      <c r="AS25" s="40">
        <v>43012.4</v>
      </c>
      <c r="AT25" s="30">
        <v>22</v>
      </c>
      <c r="AU25" s="38" t="s">
        <v>18</v>
      </c>
      <c r="AV25" s="126">
        <v>38</v>
      </c>
      <c r="AW25" s="33">
        <f t="shared" si="9"/>
        <v>1263.7555263157894</v>
      </c>
      <c r="AX25" s="120">
        <v>48022.71</v>
      </c>
      <c r="AY25" s="30">
        <v>22</v>
      </c>
      <c r="AZ25" s="38" t="s">
        <v>35</v>
      </c>
      <c r="BA25" s="126">
        <v>37</v>
      </c>
      <c r="BB25" s="33">
        <f t="shared" si="10"/>
        <v>1440.6191891891892</v>
      </c>
      <c r="BC25" s="120">
        <v>53302.91</v>
      </c>
      <c r="BD25" s="30">
        <v>22</v>
      </c>
      <c r="BE25" s="38" t="s">
        <v>50</v>
      </c>
      <c r="BF25" s="126">
        <v>38</v>
      </c>
      <c r="BG25" s="33">
        <f t="shared" si="11"/>
        <v>2027.4281578947368</v>
      </c>
      <c r="BH25" s="120">
        <v>77042.27</v>
      </c>
      <c r="BI25" s="30">
        <v>22</v>
      </c>
      <c r="BJ25" s="38" t="s">
        <v>35</v>
      </c>
      <c r="BK25" s="141">
        <v>479</v>
      </c>
      <c r="BL25" s="33">
        <f t="shared" si="13"/>
        <v>1349.7349686847599</v>
      </c>
      <c r="BM25" s="144">
        <v>646523.05000000005</v>
      </c>
      <c r="BN25" s="111">
        <f t="shared" si="15"/>
        <v>8.4390326399458818E-3</v>
      </c>
    </row>
    <row r="26" spans="1:66" x14ac:dyDescent="0.35">
      <c r="A26" s="30">
        <v>23</v>
      </c>
      <c r="B26" s="38" t="s">
        <v>43</v>
      </c>
      <c r="C26" s="116">
        <v>43</v>
      </c>
      <c r="D26" s="33">
        <f t="shared" si="0"/>
        <v>1998.3383720930233</v>
      </c>
      <c r="E26" s="120">
        <v>85928.55</v>
      </c>
      <c r="F26" s="34">
        <v>23</v>
      </c>
      <c r="G26" s="38" t="s">
        <v>20</v>
      </c>
      <c r="H26" s="123">
        <v>37</v>
      </c>
      <c r="I26" s="33">
        <f t="shared" si="1"/>
        <v>1582.9532432432432</v>
      </c>
      <c r="J26" s="120">
        <v>58569.27</v>
      </c>
      <c r="K26" s="30">
        <v>23</v>
      </c>
      <c r="L26" s="38" t="s">
        <v>34</v>
      </c>
      <c r="M26" s="120">
        <v>28</v>
      </c>
      <c r="N26" s="33">
        <f t="shared" si="2"/>
        <v>1551.5546428571429</v>
      </c>
      <c r="O26" s="120">
        <v>43443.53</v>
      </c>
      <c r="P26" s="30">
        <v>23</v>
      </c>
      <c r="Q26" s="38" t="s">
        <v>65</v>
      </c>
      <c r="R26" s="119">
        <v>36</v>
      </c>
      <c r="S26" s="33">
        <f t="shared" si="3"/>
        <v>1143.4255555555555</v>
      </c>
      <c r="T26" s="119">
        <v>41163.32</v>
      </c>
      <c r="U26" s="30">
        <v>23</v>
      </c>
      <c r="V26" s="38" t="s">
        <v>34</v>
      </c>
      <c r="W26" s="120">
        <v>30</v>
      </c>
      <c r="X26" s="33">
        <f t="shared" si="4"/>
        <v>1236.7526666666668</v>
      </c>
      <c r="Y26" s="120">
        <v>37102.58</v>
      </c>
      <c r="Z26" s="30">
        <v>23</v>
      </c>
      <c r="AA26" s="38" t="s">
        <v>43</v>
      </c>
      <c r="AB26" s="120">
        <v>20</v>
      </c>
      <c r="AC26" s="33">
        <f t="shared" si="5"/>
        <v>1195.5094999999999</v>
      </c>
      <c r="AD26" s="120">
        <v>23910.19</v>
      </c>
      <c r="AE26" s="30">
        <v>23</v>
      </c>
      <c r="AF26" s="38" t="s">
        <v>33</v>
      </c>
      <c r="AG26" s="126">
        <v>32</v>
      </c>
      <c r="AH26" s="33">
        <f t="shared" si="14"/>
        <v>1188.714375</v>
      </c>
      <c r="AI26" s="120">
        <v>38038.86</v>
      </c>
      <c r="AJ26" s="30">
        <v>23</v>
      </c>
      <c r="AK26" s="38" t="s">
        <v>56</v>
      </c>
      <c r="AL26" s="126">
        <v>29</v>
      </c>
      <c r="AM26" s="33">
        <f t="shared" si="7"/>
        <v>1166.3458620689655</v>
      </c>
      <c r="AN26" s="120">
        <v>33824.03</v>
      </c>
      <c r="AO26" s="30">
        <v>23</v>
      </c>
      <c r="AP26" s="38" t="s">
        <v>83</v>
      </c>
      <c r="AQ26" s="2">
        <v>32</v>
      </c>
      <c r="AR26" s="33">
        <f t="shared" si="8"/>
        <v>1146.3475000000001</v>
      </c>
      <c r="AS26" s="38">
        <v>36683.120000000003</v>
      </c>
      <c r="AT26" s="30">
        <v>23</v>
      </c>
      <c r="AU26" s="38" t="s">
        <v>46</v>
      </c>
      <c r="AV26" s="126">
        <v>32</v>
      </c>
      <c r="AW26" s="33">
        <f t="shared" si="9"/>
        <v>1478.7740624999999</v>
      </c>
      <c r="AX26" s="120">
        <v>47320.77</v>
      </c>
      <c r="AY26" s="30">
        <v>23</v>
      </c>
      <c r="AZ26" s="38" t="s">
        <v>41</v>
      </c>
      <c r="BA26" s="126">
        <v>37</v>
      </c>
      <c r="BB26" s="33">
        <f t="shared" si="10"/>
        <v>1601.8697297297297</v>
      </c>
      <c r="BC26" s="120">
        <v>59269.18</v>
      </c>
      <c r="BD26" s="30">
        <v>23</v>
      </c>
      <c r="BE26" s="31" t="s">
        <v>44</v>
      </c>
      <c r="BF26" s="131">
        <v>37</v>
      </c>
      <c r="BG26" s="33">
        <f t="shared" si="11"/>
        <v>1433.5670270270271</v>
      </c>
      <c r="BH26" s="134">
        <v>53041.98</v>
      </c>
      <c r="BI26" s="30">
        <v>23</v>
      </c>
      <c r="BJ26" s="38" t="s">
        <v>34</v>
      </c>
      <c r="BK26" s="141">
        <v>438</v>
      </c>
      <c r="BL26" s="33">
        <f t="shared" si="13"/>
        <v>1435.7378767123287</v>
      </c>
      <c r="BM26" s="144">
        <v>628853.18999999994</v>
      </c>
      <c r="BN26" s="111">
        <f t="shared" si="15"/>
        <v>8.1007948587857263E-3</v>
      </c>
    </row>
    <row r="27" spans="1:66" x14ac:dyDescent="0.35">
      <c r="A27" s="30">
        <v>24</v>
      </c>
      <c r="B27" s="38" t="s">
        <v>72</v>
      </c>
      <c r="C27" s="116">
        <v>40</v>
      </c>
      <c r="D27" s="33">
        <f t="shared" si="0"/>
        <v>1700.2544999999998</v>
      </c>
      <c r="E27" s="120">
        <v>68010.179999999993</v>
      </c>
      <c r="F27" s="34">
        <v>24</v>
      </c>
      <c r="G27" s="38" t="s">
        <v>50</v>
      </c>
      <c r="H27" s="123">
        <v>36</v>
      </c>
      <c r="I27" s="33">
        <f t="shared" si="1"/>
        <v>1837.6233333333334</v>
      </c>
      <c r="J27" s="120">
        <v>66154.44</v>
      </c>
      <c r="K27" s="30">
        <v>24</v>
      </c>
      <c r="L27" s="38" t="s">
        <v>35</v>
      </c>
      <c r="M27" s="120">
        <v>26</v>
      </c>
      <c r="N27" s="33">
        <f t="shared" si="2"/>
        <v>1648.6807692307691</v>
      </c>
      <c r="O27" s="120">
        <v>42865.7</v>
      </c>
      <c r="P27" s="30">
        <v>24</v>
      </c>
      <c r="Q27" s="38" t="s">
        <v>18</v>
      </c>
      <c r="R27" s="120">
        <v>35</v>
      </c>
      <c r="S27" s="33">
        <f t="shared" si="3"/>
        <v>1451.0917142857143</v>
      </c>
      <c r="T27" s="120">
        <v>50788.21</v>
      </c>
      <c r="U27" s="30">
        <v>24</v>
      </c>
      <c r="V27" s="38" t="s">
        <v>41</v>
      </c>
      <c r="W27" s="120">
        <v>25</v>
      </c>
      <c r="X27" s="33">
        <f t="shared" si="4"/>
        <v>1251.5724</v>
      </c>
      <c r="Y27" s="120">
        <v>31289.31</v>
      </c>
      <c r="Z27" s="30">
        <v>24</v>
      </c>
      <c r="AA27" s="38" t="s">
        <v>85</v>
      </c>
      <c r="AB27" s="120">
        <v>20</v>
      </c>
      <c r="AC27" s="33">
        <f t="shared" si="5"/>
        <v>1259.98</v>
      </c>
      <c r="AD27" s="120">
        <v>25199.599999999999</v>
      </c>
      <c r="AE27" s="30">
        <v>24</v>
      </c>
      <c r="AF27" s="38" t="s">
        <v>46</v>
      </c>
      <c r="AG27" s="126">
        <v>31</v>
      </c>
      <c r="AH27" s="33">
        <f t="shared" si="14"/>
        <v>1113.9687096774194</v>
      </c>
      <c r="AI27" s="120">
        <v>34533.03</v>
      </c>
      <c r="AJ27" s="30">
        <v>24</v>
      </c>
      <c r="AK27" s="38" t="s">
        <v>42</v>
      </c>
      <c r="AL27" s="126">
        <v>29</v>
      </c>
      <c r="AM27" s="33">
        <f t="shared" si="7"/>
        <v>1212.8431034482758</v>
      </c>
      <c r="AN27" s="120">
        <v>35172.449999999997</v>
      </c>
      <c r="AO27" s="30">
        <v>24</v>
      </c>
      <c r="AP27" s="38" t="s">
        <v>33</v>
      </c>
      <c r="AQ27" s="2">
        <v>27</v>
      </c>
      <c r="AR27" s="33">
        <f t="shared" si="8"/>
        <v>1275.1877777777777</v>
      </c>
      <c r="AS27" s="38">
        <v>34430.07</v>
      </c>
      <c r="AT27" s="30">
        <v>24</v>
      </c>
      <c r="AU27" s="38" t="s">
        <v>72</v>
      </c>
      <c r="AV27" s="126">
        <v>30</v>
      </c>
      <c r="AW27" s="33">
        <f t="shared" si="9"/>
        <v>1174.2079999999999</v>
      </c>
      <c r="AX27" s="120">
        <v>35226.239999999998</v>
      </c>
      <c r="AY27" s="30">
        <v>24</v>
      </c>
      <c r="AZ27" s="38" t="s">
        <v>56</v>
      </c>
      <c r="BA27" s="126">
        <v>34</v>
      </c>
      <c r="BB27" s="33">
        <f t="shared" si="10"/>
        <v>1392.395</v>
      </c>
      <c r="BC27" s="120">
        <v>47341.43</v>
      </c>
      <c r="BD27" s="30">
        <v>24</v>
      </c>
      <c r="BE27" s="38" t="s">
        <v>43</v>
      </c>
      <c r="BF27" s="126">
        <v>34</v>
      </c>
      <c r="BG27" s="33">
        <f t="shared" si="11"/>
        <v>2040.8967647058826</v>
      </c>
      <c r="BH27" s="120">
        <v>69390.490000000005</v>
      </c>
      <c r="BI27" s="30">
        <v>24</v>
      </c>
      <c r="BJ27" s="38" t="s">
        <v>18</v>
      </c>
      <c r="BK27" s="140">
        <v>367</v>
      </c>
      <c r="BL27" s="33">
        <f t="shared" si="13"/>
        <v>1338.4535694822889</v>
      </c>
      <c r="BM27" s="144">
        <v>491212.46</v>
      </c>
      <c r="BN27" s="111">
        <f t="shared" si="15"/>
        <v>7.4074074074074077E-3</v>
      </c>
    </row>
    <row r="28" spans="1:66" x14ac:dyDescent="0.35">
      <c r="A28" s="30">
        <v>25</v>
      </c>
      <c r="B28" s="38" t="s">
        <v>56</v>
      </c>
      <c r="C28" s="116">
        <v>34</v>
      </c>
      <c r="D28" s="33">
        <f t="shared" si="0"/>
        <v>1374.2658823529412</v>
      </c>
      <c r="E28" s="120">
        <v>46725.04</v>
      </c>
      <c r="F28" s="34">
        <v>25</v>
      </c>
      <c r="G28" s="38" t="s">
        <v>60</v>
      </c>
      <c r="H28" s="122">
        <v>34</v>
      </c>
      <c r="I28" s="33">
        <f t="shared" si="1"/>
        <v>1841.405</v>
      </c>
      <c r="J28" s="119">
        <v>62607.77</v>
      </c>
      <c r="K28" s="30">
        <v>25</v>
      </c>
      <c r="L28" s="31" t="s">
        <v>68</v>
      </c>
      <c r="M28" s="119">
        <v>22</v>
      </c>
      <c r="N28" s="33">
        <f t="shared" si="2"/>
        <v>1469.7349999999999</v>
      </c>
      <c r="O28" s="119">
        <v>32334.17</v>
      </c>
      <c r="P28" s="30">
        <v>25</v>
      </c>
      <c r="Q28" s="31" t="s">
        <v>125</v>
      </c>
      <c r="R28" s="119">
        <v>27</v>
      </c>
      <c r="S28" s="33">
        <f t="shared" si="3"/>
        <v>1290.0870370370369</v>
      </c>
      <c r="T28" s="119">
        <v>34832.35</v>
      </c>
      <c r="U28" s="30">
        <v>25</v>
      </c>
      <c r="V28" s="38" t="s">
        <v>42</v>
      </c>
      <c r="W28" s="120">
        <v>22</v>
      </c>
      <c r="X28" s="33">
        <f t="shared" si="4"/>
        <v>1301.1622727272727</v>
      </c>
      <c r="Y28" s="120">
        <v>28625.57</v>
      </c>
      <c r="Z28" s="30">
        <v>25</v>
      </c>
      <c r="AA28" s="38" t="s">
        <v>34</v>
      </c>
      <c r="AB28" s="120">
        <v>19</v>
      </c>
      <c r="AC28" s="33">
        <f t="shared" si="5"/>
        <v>1199.9836842105262</v>
      </c>
      <c r="AD28" s="120">
        <v>22799.69</v>
      </c>
      <c r="AE28" s="30">
        <v>25</v>
      </c>
      <c r="AF28" s="38" t="s">
        <v>56</v>
      </c>
      <c r="AG28" s="126">
        <v>28</v>
      </c>
      <c r="AH28" s="33">
        <f t="shared" si="14"/>
        <v>1136.2260714285715</v>
      </c>
      <c r="AI28" s="120">
        <v>31814.33</v>
      </c>
      <c r="AJ28" s="30">
        <v>25</v>
      </c>
      <c r="AK28" s="38" t="s">
        <v>33</v>
      </c>
      <c r="AL28" s="126">
        <v>27</v>
      </c>
      <c r="AM28" s="33">
        <f t="shared" si="7"/>
        <v>1220.6185185185184</v>
      </c>
      <c r="AN28" s="120">
        <v>32956.699999999997</v>
      </c>
      <c r="AO28" s="30">
        <v>25</v>
      </c>
      <c r="AP28" s="38" t="s">
        <v>65</v>
      </c>
      <c r="AQ28" s="2">
        <v>24</v>
      </c>
      <c r="AR28" s="33">
        <f t="shared" si="8"/>
        <v>1249.8379166666666</v>
      </c>
      <c r="AS28" s="38">
        <v>29996.11</v>
      </c>
      <c r="AT28" s="30">
        <v>25</v>
      </c>
      <c r="AU28" s="38" t="s">
        <v>83</v>
      </c>
      <c r="AV28" s="126">
        <v>29</v>
      </c>
      <c r="AW28" s="33">
        <f t="shared" si="9"/>
        <v>1483.6272413793104</v>
      </c>
      <c r="AX28" s="120">
        <v>43025.19</v>
      </c>
      <c r="AY28" s="30">
        <v>25</v>
      </c>
      <c r="AZ28" s="38" t="s">
        <v>28</v>
      </c>
      <c r="BA28" s="126">
        <v>30</v>
      </c>
      <c r="BB28" s="33">
        <f t="shared" si="10"/>
        <v>1632.8306666666665</v>
      </c>
      <c r="BC28" s="120">
        <v>48984.92</v>
      </c>
      <c r="BD28" s="30">
        <v>25</v>
      </c>
      <c r="BE28" s="38" t="s">
        <v>49</v>
      </c>
      <c r="BF28" s="126">
        <v>31</v>
      </c>
      <c r="BG28" s="33">
        <f t="shared" si="11"/>
        <v>2509.7016129032259</v>
      </c>
      <c r="BH28" s="120">
        <v>77800.75</v>
      </c>
      <c r="BI28" s="30">
        <v>25</v>
      </c>
      <c r="BJ28" s="38" t="s">
        <v>43</v>
      </c>
      <c r="BK28" s="141">
        <v>355</v>
      </c>
      <c r="BL28" s="33">
        <f t="shared" si="13"/>
        <v>1580.5868732394365</v>
      </c>
      <c r="BM28" s="144">
        <v>561108.34</v>
      </c>
      <c r="BN28" s="111">
        <f t="shared" si="15"/>
        <v>6.2066632842888549E-3</v>
      </c>
    </row>
    <row r="29" spans="1:66" x14ac:dyDescent="0.35">
      <c r="A29" s="30">
        <v>26</v>
      </c>
      <c r="B29" s="31" t="s">
        <v>125</v>
      </c>
      <c r="C29" s="115">
        <v>33</v>
      </c>
      <c r="D29" s="33">
        <f t="shared" si="0"/>
        <v>1659.2657575757576</v>
      </c>
      <c r="E29" s="119">
        <v>54755.77</v>
      </c>
      <c r="F29" s="34">
        <v>26</v>
      </c>
      <c r="G29" s="31" t="s">
        <v>125</v>
      </c>
      <c r="H29" s="122">
        <v>31</v>
      </c>
      <c r="I29" s="33">
        <f t="shared" si="1"/>
        <v>1362.2361290322581</v>
      </c>
      <c r="J29" s="119">
        <v>42229.32</v>
      </c>
      <c r="K29" s="30">
        <v>26</v>
      </c>
      <c r="L29" s="31" t="s">
        <v>125</v>
      </c>
      <c r="M29" s="119">
        <v>21</v>
      </c>
      <c r="N29" s="33">
        <f t="shared" si="2"/>
        <v>1268.6285714285714</v>
      </c>
      <c r="O29" s="119">
        <v>26641.200000000001</v>
      </c>
      <c r="P29" s="30">
        <v>26</v>
      </c>
      <c r="Q29" s="38" t="s">
        <v>86</v>
      </c>
      <c r="R29" s="119">
        <v>24</v>
      </c>
      <c r="S29" s="33">
        <f t="shared" si="3"/>
        <v>1337.8908333333334</v>
      </c>
      <c r="T29" s="119">
        <v>32109.38</v>
      </c>
      <c r="U29" s="30">
        <v>26</v>
      </c>
      <c r="V29" s="38" t="s">
        <v>56</v>
      </c>
      <c r="W29" s="120">
        <v>20</v>
      </c>
      <c r="X29" s="33">
        <f t="shared" si="4"/>
        <v>1153.8780000000002</v>
      </c>
      <c r="Y29" s="120">
        <v>23077.56</v>
      </c>
      <c r="Z29" s="30">
        <v>26</v>
      </c>
      <c r="AA29" s="38" t="s">
        <v>91</v>
      </c>
      <c r="AB29" s="120">
        <v>17</v>
      </c>
      <c r="AC29" s="33">
        <f t="shared" si="5"/>
        <v>1022.4982352941178</v>
      </c>
      <c r="AD29" s="120">
        <v>17382.47</v>
      </c>
      <c r="AE29" s="30">
        <v>26</v>
      </c>
      <c r="AF29" s="38" t="s">
        <v>43</v>
      </c>
      <c r="AG29" s="126">
        <v>26</v>
      </c>
      <c r="AH29" s="33">
        <f t="shared" si="14"/>
        <v>1312.0253846153848</v>
      </c>
      <c r="AI29" s="120">
        <v>34112.660000000003</v>
      </c>
      <c r="AJ29" s="30">
        <v>26</v>
      </c>
      <c r="AK29" s="38" t="s">
        <v>43</v>
      </c>
      <c r="AL29" s="126">
        <v>24</v>
      </c>
      <c r="AM29" s="33">
        <f t="shared" si="7"/>
        <v>1107.0420833333333</v>
      </c>
      <c r="AN29" s="120">
        <v>26569.01</v>
      </c>
      <c r="AO29" s="30">
        <v>26</v>
      </c>
      <c r="AP29" s="38" t="s">
        <v>43</v>
      </c>
      <c r="AQ29" s="2">
        <v>23</v>
      </c>
      <c r="AR29" s="33">
        <f t="shared" si="8"/>
        <v>1437.2665217391302</v>
      </c>
      <c r="AS29" s="38">
        <v>33057.129999999997</v>
      </c>
      <c r="AT29" s="30">
        <v>26</v>
      </c>
      <c r="AU29" s="38" t="s">
        <v>56</v>
      </c>
      <c r="AV29" s="126">
        <v>26</v>
      </c>
      <c r="AW29" s="33">
        <f t="shared" si="9"/>
        <v>1371.6326923076922</v>
      </c>
      <c r="AX29" s="120">
        <v>35662.449999999997</v>
      </c>
      <c r="AY29" s="30">
        <v>26</v>
      </c>
      <c r="AZ29" s="31" t="s">
        <v>45</v>
      </c>
      <c r="BA29" s="131">
        <v>29</v>
      </c>
      <c r="BB29" s="33">
        <f t="shared" si="10"/>
        <v>1559.9737931034483</v>
      </c>
      <c r="BC29" s="134">
        <v>45239.24</v>
      </c>
      <c r="BD29" s="30">
        <v>26</v>
      </c>
      <c r="BE29" s="38" t="s">
        <v>33</v>
      </c>
      <c r="BF29" s="126">
        <v>30</v>
      </c>
      <c r="BG29" s="33">
        <f t="shared" si="11"/>
        <v>2231.0096666666664</v>
      </c>
      <c r="BH29" s="120">
        <v>66930.289999999994</v>
      </c>
      <c r="BI29" s="30">
        <v>26</v>
      </c>
      <c r="BJ29" s="38" t="s">
        <v>41</v>
      </c>
      <c r="BK29" s="140">
        <v>316</v>
      </c>
      <c r="BL29" s="33">
        <f t="shared" si="13"/>
        <v>1474.1733227848101</v>
      </c>
      <c r="BM29" s="144">
        <v>465838.77</v>
      </c>
      <c r="BN29" s="111">
        <f t="shared" si="15"/>
        <v>6.0037206155927614E-3</v>
      </c>
    </row>
    <row r="30" spans="1:66" x14ac:dyDescent="0.35">
      <c r="A30" s="30">
        <v>27</v>
      </c>
      <c r="B30" s="38" t="s">
        <v>20</v>
      </c>
      <c r="C30" s="116">
        <v>33</v>
      </c>
      <c r="D30" s="33">
        <f t="shared" si="0"/>
        <v>1632.6727272727271</v>
      </c>
      <c r="E30" s="120">
        <v>53878.2</v>
      </c>
      <c r="F30" s="34">
        <v>27</v>
      </c>
      <c r="G30" s="38" t="s">
        <v>28</v>
      </c>
      <c r="H30" s="123">
        <v>28</v>
      </c>
      <c r="I30" s="33">
        <f t="shared" si="1"/>
        <v>1769.6253571428572</v>
      </c>
      <c r="J30" s="120">
        <v>49549.51</v>
      </c>
      <c r="K30" s="30">
        <v>27</v>
      </c>
      <c r="L30" s="38" t="s">
        <v>43</v>
      </c>
      <c r="M30" s="120">
        <v>19</v>
      </c>
      <c r="N30" s="33">
        <f t="shared" si="2"/>
        <v>1425.7989473684211</v>
      </c>
      <c r="O30" s="120">
        <v>27090.18</v>
      </c>
      <c r="P30" s="30">
        <v>27</v>
      </c>
      <c r="Q30" s="31" t="s">
        <v>54</v>
      </c>
      <c r="R30" s="119">
        <v>23</v>
      </c>
      <c r="S30" s="33">
        <f t="shared" si="3"/>
        <v>1230.4691304347828</v>
      </c>
      <c r="T30" s="119">
        <v>28300.79</v>
      </c>
      <c r="U30" s="30">
        <v>27</v>
      </c>
      <c r="V30" s="31" t="s">
        <v>125</v>
      </c>
      <c r="W30" s="119">
        <v>18</v>
      </c>
      <c r="X30" s="33">
        <f t="shared" si="4"/>
        <v>1310.5316666666668</v>
      </c>
      <c r="Y30" s="119">
        <v>23589.57</v>
      </c>
      <c r="Z30" s="30">
        <v>27</v>
      </c>
      <c r="AA30" s="38" t="s">
        <v>50</v>
      </c>
      <c r="AB30" s="120">
        <v>17</v>
      </c>
      <c r="AC30" s="33">
        <f t="shared" si="5"/>
        <v>1273.8129411764705</v>
      </c>
      <c r="AD30" s="120">
        <v>21654.82</v>
      </c>
      <c r="AE30" s="30">
        <v>27</v>
      </c>
      <c r="AF30" s="38" t="s">
        <v>34</v>
      </c>
      <c r="AG30" s="126">
        <v>25</v>
      </c>
      <c r="AH30" s="33">
        <f t="shared" si="14"/>
        <v>1201.2180000000001</v>
      </c>
      <c r="AI30" s="120">
        <v>30030.45</v>
      </c>
      <c r="AJ30" s="30">
        <v>27</v>
      </c>
      <c r="AK30" s="38" t="s">
        <v>65</v>
      </c>
      <c r="AL30" s="126">
        <v>23</v>
      </c>
      <c r="AM30" s="33">
        <f t="shared" si="7"/>
        <v>1051.9917391304348</v>
      </c>
      <c r="AN30" s="120">
        <v>24195.81</v>
      </c>
      <c r="AO30" s="30">
        <v>27</v>
      </c>
      <c r="AP30" s="38" t="s">
        <v>56</v>
      </c>
      <c r="AQ30" s="2">
        <v>22</v>
      </c>
      <c r="AR30" s="33">
        <f t="shared" si="8"/>
        <v>1245.5659090909091</v>
      </c>
      <c r="AS30" s="38">
        <v>27402.45</v>
      </c>
      <c r="AT30" s="30">
        <v>27</v>
      </c>
      <c r="AU30" s="38" t="s">
        <v>28</v>
      </c>
      <c r="AV30" s="126">
        <v>26</v>
      </c>
      <c r="AW30" s="33">
        <f t="shared" si="9"/>
        <v>1270.7088461538463</v>
      </c>
      <c r="AX30" s="120">
        <v>33038.43</v>
      </c>
      <c r="AY30" s="30">
        <v>27</v>
      </c>
      <c r="AZ30" s="38" t="s">
        <v>61</v>
      </c>
      <c r="BA30" s="126">
        <v>27</v>
      </c>
      <c r="BB30" s="33">
        <f t="shared" si="10"/>
        <v>1710.3959259259261</v>
      </c>
      <c r="BC30" s="120">
        <v>46180.69</v>
      </c>
      <c r="BD30" s="30">
        <v>27</v>
      </c>
      <c r="BE30" s="38" t="s">
        <v>58</v>
      </c>
      <c r="BF30" s="126">
        <v>26</v>
      </c>
      <c r="BG30" s="33">
        <f t="shared" si="11"/>
        <v>1511.188076923077</v>
      </c>
      <c r="BH30" s="120">
        <v>39290.89</v>
      </c>
      <c r="BI30" s="30">
        <v>27</v>
      </c>
      <c r="BJ30" s="38" t="s">
        <v>50</v>
      </c>
      <c r="BK30" s="140">
        <v>287</v>
      </c>
      <c r="BL30" s="33">
        <f t="shared" si="13"/>
        <v>1657.6094773519162</v>
      </c>
      <c r="BM30" s="144">
        <v>475733.92</v>
      </c>
      <c r="BN30" s="111">
        <f t="shared" si="15"/>
        <v>5.3441569423304585E-3</v>
      </c>
    </row>
    <row r="31" spans="1:66" x14ac:dyDescent="0.35">
      <c r="A31" s="30">
        <v>28</v>
      </c>
      <c r="B31" s="38" t="s">
        <v>41</v>
      </c>
      <c r="C31" s="116">
        <v>33</v>
      </c>
      <c r="D31" s="33">
        <f t="shared" si="0"/>
        <v>1702.7645454545454</v>
      </c>
      <c r="E31" s="120">
        <v>56191.23</v>
      </c>
      <c r="F31" s="34">
        <v>28</v>
      </c>
      <c r="G31" s="38" t="s">
        <v>41</v>
      </c>
      <c r="H31" s="123">
        <v>25</v>
      </c>
      <c r="I31" s="33">
        <f t="shared" si="1"/>
        <v>1782.28</v>
      </c>
      <c r="J31" s="120">
        <v>44557</v>
      </c>
      <c r="K31" s="30">
        <v>28</v>
      </c>
      <c r="L31" s="38" t="s">
        <v>60</v>
      </c>
      <c r="M31" s="119">
        <v>17</v>
      </c>
      <c r="N31" s="33">
        <f t="shared" si="2"/>
        <v>1419.82</v>
      </c>
      <c r="O31" s="119">
        <v>24136.94</v>
      </c>
      <c r="P31" s="30">
        <v>28</v>
      </c>
      <c r="Q31" s="38" t="s">
        <v>20</v>
      </c>
      <c r="R31" s="120">
        <v>22</v>
      </c>
      <c r="S31" s="33">
        <f t="shared" si="3"/>
        <v>1402.98</v>
      </c>
      <c r="T31" s="120">
        <v>30865.56</v>
      </c>
      <c r="U31" s="30">
        <v>28</v>
      </c>
      <c r="V31" s="38" t="s">
        <v>18</v>
      </c>
      <c r="W31" s="120">
        <v>18</v>
      </c>
      <c r="X31" s="33">
        <f t="shared" si="4"/>
        <v>1251.2866666666666</v>
      </c>
      <c r="Y31" s="120">
        <v>22523.16</v>
      </c>
      <c r="Z31" s="30">
        <v>28</v>
      </c>
      <c r="AA31" s="38" t="s">
        <v>41</v>
      </c>
      <c r="AB31" s="120">
        <v>16</v>
      </c>
      <c r="AC31" s="33">
        <f t="shared" si="5"/>
        <v>1371.221875</v>
      </c>
      <c r="AD31" s="120">
        <v>21939.55</v>
      </c>
      <c r="AE31" s="30">
        <v>28</v>
      </c>
      <c r="AF31" s="31" t="s">
        <v>54</v>
      </c>
      <c r="AG31" s="132">
        <v>24</v>
      </c>
      <c r="AH31" s="33">
        <f t="shared" si="14"/>
        <v>1017.2541666666666</v>
      </c>
      <c r="AI31" s="135">
        <v>24414.1</v>
      </c>
      <c r="AJ31" s="30">
        <v>28</v>
      </c>
      <c r="AK31" s="38" t="s">
        <v>50</v>
      </c>
      <c r="AL31" s="126">
        <v>23</v>
      </c>
      <c r="AM31" s="33">
        <f t="shared" si="7"/>
        <v>1227.3447826086956</v>
      </c>
      <c r="AN31" s="120">
        <v>28228.93</v>
      </c>
      <c r="AO31" s="30">
        <v>28</v>
      </c>
      <c r="AP31" s="38" t="s">
        <v>63</v>
      </c>
      <c r="AQ31" s="39">
        <v>18</v>
      </c>
      <c r="AR31" s="33">
        <f t="shared" si="8"/>
        <v>1312.3388888888887</v>
      </c>
      <c r="AS31" s="38">
        <v>23622.1</v>
      </c>
      <c r="AT31" s="30">
        <v>28</v>
      </c>
      <c r="AU31" s="38" t="s">
        <v>33</v>
      </c>
      <c r="AV31" s="126">
        <v>25</v>
      </c>
      <c r="AW31" s="33">
        <f t="shared" si="9"/>
        <v>1229.3244</v>
      </c>
      <c r="AX31" s="120">
        <v>30733.11</v>
      </c>
      <c r="AY31" s="30">
        <v>28</v>
      </c>
      <c r="AZ31" s="38" t="s">
        <v>33</v>
      </c>
      <c r="BA31" s="126">
        <v>27</v>
      </c>
      <c r="BB31" s="33">
        <f t="shared" si="10"/>
        <v>1775.8181481481481</v>
      </c>
      <c r="BC31" s="120">
        <v>47947.09</v>
      </c>
      <c r="BD31" s="30">
        <v>28</v>
      </c>
      <c r="BE31" s="38" t="s">
        <v>56</v>
      </c>
      <c r="BF31" s="126">
        <v>22</v>
      </c>
      <c r="BG31" s="33">
        <f t="shared" si="11"/>
        <v>1222.175909090909</v>
      </c>
      <c r="BH31" s="120">
        <v>26887.87</v>
      </c>
      <c r="BI31" s="30">
        <v>28</v>
      </c>
      <c r="BJ31" s="38" t="s">
        <v>56</v>
      </c>
      <c r="BK31" s="140">
        <v>270</v>
      </c>
      <c r="BL31" s="33">
        <f t="shared" si="13"/>
        <v>1284.1292962962962</v>
      </c>
      <c r="BM31" s="144">
        <v>346714.91</v>
      </c>
      <c r="BN31" s="111">
        <f t="shared" si="15"/>
        <v>4.8537121596482326E-3</v>
      </c>
    </row>
    <row r="32" spans="1:66" x14ac:dyDescent="0.35">
      <c r="A32" s="30">
        <v>29</v>
      </c>
      <c r="B32" s="38" t="s">
        <v>35</v>
      </c>
      <c r="C32" s="116">
        <v>32</v>
      </c>
      <c r="D32" s="33">
        <f t="shared" si="0"/>
        <v>1757.4121875000001</v>
      </c>
      <c r="E32" s="120">
        <v>56237.19</v>
      </c>
      <c r="F32" s="34">
        <v>29</v>
      </c>
      <c r="G32" s="38" t="s">
        <v>58</v>
      </c>
      <c r="H32" s="123">
        <v>19</v>
      </c>
      <c r="I32" s="33">
        <f t="shared" si="1"/>
        <v>1768.7115789473683</v>
      </c>
      <c r="J32" s="120">
        <v>33605.519999999997</v>
      </c>
      <c r="K32" s="30">
        <v>29</v>
      </c>
      <c r="L32" s="31" t="s">
        <v>92</v>
      </c>
      <c r="M32" s="119">
        <v>16</v>
      </c>
      <c r="N32" s="33">
        <f t="shared" si="2"/>
        <v>1408.70875</v>
      </c>
      <c r="O32" s="119">
        <v>22539.34</v>
      </c>
      <c r="P32" s="30">
        <v>29</v>
      </c>
      <c r="Q32" s="38" t="s">
        <v>42</v>
      </c>
      <c r="R32" s="120">
        <v>22</v>
      </c>
      <c r="S32" s="33">
        <f t="shared" si="3"/>
        <v>1449.5795454545455</v>
      </c>
      <c r="T32" s="120">
        <v>31890.75</v>
      </c>
      <c r="U32" s="30">
        <v>29</v>
      </c>
      <c r="V32" s="38" t="s">
        <v>73</v>
      </c>
      <c r="W32" s="120">
        <v>16</v>
      </c>
      <c r="X32" s="33">
        <f t="shared" si="4"/>
        <v>1179.485625</v>
      </c>
      <c r="Y32" s="120">
        <v>18871.77</v>
      </c>
      <c r="Z32" s="30">
        <v>29</v>
      </c>
      <c r="AA32" s="38" t="s">
        <v>65</v>
      </c>
      <c r="AB32" s="120">
        <v>15</v>
      </c>
      <c r="AC32" s="33">
        <f t="shared" si="5"/>
        <v>1101.3139999999999</v>
      </c>
      <c r="AD32" s="120">
        <v>16519.71</v>
      </c>
      <c r="AE32" s="30">
        <v>29</v>
      </c>
      <c r="AF32" s="38" t="s">
        <v>72</v>
      </c>
      <c r="AG32" s="126">
        <v>22</v>
      </c>
      <c r="AH32" s="33">
        <f t="shared" si="14"/>
        <v>1220.7077272727272</v>
      </c>
      <c r="AI32" s="120">
        <v>26855.57</v>
      </c>
      <c r="AJ32" s="30">
        <v>29</v>
      </c>
      <c r="AK32" s="38" t="s">
        <v>44</v>
      </c>
      <c r="AL32" s="126">
        <v>20</v>
      </c>
      <c r="AM32" s="33">
        <f t="shared" si="7"/>
        <v>1233.7339999999999</v>
      </c>
      <c r="AN32" s="120">
        <v>24674.68</v>
      </c>
      <c r="AO32" s="30">
        <v>29</v>
      </c>
      <c r="AP32" s="38" t="s">
        <v>58</v>
      </c>
      <c r="AQ32" s="2">
        <v>18</v>
      </c>
      <c r="AR32" s="33">
        <f t="shared" si="8"/>
        <v>1096.1261111111112</v>
      </c>
      <c r="AS32" s="38">
        <v>19730.27</v>
      </c>
      <c r="AT32" s="30">
        <v>29</v>
      </c>
      <c r="AU32" s="38" t="s">
        <v>63</v>
      </c>
      <c r="AV32" s="126">
        <v>24</v>
      </c>
      <c r="AW32" s="33">
        <f t="shared" si="9"/>
        <v>1237.0816666666667</v>
      </c>
      <c r="AX32" s="120">
        <v>29689.96</v>
      </c>
      <c r="AY32" s="30">
        <v>29</v>
      </c>
      <c r="AZ32" s="38" t="s">
        <v>72</v>
      </c>
      <c r="BA32" s="126">
        <v>26</v>
      </c>
      <c r="BB32" s="33">
        <f t="shared" si="10"/>
        <v>1456.4076923076923</v>
      </c>
      <c r="BC32" s="120">
        <v>37866.6</v>
      </c>
      <c r="BD32" s="30">
        <v>29</v>
      </c>
      <c r="BE32" s="38" t="s">
        <v>41</v>
      </c>
      <c r="BF32" s="126">
        <v>21</v>
      </c>
      <c r="BG32" s="33">
        <f t="shared" si="11"/>
        <v>1729.4590476190476</v>
      </c>
      <c r="BH32" s="120">
        <v>36318.639999999999</v>
      </c>
      <c r="BI32" s="30">
        <v>29</v>
      </c>
      <c r="BJ32" s="38" t="s">
        <v>46</v>
      </c>
      <c r="BK32" s="140">
        <v>234</v>
      </c>
      <c r="BL32" s="33">
        <f t="shared" si="13"/>
        <v>1497.5799572649573</v>
      </c>
      <c r="BM32" s="144">
        <v>350433.71</v>
      </c>
      <c r="BN32" s="111">
        <f t="shared" si="15"/>
        <v>4.5662100456621002E-3</v>
      </c>
    </row>
    <row r="33" spans="1:66" x14ac:dyDescent="0.35">
      <c r="A33" s="30">
        <v>30</v>
      </c>
      <c r="B33" s="38" t="s">
        <v>18</v>
      </c>
      <c r="C33" s="116">
        <v>30</v>
      </c>
      <c r="D33" s="33">
        <f t="shared" si="0"/>
        <v>1583.155</v>
      </c>
      <c r="E33" s="120">
        <v>47494.65</v>
      </c>
      <c r="F33" s="34">
        <v>30</v>
      </c>
      <c r="G33" s="31" t="s">
        <v>55</v>
      </c>
      <c r="H33" s="122">
        <v>18</v>
      </c>
      <c r="I33" s="33">
        <f t="shared" si="1"/>
        <v>1503.4483333333333</v>
      </c>
      <c r="J33" s="119">
        <v>27062.07</v>
      </c>
      <c r="K33" s="30">
        <v>30</v>
      </c>
      <c r="L33" s="31" t="s">
        <v>55</v>
      </c>
      <c r="M33" s="119">
        <v>15</v>
      </c>
      <c r="N33" s="33">
        <f t="shared" si="2"/>
        <v>1517.4713333333334</v>
      </c>
      <c r="O33" s="119">
        <v>22762.07</v>
      </c>
      <c r="P33" s="30">
        <v>30</v>
      </c>
      <c r="Q33" s="38" t="s">
        <v>56</v>
      </c>
      <c r="R33" s="120">
        <v>21</v>
      </c>
      <c r="S33" s="33">
        <f t="shared" si="3"/>
        <v>1165.032857142857</v>
      </c>
      <c r="T33" s="120">
        <v>24465.69</v>
      </c>
      <c r="U33" s="30">
        <v>30</v>
      </c>
      <c r="V33" s="38" t="s">
        <v>103</v>
      </c>
      <c r="W33" s="120">
        <v>14</v>
      </c>
      <c r="X33" s="33">
        <f t="shared" si="4"/>
        <v>1359.0157142857145</v>
      </c>
      <c r="Y33" s="120">
        <v>19026.22</v>
      </c>
      <c r="Z33" s="30">
        <v>30</v>
      </c>
      <c r="AA33" s="31" t="s">
        <v>62</v>
      </c>
      <c r="AB33" s="119">
        <v>14</v>
      </c>
      <c r="AC33" s="33">
        <f t="shared" si="5"/>
        <v>1264.4442857142858</v>
      </c>
      <c r="AD33" s="119">
        <v>17702.22</v>
      </c>
      <c r="AE33" s="30">
        <v>30</v>
      </c>
      <c r="AF33" s="38" t="s">
        <v>63</v>
      </c>
      <c r="AG33" s="126">
        <v>22</v>
      </c>
      <c r="AH33" s="33">
        <f t="shared" si="14"/>
        <v>1188.9954545454545</v>
      </c>
      <c r="AI33" s="120">
        <v>26157.9</v>
      </c>
      <c r="AJ33" s="30">
        <v>30</v>
      </c>
      <c r="AK33" s="38" t="s">
        <v>35</v>
      </c>
      <c r="AL33" s="126">
        <v>20</v>
      </c>
      <c r="AM33" s="33">
        <f t="shared" si="7"/>
        <v>1304.9445000000001</v>
      </c>
      <c r="AN33" s="120">
        <v>26098.89</v>
      </c>
      <c r="AO33" s="30">
        <v>30</v>
      </c>
      <c r="AP33" s="38" t="s">
        <v>47</v>
      </c>
      <c r="AQ33" s="2">
        <v>17</v>
      </c>
      <c r="AR33" s="33">
        <f t="shared" si="8"/>
        <v>1222.6235294117646</v>
      </c>
      <c r="AS33" s="38">
        <v>20784.599999999999</v>
      </c>
      <c r="AT33" s="30">
        <v>30</v>
      </c>
      <c r="AU33" s="38" t="s">
        <v>65</v>
      </c>
      <c r="AV33" s="126">
        <v>21</v>
      </c>
      <c r="AW33" s="33">
        <f t="shared" si="9"/>
        <v>1062.4842857142855</v>
      </c>
      <c r="AX33" s="120">
        <v>22312.17</v>
      </c>
      <c r="AY33" s="30">
        <v>30</v>
      </c>
      <c r="AZ33" s="38" t="s">
        <v>48</v>
      </c>
      <c r="BA33" s="126">
        <v>26</v>
      </c>
      <c r="BB33" s="33">
        <f t="shared" si="10"/>
        <v>1418.6103846153846</v>
      </c>
      <c r="BC33" s="120">
        <v>36883.870000000003</v>
      </c>
      <c r="BD33" s="30">
        <v>30</v>
      </c>
      <c r="BE33" s="38" t="s">
        <v>103</v>
      </c>
      <c r="BF33" s="126">
        <v>20</v>
      </c>
      <c r="BG33" s="33">
        <f t="shared" si="11"/>
        <v>1388.3184999999999</v>
      </c>
      <c r="BH33" s="120">
        <v>27766.37</v>
      </c>
      <c r="BI33" s="30">
        <v>30</v>
      </c>
      <c r="BJ33" s="38" t="s">
        <v>83</v>
      </c>
      <c r="BK33" s="140">
        <v>210</v>
      </c>
      <c r="BL33" s="33">
        <f t="shared" si="13"/>
        <v>1382.4468571428572</v>
      </c>
      <c r="BM33" s="144">
        <v>290313.84000000003</v>
      </c>
      <c r="BN33" s="111">
        <f t="shared" si="15"/>
        <v>3.9573820395738205E-3</v>
      </c>
    </row>
    <row r="34" spans="1:66" x14ac:dyDescent="0.35">
      <c r="A34" s="30">
        <v>31</v>
      </c>
      <c r="B34" s="38" t="s">
        <v>49</v>
      </c>
      <c r="C34" s="116">
        <v>29</v>
      </c>
      <c r="D34" s="33">
        <f t="shared" si="0"/>
        <v>1642.6044827586206</v>
      </c>
      <c r="E34" s="120">
        <v>47635.53</v>
      </c>
      <c r="F34" s="34">
        <v>31</v>
      </c>
      <c r="G34" s="38" t="s">
        <v>35</v>
      </c>
      <c r="H34" s="123">
        <v>18</v>
      </c>
      <c r="I34" s="33">
        <f t="shared" si="1"/>
        <v>1738.3661111111112</v>
      </c>
      <c r="J34" s="120">
        <v>31290.59</v>
      </c>
      <c r="K34" s="30">
        <v>31</v>
      </c>
      <c r="L34" s="38" t="s">
        <v>46</v>
      </c>
      <c r="M34" s="120">
        <v>13</v>
      </c>
      <c r="N34" s="33">
        <f t="shared" si="2"/>
        <v>1423.9015384615386</v>
      </c>
      <c r="O34" s="120">
        <v>18510.72</v>
      </c>
      <c r="P34" s="30">
        <v>31</v>
      </c>
      <c r="Q34" s="38" t="s">
        <v>52</v>
      </c>
      <c r="R34" s="120">
        <v>21</v>
      </c>
      <c r="S34" s="33">
        <f t="shared" si="3"/>
        <v>1404.4676190476191</v>
      </c>
      <c r="T34" s="120">
        <v>29493.82</v>
      </c>
      <c r="U34" s="30">
        <v>31</v>
      </c>
      <c r="V34" s="38" t="s">
        <v>46</v>
      </c>
      <c r="W34" s="120">
        <v>13</v>
      </c>
      <c r="X34" s="33">
        <f t="shared" si="4"/>
        <v>1332.8976923076921</v>
      </c>
      <c r="Y34" s="120">
        <v>17327.669999999998</v>
      </c>
      <c r="Z34" s="30">
        <v>31</v>
      </c>
      <c r="AA34" s="38" t="s">
        <v>28</v>
      </c>
      <c r="AB34" s="120">
        <v>14</v>
      </c>
      <c r="AC34" s="33">
        <f t="shared" si="5"/>
        <v>1145.132142857143</v>
      </c>
      <c r="AD34" s="120">
        <v>16031.85</v>
      </c>
      <c r="AE34" s="30">
        <v>31</v>
      </c>
      <c r="AF34" s="38" t="s">
        <v>65</v>
      </c>
      <c r="AG34" s="126">
        <v>22</v>
      </c>
      <c r="AH34" s="33">
        <f t="shared" si="14"/>
        <v>1248.9763636363637</v>
      </c>
      <c r="AI34" s="120">
        <v>27477.48</v>
      </c>
      <c r="AJ34" s="30">
        <v>31</v>
      </c>
      <c r="AK34" s="38" t="s">
        <v>46</v>
      </c>
      <c r="AL34" s="126">
        <v>19</v>
      </c>
      <c r="AM34" s="33">
        <f t="shared" si="7"/>
        <v>1117.4057894736841</v>
      </c>
      <c r="AN34" s="120">
        <v>21230.71</v>
      </c>
      <c r="AO34" s="30">
        <v>31</v>
      </c>
      <c r="AP34" s="31" t="s">
        <v>44</v>
      </c>
      <c r="AQ34" s="39">
        <v>16</v>
      </c>
      <c r="AR34" s="33">
        <f t="shared" si="8"/>
        <v>1264.32</v>
      </c>
      <c r="AS34" s="40">
        <v>20229.12</v>
      </c>
      <c r="AT34" s="30">
        <v>31</v>
      </c>
      <c r="AU34" s="38" t="s">
        <v>39</v>
      </c>
      <c r="AV34" s="126">
        <v>21</v>
      </c>
      <c r="AW34" s="33">
        <f t="shared" si="9"/>
        <v>1196.1442857142856</v>
      </c>
      <c r="AX34" s="120">
        <v>25119.03</v>
      </c>
      <c r="AY34" s="30">
        <v>31</v>
      </c>
      <c r="AZ34" s="38" t="s">
        <v>58</v>
      </c>
      <c r="BA34" s="126">
        <v>25</v>
      </c>
      <c r="BB34" s="33">
        <f t="shared" si="10"/>
        <v>1635.5448000000001</v>
      </c>
      <c r="BC34" s="120">
        <v>40888.620000000003</v>
      </c>
      <c r="BD34" s="30">
        <v>31</v>
      </c>
      <c r="BE34" s="31" t="s">
        <v>60</v>
      </c>
      <c r="BF34" s="131">
        <v>17</v>
      </c>
      <c r="BG34" s="33">
        <f t="shared" si="11"/>
        <v>2026.7947058823531</v>
      </c>
      <c r="BH34" s="134">
        <v>34455.51</v>
      </c>
      <c r="BI34" s="30">
        <v>31</v>
      </c>
      <c r="BJ34" s="38" t="s">
        <v>72</v>
      </c>
      <c r="BK34" s="141">
        <v>192</v>
      </c>
      <c r="BL34" s="33">
        <f t="shared" si="13"/>
        <v>1401.6119791666667</v>
      </c>
      <c r="BM34" s="144">
        <v>269109.5</v>
      </c>
      <c r="BN34" s="111">
        <f t="shared" si="15"/>
        <v>3.5514967021816335E-3</v>
      </c>
    </row>
    <row r="35" spans="1:66" x14ac:dyDescent="0.35">
      <c r="A35" s="30">
        <v>32</v>
      </c>
      <c r="B35" s="38" t="s">
        <v>48</v>
      </c>
      <c r="C35" s="116">
        <v>20</v>
      </c>
      <c r="D35" s="33">
        <f t="shared" ref="D35:D66" si="16">E35/C35</f>
        <v>1766.0915</v>
      </c>
      <c r="E35" s="120">
        <v>35321.83</v>
      </c>
      <c r="F35" s="34">
        <v>32</v>
      </c>
      <c r="G35" s="38" t="s">
        <v>42</v>
      </c>
      <c r="H35" s="123">
        <v>16</v>
      </c>
      <c r="I35" s="33">
        <f t="shared" ref="I35:I66" si="17">J35/H35</f>
        <v>1922.0181250000001</v>
      </c>
      <c r="J35" s="120">
        <v>30752.29</v>
      </c>
      <c r="K35" s="30">
        <v>32</v>
      </c>
      <c r="L35" s="38" t="s">
        <v>50</v>
      </c>
      <c r="M35" s="120">
        <v>13</v>
      </c>
      <c r="N35" s="33">
        <f t="shared" ref="N35:N66" si="18">O35/M35</f>
        <v>1650.9253846153845</v>
      </c>
      <c r="O35" s="120">
        <v>21462.03</v>
      </c>
      <c r="P35" s="30">
        <v>32</v>
      </c>
      <c r="Q35" s="38" t="s">
        <v>60</v>
      </c>
      <c r="R35" s="119">
        <v>19</v>
      </c>
      <c r="S35" s="33">
        <f t="shared" ref="S35:S66" si="19">T35/R35</f>
        <v>1275.2036842105263</v>
      </c>
      <c r="T35" s="119">
        <v>24228.87</v>
      </c>
      <c r="U35" s="30">
        <v>32</v>
      </c>
      <c r="V35" s="38" t="s">
        <v>28</v>
      </c>
      <c r="W35" s="120">
        <v>12</v>
      </c>
      <c r="X35" s="33">
        <f t="shared" si="4"/>
        <v>1225.2641666666666</v>
      </c>
      <c r="Y35" s="120">
        <v>14703.17</v>
      </c>
      <c r="Z35" s="30">
        <v>32</v>
      </c>
      <c r="AA35" s="31" t="s">
        <v>82</v>
      </c>
      <c r="AB35" s="119">
        <v>13</v>
      </c>
      <c r="AC35" s="33">
        <f t="shared" si="5"/>
        <v>1126.3084615384616</v>
      </c>
      <c r="AD35" s="119">
        <v>14642.01</v>
      </c>
      <c r="AE35" s="30">
        <v>32</v>
      </c>
      <c r="AF35" s="38" t="s">
        <v>41</v>
      </c>
      <c r="AG35" s="126">
        <v>18</v>
      </c>
      <c r="AH35" s="33">
        <f t="shared" si="14"/>
        <v>1242.1255555555554</v>
      </c>
      <c r="AI35" s="120">
        <v>22358.26</v>
      </c>
      <c r="AJ35" s="30">
        <v>32</v>
      </c>
      <c r="AK35" s="38" t="s">
        <v>127</v>
      </c>
      <c r="AL35" s="126">
        <v>17</v>
      </c>
      <c r="AM35" s="33">
        <f t="shared" si="7"/>
        <v>1205.444705882353</v>
      </c>
      <c r="AN35" s="120">
        <v>20492.560000000001</v>
      </c>
      <c r="AO35" s="30">
        <v>32</v>
      </c>
      <c r="AP35" s="31" t="s">
        <v>62</v>
      </c>
      <c r="AQ35" s="39">
        <v>16</v>
      </c>
      <c r="AR35" s="33">
        <f t="shared" si="8"/>
        <v>1122.9606249999999</v>
      </c>
      <c r="AS35" s="40">
        <v>17967.37</v>
      </c>
      <c r="AT35" s="30">
        <v>32</v>
      </c>
      <c r="AU35" s="38" t="s">
        <v>50</v>
      </c>
      <c r="AV35" s="126">
        <v>20</v>
      </c>
      <c r="AW35" s="33">
        <f t="shared" si="9"/>
        <v>1431.7170000000001</v>
      </c>
      <c r="AX35" s="120">
        <v>28634.34</v>
      </c>
      <c r="AY35" s="30">
        <v>32</v>
      </c>
      <c r="AZ35" s="31" t="s">
        <v>44</v>
      </c>
      <c r="BA35" s="132">
        <v>20</v>
      </c>
      <c r="BB35" s="33">
        <f t="shared" si="10"/>
        <v>1476.5125</v>
      </c>
      <c r="BC35" s="135">
        <v>29530.25</v>
      </c>
      <c r="BD35" s="30">
        <v>32</v>
      </c>
      <c r="BE35" s="31" t="s">
        <v>45</v>
      </c>
      <c r="BF35" s="131">
        <v>17</v>
      </c>
      <c r="BG35" s="33">
        <f t="shared" si="11"/>
        <v>2161.3752941176467</v>
      </c>
      <c r="BH35" s="134">
        <v>36743.379999999997</v>
      </c>
      <c r="BI35" s="30">
        <v>32</v>
      </c>
      <c r="BJ35" s="38" t="s">
        <v>28</v>
      </c>
      <c r="BK35" s="140">
        <v>184</v>
      </c>
      <c r="BL35" s="33">
        <f t="shared" si="13"/>
        <v>1451.7984239130433</v>
      </c>
      <c r="BM35" s="144">
        <v>267130.90999999997</v>
      </c>
      <c r="BN35" s="111">
        <f t="shared" si="15"/>
        <v>3.2470826991374937E-3</v>
      </c>
    </row>
    <row r="36" spans="1:66" x14ac:dyDescent="0.35">
      <c r="A36" s="30">
        <v>33</v>
      </c>
      <c r="B36" s="38" t="s">
        <v>46</v>
      </c>
      <c r="C36" s="116">
        <v>19</v>
      </c>
      <c r="D36" s="33">
        <f t="shared" si="16"/>
        <v>2215.0089473684211</v>
      </c>
      <c r="E36" s="120">
        <v>42085.17</v>
      </c>
      <c r="F36" s="34">
        <v>33</v>
      </c>
      <c r="G36" s="38" t="s">
        <v>56</v>
      </c>
      <c r="H36" s="123">
        <v>14</v>
      </c>
      <c r="I36" s="33">
        <f t="shared" si="17"/>
        <v>1554.7250000000001</v>
      </c>
      <c r="J36" s="120">
        <v>21766.15</v>
      </c>
      <c r="K36" s="30">
        <v>33</v>
      </c>
      <c r="L36" s="38" t="s">
        <v>28</v>
      </c>
      <c r="M36" s="120">
        <v>12</v>
      </c>
      <c r="N36" s="33">
        <f t="shared" si="18"/>
        <v>1274.4750000000001</v>
      </c>
      <c r="O36" s="120">
        <v>15293.7</v>
      </c>
      <c r="P36" s="30">
        <v>33</v>
      </c>
      <c r="Q36" s="31" t="s">
        <v>67</v>
      </c>
      <c r="R36" s="119">
        <v>18</v>
      </c>
      <c r="S36" s="33">
        <f t="shared" si="19"/>
        <v>1219.5872222222222</v>
      </c>
      <c r="T36" s="119">
        <v>21952.57</v>
      </c>
      <c r="U36" s="30">
        <v>33</v>
      </c>
      <c r="V36" s="31" t="s">
        <v>82</v>
      </c>
      <c r="W36" s="119">
        <v>10</v>
      </c>
      <c r="X36" s="33">
        <f t="shared" si="4"/>
        <v>1147.5709999999999</v>
      </c>
      <c r="Y36" s="119">
        <v>11475.71</v>
      </c>
      <c r="Z36" s="30">
        <v>33</v>
      </c>
      <c r="AA36" s="31" t="s">
        <v>26</v>
      </c>
      <c r="AB36" s="119">
        <v>13</v>
      </c>
      <c r="AC36" s="33">
        <f t="shared" si="5"/>
        <v>1290.4607692307693</v>
      </c>
      <c r="AD36" s="119">
        <v>16775.990000000002</v>
      </c>
      <c r="AE36" s="30">
        <v>33</v>
      </c>
      <c r="AF36" s="38" t="s">
        <v>42</v>
      </c>
      <c r="AG36" s="126">
        <v>18</v>
      </c>
      <c r="AH36" s="33">
        <f t="shared" si="14"/>
        <v>1435.9272222222221</v>
      </c>
      <c r="AI36" s="120">
        <v>25846.69</v>
      </c>
      <c r="AJ36" s="30">
        <v>33</v>
      </c>
      <c r="AK36" s="38" t="s">
        <v>83</v>
      </c>
      <c r="AL36" s="126">
        <v>15</v>
      </c>
      <c r="AM36" s="33">
        <f t="shared" si="7"/>
        <v>1304.7860000000001</v>
      </c>
      <c r="AN36" s="120">
        <v>19571.79</v>
      </c>
      <c r="AO36" s="30">
        <v>33</v>
      </c>
      <c r="AP36" s="38" t="s">
        <v>96</v>
      </c>
      <c r="AQ36" s="2">
        <v>16</v>
      </c>
      <c r="AR36" s="33">
        <f t="shared" si="8"/>
        <v>1101.6400000000001</v>
      </c>
      <c r="AS36" s="38">
        <v>17626.240000000002</v>
      </c>
      <c r="AT36" s="30">
        <v>33</v>
      </c>
      <c r="AU36" s="38" t="s">
        <v>43</v>
      </c>
      <c r="AV36" s="126">
        <v>15</v>
      </c>
      <c r="AW36" s="33">
        <f t="shared" si="9"/>
        <v>1163.9006666666667</v>
      </c>
      <c r="AX36" s="120">
        <v>17458.509999999998</v>
      </c>
      <c r="AY36" s="30">
        <v>33</v>
      </c>
      <c r="AZ36" s="38" t="s">
        <v>50</v>
      </c>
      <c r="BA36" s="126">
        <v>20</v>
      </c>
      <c r="BB36" s="33">
        <f t="shared" si="10"/>
        <v>1446.7774999999999</v>
      </c>
      <c r="BC36" s="120">
        <v>28935.55</v>
      </c>
      <c r="BD36" s="30">
        <v>33</v>
      </c>
      <c r="BE36" s="38" t="s">
        <v>28</v>
      </c>
      <c r="BF36" s="126">
        <v>17</v>
      </c>
      <c r="BG36" s="33">
        <f t="shared" si="11"/>
        <v>1728.7582352941176</v>
      </c>
      <c r="BH36" s="120">
        <v>29388.89</v>
      </c>
      <c r="BI36" s="30">
        <v>33</v>
      </c>
      <c r="BJ36" s="38" t="s">
        <v>42</v>
      </c>
      <c r="BK36" s="140">
        <v>183</v>
      </c>
      <c r="BL36" s="33">
        <f t="shared" si="13"/>
        <v>1373.4364480874317</v>
      </c>
      <c r="BM36" s="144">
        <v>251338.87</v>
      </c>
      <c r="BN36" s="111">
        <f t="shared" si="15"/>
        <v>3.1117875866734316E-3</v>
      </c>
    </row>
    <row r="37" spans="1:66" x14ac:dyDescent="0.35">
      <c r="A37" s="30">
        <v>34</v>
      </c>
      <c r="B37" s="31" t="s">
        <v>55</v>
      </c>
      <c r="C37" s="115">
        <v>18</v>
      </c>
      <c r="D37" s="33">
        <f t="shared" si="16"/>
        <v>1862.9761111111111</v>
      </c>
      <c r="E37" s="119">
        <v>33533.57</v>
      </c>
      <c r="F37" s="34">
        <v>34</v>
      </c>
      <c r="G37" s="38" t="s">
        <v>48</v>
      </c>
      <c r="H37" s="123">
        <v>14</v>
      </c>
      <c r="I37" s="33">
        <f t="shared" si="17"/>
        <v>1450.6264285714285</v>
      </c>
      <c r="J37" s="120">
        <v>20308.77</v>
      </c>
      <c r="K37" s="30">
        <v>34</v>
      </c>
      <c r="L37" s="38" t="s">
        <v>18</v>
      </c>
      <c r="M37" s="120">
        <v>12</v>
      </c>
      <c r="N37" s="33">
        <f t="shared" si="18"/>
        <v>1219.0358333333334</v>
      </c>
      <c r="O37" s="120">
        <v>14628.43</v>
      </c>
      <c r="P37" s="30">
        <v>34</v>
      </c>
      <c r="Q37" s="38" t="s">
        <v>34</v>
      </c>
      <c r="R37" s="120">
        <v>18</v>
      </c>
      <c r="S37" s="33">
        <f t="shared" si="19"/>
        <v>1381.7911111111111</v>
      </c>
      <c r="T37" s="120">
        <v>24872.240000000002</v>
      </c>
      <c r="U37" s="30">
        <v>34</v>
      </c>
      <c r="V37" s="38" t="s">
        <v>43</v>
      </c>
      <c r="W37" s="120">
        <v>10</v>
      </c>
      <c r="X37" s="33">
        <f t="shared" si="4"/>
        <v>1359.53</v>
      </c>
      <c r="Y37" s="120">
        <v>13595.3</v>
      </c>
      <c r="Z37" s="30">
        <v>34</v>
      </c>
      <c r="AA37" s="38" t="s">
        <v>72</v>
      </c>
      <c r="AB37" s="120">
        <v>11</v>
      </c>
      <c r="AC37" s="33">
        <f t="shared" si="5"/>
        <v>1304.8645454545456</v>
      </c>
      <c r="AD37" s="120">
        <v>14353.51</v>
      </c>
      <c r="AE37" s="30">
        <v>34</v>
      </c>
      <c r="AF37" s="38" t="s">
        <v>48</v>
      </c>
      <c r="AG37" s="126">
        <v>15</v>
      </c>
      <c r="AH37" s="33">
        <f t="shared" si="14"/>
        <v>1304.4399999999998</v>
      </c>
      <c r="AI37" s="120">
        <v>19566.599999999999</v>
      </c>
      <c r="AJ37" s="30">
        <v>34</v>
      </c>
      <c r="AK37" s="38" t="s">
        <v>41</v>
      </c>
      <c r="AL37" s="126">
        <v>15</v>
      </c>
      <c r="AM37" s="33">
        <f t="shared" si="7"/>
        <v>1370.7553333333335</v>
      </c>
      <c r="AN37" s="120">
        <v>20561.330000000002</v>
      </c>
      <c r="AO37" s="30">
        <v>34</v>
      </c>
      <c r="AP37" s="38" t="s">
        <v>39</v>
      </c>
      <c r="AQ37" s="2">
        <v>16</v>
      </c>
      <c r="AR37" s="33">
        <f t="shared" si="8"/>
        <v>1034.378125</v>
      </c>
      <c r="AS37" s="38">
        <v>16550.05</v>
      </c>
      <c r="AT37" s="30">
        <v>34</v>
      </c>
      <c r="AU37" s="38" t="s">
        <v>41</v>
      </c>
      <c r="AV37" s="126">
        <v>13</v>
      </c>
      <c r="AW37" s="33">
        <f t="shared" si="9"/>
        <v>1278.206923076923</v>
      </c>
      <c r="AX37" s="120">
        <v>16616.689999999999</v>
      </c>
      <c r="AY37" s="30">
        <v>34</v>
      </c>
      <c r="AZ37" s="38" t="s">
        <v>46</v>
      </c>
      <c r="BA37" s="126">
        <v>19</v>
      </c>
      <c r="BB37" s="33">
        <f t="shared" si="10"/>
        <v>1396.0289473684211</v>
      </c>
      <c r="BC37" s="120">
        <v>26524.55</v>
      </c>
      <c r="BD37" s="30">
        <v>34</v>
      </c>
      <c r="BE37" s="38" t="s">
        <v>89</v>
      </c>
      <c r="BF37" s="126">
        <v>17</v>
      </c>
      <c r="BG37" s="33">
        <f t="shared" si="11"/>
        <v>2533.9841176470591</v>
      </c>
      <c r="BH37" s="120">
        <v>43077.73</v>
      </c>
      <c r="BI37" s="30">
        <v>34</v>
      </c>
      <c r="BJ37" s="31" t="s">
        <v>54</v>
      </c>
      <c r="BK37" s="141">
        <v>167</v>
      </c>
      <c r="BL37" s="33">
        <f t="shared" si="13"/>
        <v>1282.1405988023953</v>
      </c>
      <c r="BM37" s="119">
        <v>214117.48</v>
      </c>
      <c r="BN37" s="111">
        <f t="shared" si="15"/>
        <v>3.0948756976154237E-3</v>
      </c>
    </row>
    <row r="38" spans="1:66" x14ac:dyDescent="0.35">
      <c r="A38" s="30">
        <v>35</v>
      </c>
      <c r="B38" s="38" t="s">
        <v>83</v>
      </c>
      <c r="C38" s="116">
        <v>18</v>
      </c>
      <c r="D38" s="33">
        <f t="shared" si="16"/>
        <v>1437.2377777777776</v>
      </c>
      <c r="E38" s="120">
        <v>25870.28</v>
      </c>
      <c r="F38" s="34">
        <v>35</v>
      </c>
      <c r="G38" s="38" t="s">
        <v>46</v>
      </c>
      <c r="H38" s="123">
        <v>13</v>
      </c>
      <c r="I38" s="33">
        <f t="shared" si="17"/>
        <v>1744.3953846153845</v>
      </c>
      <c r="J38" s="120">
        <v>22677.14</v>
      </c>
      <c r="K38" s="30">
        <v>35</v>
      </c>
      <c r="L38" s="31" t="s">
        <v>44</v>
      </c>
      <c r="M38" s="119">
        <v>11</v>
      </c>
      <c r="N38" s="33">
        <f t="shared" si="18"/>
        <v>1545.0845454545454</v>
      </c>
      <c r="O38" s="119">
        <v>16995.93</v>
      </c>
      <c r="P38" s="30">
        <v>35</v>
      </c>
      <c r="Q38" s="38" t="s">
        <v>50</v>
      </c>
      <c r="R38" s="120">
        <v>18</v>
      </c>
      <c r="S38" s="33">
        <f t="shared" si="19"/>
        <v>1348.8944444444444</v>
      </c>
      <c r="T38" s="120">
        <v>24280.1</v>
      </c>
      <c r="U38" s="30">
        <v>35</v>
      </c>
      <c r="V38" s="38" t="s">
        <v>88</v>
      </c>
      <c r="W38" s="119">
        <v>9</v>
      </c>
      <c r="X38" s="33">
        <f t="shared" si="4"/>
        <v>1227.5899999999999</v>
      </c>
      <c r="Y38" s="119">
        <v>11048.31</v>
      </c>
      <c r="Z38" s="30">
        <v>35</v>
      </c>
      <c r="AA38" s="38" t="s">
        <v>49</v>
      </c>
      <c r="AB38" s="120">
        <v>11</v>
      </c>
      <c r="AC38" s="33">
        <f t="shared" si="5"/>
        <v>1242.0490909090911</v>
      </c>
      <c r="AD38" s="120">
        <v>13662.54</v>
      </c>
      <c r="AE38" s="30">
        <v>35</v>
      </c>
      <c r="AF38" s="38" t="s">
        <v>91</v>
      </c>
      <c r="AG38" s="126">
        <v>14</v>
      </c>
      <c r="AH38" s="33">
        <f t="shared" si="14"/>
        <v>963.3257142857143</v>
      </c>
      <c r="AI38" s="120">
        <v>13486.56</v>
      </c>
      <c r="AJ38" s="30">
        <v>35</v>
      </c>
      <c r="AK38" s="38" t="s">
        <v>72</v>
      </c>
      <c r="AL38" s="126">
        <v>12</v>
      </c>
      <c r="AM38" s="33">
        <f t="shared" si="7"/>
        <v>1179.2183333333335</v>
      </c>
      <c r="AN38" s="120">
        <v>14150.62</v>
      </c>
      <c r="AO38" s="30">
        <v>35</v>
      </c>
      <c r="AP38" s="31" t="s">
        <v>54</v>
      </c>
      <c r="AQ38" s="39">
        <v>13</v>
      </c>
      <c r="AR38" s="33">
        <f t="shared" si="8"/>
        <v>1167.53</v>
      </c>
      <c r="AS38" s="40">
        <v>15177.89</v>
      </c>
      <c r="AT38" s="30">
        <v>35</v>
      </c>
      <c r="AU38" s="31" t="s">
        <v>45</v>
      </c>
      <c r="AV38" s="131">
        <v>12</v>
      </c>
      <c r="AW38" s="33">
        <f t="shared" si="9"/>
        <v>943.07</v>
      </c>
      <c r="AX38" s="134">
        <v>11316.84</v>
      </c>
      <c r="AY38" s="30">
        <v>35</v>
      </c>
      <c r="AZ38" s="38" t="s">
        <v>49</v>
      </c>
      <c r="BA38" s="126">
        <v>19</v>
      </c>
      <c r="BB38" s="33">
        <f t="shared" si="10"/>
        <v>1646.88</v>
      </c>
      <c r="BC38" s="120">
        <v>31290.720000000001</v>
      </c>
      <c r="BD38" s="30">
        <v>35</v>
      </c>
      <c r="BE38" s="31" t="s">
        <v>79</v>
      </c>
      <c r="BF38" s="132">
        <v>16</v>
      </c>
      <c r="BG38" s="33">
        <f t="shared" si="11"/>
        <v>2177.38375</v>
      </c>
      <c r="BH38" s="135">
        <v>34838.14</v>
      </c>
      <c r="BI38" s="30">
        <v>35</v>
      </c>
      <c r="BJ38" s="38" t="s">
        <v>44</v>
      </c>
      <c r="BK38" s="141">
        <v>148</v>
      </c>
      <c r="BL38" s="33">
        <f t="shared" si="13"/>
        <v>1393.5071621621621</v>
      </c>
      <c r="BM38" s="144">
        <v>206239.06</v>
      </c>
      <c r="BN38" s="111">
        <f t="shared" si="15"/>
        <v>2.8242854726872992E-3</v>
      </c>
    </row>
    <row r="39" spans="1:66" x14ac:dyDescent="0.35">
      <c r="A39" s="30">
        <v>36</v>
      </c>
      <c r="B39" s="31" t="s">
        <v>54</v>
      </c>
      <c r="C39" s="115">
        <v>15</v>
      </c>
      <c r="D39" s="33">
        <f t="shared" si="16"/>
        <v>1598.0839999999998</v>
      </c>
      <c r="E39" s="119">
        <v>23971.26</v>
      </c>
      <c r="F39" s="34">
        <v>36</v>
      </c>
      <c r="G39" s="38" t="s">
        <v>91</v>
      </c>
      <c r="H39" s="123">
        <v>12</v>
      </c>
      <c r="I39" s="33">
        <f t="shared" si="17"/>
        <v>1692.0200000000002</v>
      </c>
      <c r="J39" s="120">
        <v>20304.240000000002</v>
      </c>
      <c r="K39" s="30">
        <v>36</v>
      </c>
      <c r="L39" s="38" t="s">
        <v>72</v>
      </c>
      <c r="M39" s="120">
        <v>11</v>
      </c>
      <c r="N39" s="33">
        <f t="shared" si="18"/>
        <v>1532.7009090909089</v>
      </c>
      <c r="O39" s="120">
        <v>16859.71</v>
      </c>
      <c r="P39" s="30">
        <v>36</v>
      </c>
      <c r="Q39" s="38" t="s">
        <v>46</v>
      </c>
      <c r="R39" s="120">
        <v>17</v>
      </c>
      <c r="S39" s="33">
        <f t="shared" si="19"/>
        <v>1442.9252941176471</v>
      </c>
      <c r="T39" s="120">
        <v>24529.73</v>
      </c>
      <c r="U39" s="30">
        <v>36</v>
      </c>
      <c r="V39" s="38" t="s">
        <v>60</v>
      </c>
      <c r="W39" s="119">
        <v>8</v>
      </c>
      <c r="X39" s="33">
        <f t="shared" si="4"/>
        <v>1266.25</v>
      </c>
      <c r="Y39" s="119">
        <v>10130</v>
      </c>
      <c r="Z39" s="30">
        <v>36</v>
      </c>
      <c r="AA39" s="31" t="s">
        <v>98</v>
      </c>
      <c r="AB39" s="119">
        <v>10</v>
      </c>
      <c r="AC39" s="33">
        <f t="shared" si="5"/>
        <v>1318.452</v>
      </c>
      <c r="AD39" s="119">
        <v>13184.52</v>
      </c>
      <c r="AE39" s="30">
        <v>36</v>
      </c>
      <c r="AF39" s="38" t="s">
        <v>50</v>
      </c>
      <c r="AG39" s="126">
        <v>12</v>
      </c>
      <c r="AH39" s="33">
        <f t="shared" si="14"/>
        <v>1247.1258333333333</v>
      </c>
      <c r="AI39" s="120">
        <v>14965.51</v>
      </c>
      <c r="AJ39" s="30">
        <v>36</v>
      </c>
      <c r="AK39" s="38" t="s">
        <v>63</v>
      </c>
      <c r="AL39" s="126">
        <v>12</v>
      </c>
      <c r="AM39" s="33">
        <f t="shared" si="7"/>
        <v>1127.2758333333334</v>
      </c>
      <c r="AN39" s="120">
        <v>13527.31</v>
      </c>
      <c r="AO39" s="30">
        <v>36</v>
      </c>
      <c r="AP39" s="31" t="s">
        <v>86</v>
      </c>
      <c r="AQ39" s="39">
        <v>13</v>
      </c>
      <c r="AR39" s="33">
        <f t="shared" si="8"/>
        <v>967.45384615384614</v>
      </c>
      <c r="AS39" s="40">
        <v>12576.9</v>
      </c>
      <c r="AT39" s="30">
        <v>36</v>
      </c>
      <c r="AU39" s="31" t="s">
        <v>54</v>
      </c>
      <c r="AV39" s="131">
        <v>10</v>
      </c>
      <c r="AW39" s="33">
        <f t="shared" si="9"/>
        <v>1359.396</v>
      </c>
      <c r="AX39" s="134">
        <v>13593.96</v>
      </c>
      <c r="AY39" s="30">
        <v>36</v>
      </c>
      <c r="AZ39" s="31" t="s">
        <v>68</v>
      </c>
      <c r="BA39" s="131">
        <v>18</v>
      </c>
      <c r="BB39" s="33">
        <f t="shared" si="10"/>
        <v>1667.3011111111109</v>
      </c>
      <c r="BC39" s="134">
        <v>30011.42</v>
      </c>
      <c r="BD39" s="30">
        <v>36</v>
      </c>
      <c r="BE39" s="31" t="s">
        <v>86</v>
      </c>
      <c r="BF39" s="131">
        <v>16</v>
      </c>
      <c r="BG39" s="33">
        <f t="shared" si="11"/>
        <v>1539.82</v>
      </c>
      <c r="BH39" s="134">
        <v>24637.119999999999</v>
      </c>
      <c r="BI39" s="30">
        <v>36</v>
      </c>
      <c r="BJ39" s="31" t="s">
        <v>60</v>
      </c>
      <c r="BK39" s="141">
        <v>145</v>
      </c>
      <c r="BL39" s="33">
        <f t="shared" si="13"/>
        <v>1553.6211034482758</v>
      </c>
      <c r="BM39" s="119">
        <v>225275.06</v>
      </c>
      <c r="BN39" s="111">
        <f t="shared" si="15"/>
        <v>2.5029595805851515E-3</v>
      </c>
    </row>
    <row r="40" spans="1:66" x14ac:dyDescent="0.35">
      <c r="A40" s="30">
        <v>37</v>
      </c>
      <c r="B40" s="38" t="s">
        <v>77</v>
      </c>
      <c r="C40" s="115">
        <v>14</v>
      </c>
      <c r="D40" s="33">
        <f t="shared" si="16"/>
        <v>2054.9649999999997</v>
      </c>
      <c r="E40" s="119">
        <v>28769.51</v>
      </c>
      <c r="F40" s="34">
        <v>37</v>
      </c>
      <c r="G40" s="38" t="s">
        <v>49</v>
      </c>
      <c r="H40" s="123">
        <v>12</v>
      </c>
      <c r="I40" s="33">
        <f t="shared" si="17"/>
        <v>1736.0891666666666</v>
      </c>
      <c r="J40" s="120">
        <v>20833.07</v>
      </c>
      <c r="K40" s="30">
        <v>37</v>
      </c>
      <c r="L40" s="38" t="s">
        <v>66</v>
      </c>
      <c r="M40" s="120">
        <v>10</v>
      </c>
      <c r="N40" s="33">
        <f t="shared" si="18"/>
        <v>1207.826</v>
      </c>
      <c r="O40" s="120">
        <v>12078.26</v>
      </c>
      <c r="P40" s="30">
        <v>37</v>
      </c>
      <c r="Q40" s="38" t="s">
        <v>72</v>
      </c>
      <c r="R40" s="120">
        <v>16</v>
      </c>
      <c r="S40" s="33">
        <f t="shared" si="19"/>
        <v>1218.464375</v>
      </c>
      <c r="T40" s="120">
        <v>19495.43</v>
      </c>
      <c r="U40" s="30">
        <v>37</v>
      </c>
      <c r="V40" s="31" t="s">
        <v>44</v>
      </c>
      <c r="W40" s="119">
        <v>8</v>
      </c>
      <c r="X40" s="33">
        <f t="shared" si="4"/>
        <v>1250.0675000000001</v>
      </c>
      <c r="Y40" s="119">
        <v>10000.540000000001</v>
      </c>
      <c r="Z40" s="30">
        <v>37</v>
      </c>
      <c r="AA40" s="38" t="s">
        <v>63</v>
      </c>
      <c r="AB40" s="120">
        <v>10</v>
      </c>
      <c r="AC40" s="33">
        <f t="shared" si="5"/>
        <v>1159.116</v>
      </c>
      <c r="AD40" s="120">
        <v>11591.16</v>
      </c>
      <c r="AE40" s="30">
        <v>37</v>
      </c>
      <c r="AF40" s="31" t="s">
        <v>60</v>
      </c>
      <c r="AG40" s="131">
        <v>10</v>
      </c>
      <c r="AH40" s="33">
        <f t="shared" si="14"/>
        <v>1337.701</v>
      </c>
      <c r="AI40" s="134">
        <v>13377.01</v>
      </c>
      <c r="AJ40" s="30">
        <v>37</v>
      </c>
      <c r="AK40" s="38" t="s">
        <v>28</v>
      </c>
      <c r="AL40" s="126">
        <v>12</v>
      </c>
      <c r="AM40" s="33">
        <f t="shared" si="7"/>
        <v>1156.3441666666665</v>
      </c>
      <c r="AN40" s="120">
        <v>13876.13</v>
      </c>
      <c r="AO40" s="30">
        <v>37</v>
      </c>
      <c r="AP40" s="38" t="s">
        <v>51</v>
      </c>
      <c r="AQ40" s="39">
        <v>11</v>
      </c>
      <c r="AR40" s="33">
        <f t="shared" si="8"/>
        <v>1591.6245454545453</v>
      </c>
      <c r="AS40" s="38">
        <v>17507.87</v>
      </c>
      <c r="AT40" s="30">
        <v>37</v>
      </c>
      <c r="AU40" s="31" t="s">
        <v>68</v>
      </c>
      <c r="AV40" s="131">
        <v>9</v>
      </c>
      <c r="AW40" s="33">
        <f t="shared" si="9"/>
        <v>1613.5177777777778</v>
      </c>
      <c r="AX40" s="134">
        <v>14521.66</v>
      </c>
      <c r="AY40" s="30">
        <v>37</v>
      </c>
      <c r="AZ40" s="38" t="s">
        <v>55</v>
      </c>
      <c r="BA40" s="126">
        <v>12</v>
      </c>
      <c r="BB40" s="33">
        <f t="shared" si="10"/>
        <v>1658.4458333333332</v>
      </c>
      <c r="BC40" s="120">
        <v>19901.349999999999</v>
      </c>
      <c r="BD40" s="30">
        <v>37</v>
      </c>
      <c r="BE40" s="38" t="s">
        <v>55</v>
      </c>
      <c r="BF40" s="126">
        <v>15</v>
      </c>
      <c r="BG40" s="33">
        <f t="shared" si="11"/>
        <v>1914.3033333333333</v>
      </c>
      <c r="BH40" s="120">
        <v>28714.55</v>
      </c>
      <c r="BI40" s="30">
        <v>37</v>
      </c>
      <c r="BJ40" s="38" t="s">
        <v>58</v>
      </c>
      <c r="BK40" s="140">
        <v>143</v>
      </c>
      <c r="BL40" s="33">
        <f t="shared" si="13"/>
        <v>1440.7786013986013</v>
      </c>
      <c r="BM40" s="144">
        <v>206031.34</v>
      </c>
      <c r="BN40" s="111">
        <f t="shared" si="15"/>
        <v>2.4522239134111279E-3</v>
      </c>
    </row>
    <row r="41" spans="1:66" x14ac:dyDescent="0.35">
      <c r="A41" s="30">
        <v>38</v>
      </c>
      <c r="B41" s="31" t="s">
        <v>68</v>
      </c>
      <c r="C41" s="115">
        <v>13</v>
      </c>
      <c r="D41" s="33">
        <f t="shared" si="16"/>
        <v>1863.7576923076922</v>
      </c>
      <c r="E41" s="119">
        <v>24228.85</v>
      </c>
      <c r="F41" s="34">
        <v>38</v>
      </c>
      <c r="G41" s="38" t="s">
        <v>18</v>
      </c>
      <c r="H41" s="123">
        <v>12</v>
      </c>
      <c r="I41" s="33">
        <f t="shared" si="17"/>
        <v>1640.1674999999998</v>
      </c>
      <c r="J41" s="120">
        <v>19682.009999999998</v>
      </c>
      <c r="K41" s="30">
        <v>38</v>
      </c>
      <c r="L41" s="38" t="s">
        <v>56</v>
      </c>
      <c r="M41" s="120">
        <v>10</v>
      </c>
      <c r="N41" s="33">
        <f t="shared" si="18"/>
        <v>1527.623</v>
      </c>
      <c r="O41" s="120">
        <v>15276.23</v>
      </c>
      <c r="P41" s="30">
        <v>38</v>
      </c>
      <c r="Q41" s="38" t="s">
        <v>83</v>
      </c>
      <c r="R41" s="120">
        <v>16</v>
      </c>
      <c r="S41" s="33">
        <f t="shared" si="19"/>
        <v>1258.845</v>
      </c>
      <c r="T41" s="120">
        <v>20141.52</v>
      </c>
      <c r="U41" s="30">
        <v>38</v>
      </c>
      <c r="V41" s="38" t="s">
        <v>86</v>
      </c>
      <c r="W41" s="119">
        <v>8</v>
      </c>
      <c r="X41" s="33">
        <f t="shared" si="4"/>
        <v>1093.70625</v>
      </c>
      <c r="Y41" s="119">
        <v>8749.65</v>
      </c>
      <c r="Z41" s="30">
        <v>38</v>
      </c>
      <c r="AA41" s="38" t="s">
        <v>56</v>
      </c>
      <c r="AB41" s="120">
        <v>10</v>
      </c>
      <c r="AC41" s="33">
        <f t="shared" si="5"/>
        <v>1247.1680000000001</v>
      </c>
      <c r="AD41" s="120">
        <v>12471.68</v>
      </c>
      <c r="AE41" s="30">
        <v>38</v>
      </c>
      <c r="AF41" s="31" t="s">
        <v>67</v>
      </c>
      <c r="AG41" s="131">
        <v>10</v>
      </c>
      <c r="AH41" s="33">
        <f t="shared" si="14"/>
        <v>1328.9580000000001</v>
      </c>
      <c r="AI41" s="134">
        <v>13289.58</v>
      </c>
      <c r="AJ41" s="30">
        <v>38</v>
      </c>
      <c r="AK41" s="38" t="s">
        <v>68</v>
      </c>
      <c r="AL41" s="126">
        <v>10</v>
      </c>
      <c r="AM41" s="33">
        <f t="shared" si="7"/>
        <v>1487.6290000000001</v>
      </c>
      <c r="AN41" s="120">
        <v>14876.29</v>
      </c>
      <c r="AO41" s="30">
        <v>38</v>
      </c>
      <c r="AP41" s="38" t="s">
        <v>42</v>
      </c>
      <c r="AQ41" s="2">
        <v>11</v>
      </c>
      <c r="AR41" s="33">
        <f t="shared" si="8"/>
        <v>1347.5336363636363</v>
      </c>
      <c r="AS41" s="38">
        <v>14822.87</v>
      </c>
      <c r="AT41" s="30">
        <v>38</v>
      </c>
      <c r="AU41" s="38" t="s">
        <v>77</v>
      </c>
      <c r="AV41" s="126">
        <v>9</v>
      </c>
      <c r="AW41" s="33">
        <f t="shared" si="9"/>
        <v>1505.9399999999998</v>
      </c>
      <c r="AX41" s="120">
        <v>13553.46</v>
      </c>
      <c r="AY41" s="30">
        <v>38</v>
      </c>
      <c r="AZ41" s="38" t="s">
        <v>66</v>
      </c>
      <c r="BA41" s="126">
        <v>11</v>
      </c>
      <c r="BB41" s="33">
        <f t="shared" si="10"/>
        <v>1645.26</v>
      </c>
      <c r="BC41" s="120">
        <v>18097.86</v>
      </c>
      <c r="BD41" s="30">
        <v>38</v>
      </c>
      <c r="BE41" s="38" t="s">
        <v>96</v>
      </c>
      <c r="BF41" s="126">
        <v>15</v>
      </c>
      <c r="BG41" s="33">
        <f t="shared" si="11"/>
        <v>1563.4486666666667</v>
      </c>
      <c r="BH41" s="120">
        <v>23451.73</v>
      </c>
      <c r="BI41" s="30">
        <v>38</v>
      </c>
      <c r="BJ41" s="38" t="s">
        <v>125</v>
      </c>
      <c r="BK41" s="141">
        <v>139</v>
      </c>
      <c r="BL41" s="33">
        <f t="shared" si="13"/>
        <v>1389.074748201439</v>
      </c>
      <c r="BM41" s="144">
        <v>193081.39</v>
      </c>
      <c r="BN41" s="111">
        <f t="shared" si="15"/>
        <v>2.4184001352951126E-3</v>
      </c>
    </row>
    <row r="42" spans="1:66" x14ac:dyDescent="0.35">
      <c r="A42" s="30">
        <v>39</v>
      </c>
      <c r="B42" s="38" t="s">
        <v>60</v>
      </c>
      <c r="C42" s="115">
        <v>12</v>
      </c>
      <c r="D42" s="33">
        <f t="shared" si="16"/>
        <v>1685.5574999999999</v>
      </c>
      <c r="E42" s="119">
        <v>20226.689999999999</v>
      </c>
      <c r="F42" s="34">
        <v>39</v>
      </c>
      <c r="G42" s="38" t="s">
        <v>47</v>
      </c>
      <c r="H42" s="123">
        <v>12</v>
      </c>
      <c r="I42" s="33">
        <f t="shared" si="17"/>
        <v>1655.75</v>
      </c>
      <c r="J42" s="120">
        <v>19869</v>
      </c>
      <c r="K42" s="30">
        <v>39</v>
      </c>
      <c r="L42" s="38" t="s">
        <v>133</v>
      </c>
      <c r="M42" s="120">
        <v>10</v>
      </c>
      <c r="N42" s="33">
        <f t="shared" si="18"/>
        <v>1465.6110000000001</v>
      </c>
      <c r="O42" s="120">
        <v>14656.11</v>
      </c>
      <c r="P42" s="30">
        <v>39</v>
      </c>
      <c r="Q42" s="31" t="s">
        <v>68</v>
      </c>
      <c r="R42" s="119">
        <v>15</v>
      </c>
      <c r="S42" s="33">
        <f t="shared" si="19"/>
        <v>1493.9353333333333</v>
      </c>
      <c r="T42" s="119">
        <v>22409.03</v>
      </c>
      <c r="U42" s="30">
        <v>39</v>
      </c>
      <c r="V42" s="31" t="s">
        <v>55</v>
      </c>
      <c r="W42" s="119">
        <v>8</v>
      </c>
      <c r="X42" s="33">
        <f t="shared" si="4"/>
        <v>1147.635</v>
      </c>
      <c r="Y42" s="119">
        <v>9181.08</v>
      </c>
      <c r="Z42" s="30">
        <v>39</v>
      </c>
      <c r="AA42" s="38" t="s">
        <v>46</v>
      </c>
      <c r="AB42" s="120">
        <v>10</v>
      </c>
      <c r="AC42" s="33">
        <f t="shared" si="5"/>
        <v>1746.7009999999998</v>
      </c>
      <c r="AD42" s="120">
        <v>17467.009999999998</v>
      </c>
      <c r="AE42" s="30">
        <v>39</v>
      </c>
      <c r="AF42" s="38" t="s">
        <v>58</v>
      </c>
      <c r="AG42" s="126">
        <v>10</v>
      </c>
      <c r="AH42" s="33">
        <f t="shared" si="14"/>
        <v>1073.55</v>
      </c>
      <c r="AI42" s="120">
        <v>10735.5</v>
      </c>
      <c r="AJ42" s="30">
        <v>39</v>
      </c>
      <c r="AK42" s="38" t="s">
        <v>91</v>
      </c>
      <c r="AL42" s="126">
        <v>8</v>
      </c>
      <c r="AM42" s="33">
        <f t="shared" si="7"/>
        <v>1170.9175</v>
      </c>
      <c r="AN42" s="120">
        <v>9367.34</v>
      </c>
      <c r="AO42" s="30">
        <v>39</v>
      </c>
      <c r="AP42" s="38" t="s">
        <v>116</v>
      </c>
      <c r="AQ42" s="2">
        <v>10</v>
      </c>
      <c r="AR42" s="33">
        <f t="shared" si="8"/>
        <v>1167.586</v>
      </c>
      <c r="AS42" s="38">
        <v>11675.86</v>
      </c>
      <c r="AT42" s="30">
        <v>39</v>
      </c>
      <c r="AU42" s="31" t="s">
        <v>82</v>
      </c>
      <c r="AV42" s="132">
        <v>8</v>
      </c>
      <c r="AW42" s="33">
        <f t="shared" si="9"/>
        <v>1069.0912499999999</v>
      </c>
      <c r="AX42" s="135">
        <v>8552.73</v>
      </c>
      <c r="AY42" s="30">
        <v>39</v>
      </c>
      <c r="AZ42" s="31" t="s">
        <v>54</v>
      </c>
      <c r="BA42" s="131">
        <v>10</v>
      </c>
      <c r="BB42" s="33">
        <f t="shared" si="10"/>
        <v>1314.9389999999999</v>
      </c>
      <c r="BC42" s="134">
        <v>13149.39</v>
      </c>
      <c r="BD42" s="30">
        <v>39</v>
      </c>
      <c r="BE42" s="31" t="s">
        <v>62</v>
      </c>
      <c r="BF42" s="131">
        <v>14</v>
      </c>
      <c r="BG42" s="33">
        <f t="shared" si="11"/>
        <v>2067.8678571428572</v>
      </c>
      <c r="BH42" s="134">
        <v>28950.15</v>
      </c>
      <c r="BI42" s="30">
        <v>39</v>
      </c>
      <c r="BJ42" s="38" t="s">
        <v>49</v>
      </c>
      <c r="BK42" s="140">
        <v>136</v>
      </c>
      <c r="BL42" s="33">
        <f t="shared" si="13"/>
        <v>1759.0532352941175</v>
      </c>
      <c r="BM42" s="144">
        <v>239231.24</v>
      </c>
      <c r="BN42" s="111">
        <f t="shared" si="15"/>
        <v>2.3507525790630816E-3</v>
      </c>
    </row>
    <row r="43" spans="1:66" x14ac:dyDescent="0.35">
      <c r="A43" s="30">
        <v>40</v>
      </c>
      <c r="B43" s="38" t="s">
        <v>51</v>
      </c>
      <c r="C43" s="116">
        <v>12</v>
      </c>
      <c r="D43" s="33">
        <f t="shared" si="16"/>
        <v>1762.2150000000001</v>
      </c>
      <c r="E43" s="120">
        <v>21146.58</v>
      </c>
      <c r="F43" s="34">
        <v>40</v>
      </c>
      <c r="G43" s="38" t="s">
        <v>52</v>
      </c>
      <c r="H43" s="123">
        <v>11</v>
      </c>
      <c r="I43" s="33">
        <f t="shared" si="17"/>
        <v>1774.5118181818182</v>
      </c>
      <c r="J43" s="120">
        <v>19519.63</v>
      </c>
      <c r="K43" s="30">
        <v>40</v>
      </c>
      <c r="L43" s="31" t="s">
        <v>79</v>
      </c>
      <c r="M43" s="119">
        <v>9</v>
      </c>
      <c r="N43" s="33">
        <f t="shared" si="18"/>
        <v>1640.9155555555556</v>
      </c>
      <c r="O43" s="119">
        <v>14768.24</v>
      </c>
      <c r="P43" s="30">
        <v>40</v>
      </c>
      <c r="Q43" s="38" t="s">
        <v>111</v>
      </c>
      <c r="R43" s="120">
        <v>14</v>
      </c>
      <c r="S43" s="33">
        <f t="shared" si="19"/>
        <v>1076.4642857142858</v>
      </c>
      <c r="T43" s="120">
        <v>15070.5</v>
      </c>
      <c r="U43" s="30">
        <v>40</v>
      </c>
      <c r="V43" s="38" t="s">
        <v>48</v>
      </c>
      <c r="W43" s="120">
        <v>8</v>
      </c>
      <c r="X43" s="33">
        <f t="shared" si="4"/>
        <v>1360.59</v>
      </c>
      <c r="Y43" s="120">
        <v>10884.72</v>
      </c>
      <c r="Z43" s="30">
        <v>40</v>
      </c>
      <c r="AA43" s="38" t="s">
        <v>58</v>
      </c>
      <c r="AB43" s="120">
        <v>10</v>
      </c>
      <c r="AC43" s="33">
        <f t="shared" si="5"/>
        <v>1150.1290000000001</v>
      </c>
      <c r="AD43" s="120">
        <v>11501.29</v>
      </c>
      <c r="AE43" s="30">
        <v>40</v>
      </c>
      <c r="AF43" s="31" t="s">
        <v>62</v>
      </c>
      <c r="AG43" s="132">
        <v>8</v>
      </c>
      <c r="AH43" s="33">
        <f t="shared" si="14"/>
        <v>1033.6312499999999</v>
      </c>
      <c r="AI43" s="135">
        <v>8269.0499999999993</v>
      </c>
      <c r="AJ43" s="30">
        <v>40</v>
      </c>
      <c r="AK43" s="38" t="s">
        <v>48</v>
      </c>
      <c r="AL43" s="126">
        <v>8</v>
      </c>
      <c r="AM43" s="33">
        <f t="shared" si="7"/>
        <v>917.58624999999995</v>
      </c>
      <c r="AN43" s="120">
        <v>7340.69</v>
      </c>
      <c r="AO43" s="30">
        <v>40</v>
      </c>
      <c r="AP43" s="38" t="s">
        <v>127</v>
      </c>
      <c r="AQ43" s="2">
        <v>10</v>
      </c>
      <c r="AR43" s="33">
        <f t="shared" si="8"/>
        <v>1189.0830000000001</v>
      </c>
      <c r="AS43" s="38">
        <v>11890.83</v>
      </c>
      <c r="AT43" s="30">
        <v>40</v>
      </c>
      <c r="AU43" s="38" t="s">
        <v>59</v>
      </c>
      <c r="AV43" s="126">
        <v>8</v>
      </c>
      <c r="AW43" s="33">
        <f t="shared" si="9"/>
        <v>1274.1612500000001</v>
      </c>
      <c r="AX43" s="120">
        <v>10193.290000000001</v>
      </c>
      <c r="AY43" s="30">
        <v>40</v>
      </c>
      <c r="AZ43" s="38" t="s">
        <v>65</v>
      </c>
      <c r="BA43" s="126">
        <v>10</v>
      </c>
      <c r="BB43" s="33">
        <f t="shared" si="10"/>
        <v>1837.0360000000001</v>
      </c>
      <c r="BC43" s="120">
        <v>18370.36</v>
      </c>
      <c r="BD43" s="30">
        <v>40</v>
      </c>
      <c r="BE43" s="38" t="s">
        <v>18</v>
      </c>
      <c r="BF43" s="126">
        <v>14</v>
      </c>
      <c r="BG43" s="33">
        <f t="shared" si="11"/>
        <v>1557.5385714285715</v>
      </c>
      <c r="BH43" s="120">
        <v>21805.54</v>
      </c>
      <c r="BI43" s="30">
        <v>40</v>
      </c>
      <c r="BJ43" s="38" t="s">
        <v>63</v>
      </c>
      <c r="BK43" s="141">
        <v>132</v>
      </c>
      <c r="BL43" s="33">
        <f t="shared" si="13"/>
        <v>1323.3603030303029</v>
      </c>
      <c r="BM43" s="144">
        <v>174683.56</v>
      </c>
      <c r="BN43" s="111">
        <f t="shared" si="15"/>
        <v>2.300016911889058E-3</v>
      </c>
    </row>
    <row r="44" spans="1:66" x14ac:dyDescent="0.35">
      <c r="A44" s="30">
        <v>41</v>
      </c>
      <c r="B44" s="38" t="s">
        <v>111</v>
      </c>
      <c r="C44" s="116">
        <v>12</v>
      </c>
      <c r="D44" s="33">
        <f t="shared" si="16"/>
        <v>1925.7550000000001</v>
      </c>
      <c r="E44" s="120">
        <v>23109.06</v>
      </c>
      <c r="F44" s="34">
        <v>41</v>
      </c>
      <c r="G44" s="38" t="s">
        <v>88</v>
      </c>
      <c r="H44" s="122">
        <v>10</v>
      </c>
      <c r="I44" s="33">
        <f t="shared" si="17"/>
        <v>1613.6100000000001</v>
      </c>
      <c r="J44" s="119">
        <v>16136.1</v>
      </c>
      <c r="K44" s="30">
        <v>41</v>
      </c>
      <c r="L44" s="38" t="s">
        <v>99</v>
      </c>
      <c r="M44" s="120">
        <v>9</v>
      </c>
      <c r="N44" s="33">
        <f t="shared" si="18"/>
        <v>1667.0344444444445</v>
      </c>
      <c r="O44" s="120">
        <v>15003.31</v>
      </c>
      <c r="P44" s="30">
        <v>41</v>
      </c>
      <c r="Q44" s="38" t="s">
        <v>28</v>
      </c>
      <c r="R44" s="120">
        <v>14</v>
      </c>
      <c r="S44" s="33">
        <f t="shared" si="19"/>
        <v>1328.4228571428571</v>
      </c>
      <c r="T44" s="120">
        <v>18597.919999999998</v>
      </c>
      <c r="U44" s="30">
        <v>41</v>
      </c>
      <c r="V44" s="38" t="s">
        <v>94</v>
      </c>
      <c r="W44" s="120">
        <v>8</v>
      </c>
      <c r="X44" s="33">
        <f t="shared" si="4"/>
        <v>1248.94</v>
      </c>
      <c r="Y44" s="120">
        <v>9991.52</v>
      </c>
      <c r="Z44" s="30">
        <v>41</v>
      </c>
      <c r="AA44" s="38" t="s">
        <v>116</v>
      </c>
      <c r="AB44" s="120">
        <v>9</v>
      </c>
      <c r="AC44" s="33">
        <f t="shared" si="5"/>
        <v>1189.7466666666667</v>
      </c>
      <c r="AD44" s="120">
        <v>10707.72</v>
      </c>
      <c r="AE44" s="30">
        <v>41</v>
      </c>
      <c r="AF44" s="31" t="s">
        <v>68</v>
      </c>
      <c r="AG44" s="131">
        <v>8</v>
      </c>
      <c r="AH44" s="33">
        <f t="shared" si="14"/>
        <v>1119.5587499999999</v>
      </c>
      <c r="AI44" s="134">
        <v>8956.4699999999993</v>
      </c>
      <c r="AJ44" s="30">
        <v>41</v>
      </c>
      <c r="AK44" s="38" t="s">
        <v>159</v>
      </c>
      <c r="AL44" s="126">
        <v>8</v>
      </c>
      <c r="AM44" s="33">
        <f t="shared" si="7"/>
        <v>1048.0675000000001</v>
      </c>
      <c r="AN44" s="120">
        <v>8384.5400000000009</v>
      </c>
      <c r="AO44" s="30">
        <v>41</v>
      </c>
      <c r="AP44" s="31" t="s">
        <v>60</v>
      </c>
      <c r="AQ44" s="39">
        <v>9</v>
      </c>
      <c r="AR44" s="33">
        <f t="shared" si="8"/>
        <v>1144.49</v>
      </c>
      <c r="AS44" s="40">
        <v>10300.41</v>
      </c>
      <c r="AT44" s="30">
        <v>41</v>
      </c>
      <c r="AU44" s="31" t="s">
        <v>44</v>
      </c>
      <c r="AV44" s="132">
        <v>7</v>
      </c>
      <c r="AW44" s="33">
        <f t="shared" si="9"/>
        <v>1278.4914285714287</v>
      </c>
      <c r="AX44" s="135">
        <v>8949.44</v>
      </c>
      <c r="AY44" s="30">
        <v>41</v>
      </c>
      <c r="AZ44" s="38" t="s">
        <v>83</v>
      </c>
      <c r="BA44" s="126">
        <v>10</v>
      </c>
      <c r="BB44" s="33">
        <f t="shared" si="10"/>
        <v>1470.1280000000002</v>
      </c>
      <c r="BC44" s="120">
        <v>14701.28</v>
      </c>
      <c r="BD44" s="30">
        <v>41</v>
      </c>
      <c r="BE44" s="38" t="s">
        <v>65</v>
      </c>
      <c r="BF44" s="126">
        <v>13</v>
      </c>
      <c r="BG44" s="33">
        <f t="shared" si="11"/>
        <v>1794.5084615384617</v>
      </c>
      <c r="BH44" s="120">
        <v>23328.61</v>
      </c>
      <c r="BI44" s="30">
        <v>41</v>
      </c>
      <c r="BJ44" s="38" t="s">
        <v>48</v>
      </c>
      <c r="BK44" s="140">
        <v>129</v>
      </c>
      <c r="BL44" s="33">
        <f t="shared" si="13"/>
        <v>1412.3344961240309</v>
      </c>
      <c r="BM44" s="144">
        <v>182191.15</v>
      </c>
      <c r="BN44" s="111">
        <f t="shared" si="15"/>
        <v>2.2323693556570269E-3</v>
      </c>
    </row>
    <row r="45" spans="1:66" x14ac:dyDescent="0.35">
      <c r="A45" s="30">
        <v>42</v>
      </c>
      <c r="B45" s="31" t="s">
        <v>92</v>
      </c>
      <c r="C45" s="115">
        <v>11</v>
      </c>
      <c r="D45" s="33">
        <f t="shared" si="16"/>
        <v>2016.31</v>
      </c>
      <c r="E45" s="119">
        <v>22179.41</v>
      </c>
      <c r="F45" s="34">
        <v>42</v>
      </c>
      <c r="G45" s="38" t="s">
        <v>72</v>
      </c>
      <c r="H45" s="123">
        <v>10</v>
      </c>
      <c r="I45" s="33">
        <f t="shared" si="17"/>
        <v>1918.0540000000001</v>
      </c>
      <c r="J45" s="120">
        <v>19180.54</v>
      </c>
      <c r="K45" s="30">
        <v>42</v>
      </c>
      <c r="L45" s="31" t="s">
        <v>62</v>
      </c>
      <c r="M45" s="119">
        <v>8</v>
      </c>
      <c r="N45" s="33">
        <f t="shared" si="18"/>
        <v>1423.02125</v>
      </c>
      <c r="O45" s="119">
        <v>11384.17</v>
      </c>
      <c r="P45" s="30">
        <v>42</v>
      </c>
      <c r="Q45" s="38" t="s">
        <v>47</v>
      </c>
      <c r="R45" s="120">
        <v>13</v>
      </c>
      <c r="S45" s="33">
        <f t="shared" si="19"/>
        <v>1363.8515384615384</v>
      </c>
      <c r="T45" s="120">
        <v>17730.07</v>
      </c>
      <c r="U45" s="30">
        <v>42</v>
      </c>
      <c r="V45" s="31" t="s">
        <v>87</v>
      </c>
      <c r="W45" s="119">
        <v>7</v>
      </c>
      <c r="X45" s="33">
        <f t="shared" si="4"/>
        <v>1005.3171428571429</v>
      </c>
      <c r="Y45" s="119">
        <v>7037.22</v>
      </c>
      <c r="Z45" s="30">
        <v>42</v>
      </c>
      <c r="AA45" s="38" t="s">
        <v>48</v>
      </c>
      <c r="AB45" s="120">
        <v>8</v>
      </c>
      <c r="AC45" s="33">
        <f t="shared" si="5"/>
        <v>1282.29125</v>
      </c>
      <c r="AD45" s="120">
        <v>10258.33</v>
      </c>
      <c r="AE45" s="30">
        <v>42</v>
      </c>
      <c r="AF45" s="31" t="s">
        <v>44</v>
      </c>
      <c r="AG45" s="132">
        <v>6</v>
      </c>
      <c r="AH45" s="33">
        <f t="shared" si="14"/>
        <v>1278.5033333333333</v>
      </c>
      <c r="AI45" s="135">
        <v>7671.02</v>
      </c>
      <c r="AJ45" s="30">
        <v>42</v>
      </c>
      <c r="AK45" s="38" t="s">
        <v>92</v>
      </c>
      <c r="AL45" s="126">
        <v>7</v>
      </c>
      <c r="AM45" s="33">
        <f t="shared" si="7"/>
        <v>1267.3957142857143</v>
      </c>
      <c r="AN45" s="120">
        <v>8871.77</v>
      </c>
      <c r="AO45" s="30">
        <v>42</v>
      </c>
      <c r="AP45" s="38" t="s">
        <v>102</v>
      </c>
      <c r="AQ45" s="39">
        <v>9</v>
      </c>
      <c r="AR45" s="33">
        <f t="shared" si="8"/>
        <v>1279.6077777777778</v>
      </c>
      <c r="AS45" s="40">
        <v>11516.47</v>
      </c>
      <c r="AT45" s="30">
        <v>42</v>
      </c>
      <c r="AU45" s="31" t="s">
        <v>62</v>
      </c>
      <c r="AV45" s="132">
        <v>7</v>
      </c>
      <c r="AW45" s="33">
        <f t="shared" si="9"/>
        <v>1364.02</v>
      </c>
      <c r="AX45" s="135">
        <v>9548.14</v>
      </c>
      <c r="AY45" s="30">
        <v>42</v>
      </c>
      <c r="AZ45" s="38" t="s">
        <v>103</v>
      </c>
      <c r="BA45" s="126">
        <v>10</v>
      </c>
      <c r="BB45" s="33">
        <f t="shared" si="10"/>
        <v>1580.316</v>
      </c>
      <c r="BC45" s="120">
        <v>15803.16</v>
      </c>
      <c r="BD45" s="30">
        <v>42</v>
      </c>
      <c r="BE45" s="31" t="s">
        <v>92</v>
      </c>
      <c r="BF45" s="131">
        <v>12</v>
      </c>
      <c r="BG45" s="33">
        <f t="shared" si="11"/>
        <v>1906.0108333333335</v>
      </c>
      <c r="BH45" s="134">
        <v>22872.13</v>
      </c>
      <c r="BI45" s="30">
        <v>42</v>
      </c>
      <c r="BJ45" s="31" t="s">
        <v>55</v>
      </c>
      <c r="BK45" s="141">
        <v>115</v>
      </c>
      <c r="BL45" s="33">
        <f t="shared" si="13"/>
        <v>1534.3890434782609</v>
      </c>
      <c r="BM45" s="119">
        <v>176454.74</v>
      </c>
      <c r="BN45" s="111">
        <f t="shared" si="15"/>
        <v>2.1816336884830033E-3</v>
      </c>
    </row>
    <row r="46" spans="1:66" x14ac:dyDescent="0.35">
      <c r="A46" s="30">
        <v>43</v>
      </c>
      <c r="B46" s="38" t="s">
        <v>91</v>
      </c>
      <c r="C46" s="116">
        <v>10</v>
      </c>
      <c r="D46" s="33">
        <f t="shared" si="16"/>
        <v>1747.7939999999999</v>
      </c>
      <c r="E46" s="120">
        <v>17477.939999999999</v>
      </c>
      <c r="F46" s="34">
        <v>43</v>
      </c>
      <c r="G46" s="31" t="s">
        <v>79</v>
      </c>
      <c r="H46" s="122">
        <v>8</v>
      </c>
      <c r="I46" s="33">
        <f t="shared" si="17"/>
        <v>1778.76125</v>
      </c>
      <c r="J46" s="119">
        <v>14230.09</v>
      </c>
      <c r="K46" s="30">
        <v>43</v>
      </c>
      <c r="L46" s="38" t="s">
        <v>63</v>
      </c>
      <c r="M46" s="120">
        <v>8</v>
      </c>
      <c r="N46" s="33">
        <f t="shared" si="18"/>
        <v>1681.84</v>
      </c>
      <c r="O46" s="120">
        <v>13454.72</v>
      </c>
      <c r="P46" s="30">
        <v>43</v>
      </c>
      <c r="Q46" s="38" t="s">
        <v>94</v>
      </c>
      <c r="R46" s="120">
        <v>12</v>
      </c>
      <c r="S46" s="33">
        <f t="shared" si="19"/>
        <v>1244.7833333333333</v>
      </c>
      <c r="T46" s="120">
        <v>14937.4</v>
      </c>
      <c r="U46" s="30">
        <v>43</v>
      </c>
      <c r="V46" s="38" t="s">
        <v>116</v>
      </c>
      <c r="W46" s="120">
        <v>7</v>
      </c>
      <c r="X46" s="33">
        <f t="shared" si="4"/>
        <v>1352.3614285714286</v>
      </c>
      <c r="Y46" s="120">
        <v>9466.5300000000007</v>
      </c>
      <c r="Z46" s="30">
        <v>43</v>
      </c>
      <c r="AA46" s="31" t="s">
        <v>74</v>
      </c>
      <c r="AB46" s="119">
        <v>7</v>
      </c>
      <c r="AC46" s="33">
        <f t="shared" si="5"/>
        <v>1104.5</v>
      </c>
      <c r="AD46" s="119">
        <v>7731.5</v>
      </c>
      <c r="AE46" s="30">
        <v>43</v>
      </c>
      <c r="AF46" s="31" t="s">
        <v>80</v>
      </c>
      <c r="AG46" s="131">
        <v>6</v>
      </c>
      <c r="AH46" s="33">
        <f t="shared" si="14"/>
        <v>1146.98</v>
      </c>
      <c r="AI46" s="134">
        <v>6881.88</v>
      </c>
      <c r="AJ46" s="30">
        <v>43</v>
      </c>
      <c r="AK46" s="38" t="s">
        <v>49</v>
      </c>
      <c r="AL46" s="126">
        <v>7</v>
      </c>
      <c r="AM46" s="33">
        <f t="shared" si="7"/>
        <v>1340.1628571428571</v>
      </c>
      <c r="AN46" s="120">
        <v>9381.14</v>
      </c>
      <c r="AO46" s="30">
        <v>43</v>
      </c>
      <c r="AP46" s="38" t="s">
        <v>90</v>
      </c>
      <c r="AQ46" s="39">
        <v>9</v>
      </c>
      <c r="AR46" s="33">
        <f t="shared" si="8"/>
        <v>1066.3033333333333</v>
      </c>
      <c r="AS46" s="40">
        <v>9596.73</v>
      </c>
      <c r="AT46" s="30">
        <v>43</v>
      </c>
      <c r="AU46" s="38" t="s">
        <v>48</v>
      </c>
      <c r="AV46" s="126">
        <v>7</v>
      </c>
      <c r="AW46" s="33">
        <f t="shared" si="9"/>
        <v>1012.3371428571428</v>
      </c>
      <c r="AX46" s="120">
        <v>7086.36</v>
      </c>
      <c r="AY46" s="30">
        <v>43</v>
      </c>
      <c r="AZ46" s="31" t="s">
        <v>60</v>
      </c>
      <c r="BA46" s="131">
        <v>9</v>
      </c>
      <c r="BB46" s="33">
        <f t="shared" si="10"/>
        <v>1449.5422222222221</v>
      </c>
      <c r="BC46" s="134">
        <v>13045.88</v>
      </c>
      <c r="BD46" s="30">
        <v>43</v>
      </c>
      <c r="BE46" s="38" t="s">
        <v>83</v>
      </c>
      <c r="BF46" s="126">
        <v>12</v>
      </c>
      <c r="BG46" s="33">
        <f t="shared" si="11"/>
        <v>2756.4850000000001</v>
      </c>
      <c r="BH46" s="120">
        <v>33077.82</v>
      </c>
      <c r="BI46" s="30">
        <v>43</v>
      </c>
      <c r="BJ46" s="38" t="s">
        <v>68</v>
      </c>
      <c r="BK46" s="141">
        <v>110</v>
      </c>
      <c r="BL46" s="33">
        <f t="shared" si="13"/>
        <v>1533.6839090909091</v>
      </c>
      <c r="BM46" s="144">
        <v>168705.23</v>
      </c>
      <c r="BN46" s="111">
        <f t="shared" si="15"/>
        <v>1.9448672416708945E-3</v>
      </c>
    </row>
    <row r="47" spans="1:66" x14ac:dyDescent="0.35">
      <c r="A47" s="30">
        <v>44</v>
      </c>
      <c r="B47" s="31" t="s">
        <v>44</v>
      </c>
      <c r="C47" s="115">
        <v>9</v>
      </c>
      <c r="D47" s="33">
        <f t="shared" si="16"/>
        <v>1598.4922222222222</v>
      </c>
      <c r="E47" s="119">
        <v>14386.43</v>
      </c>
      <c r="F47" s="34">
        <v>44</v>
      </c>
      <c r="G47" s="31" t="s">
        <v>54</v>
      </c>
      <c r="H47" s="122">
        <v>8</v>
      </c>
      <c r="I47" s="33">
        <f t="shared" si="17"/>
        <v>1628.8712499999999</v>
      </c>
      <c r="J47" s="119">
        <v>13030.97</v>
      </c>
      <c r="K47" s="30">
        <v>44</v>
      </c>
      <c r="L47" s="38" t="s">
        <v>111</v>
      </c>
      <c r="M47" s="120">
        <v>8</v>
      </c>
      <c r="N47" s="33">
        <f t="shared" si="18"/>
        <v>1204.39625</v>
      </c>
      <c r="O47" s="120">
        <v>9635.17</v>
      </c>
      <c r="P47" s="30">
        <v>44</v>
      </c>
      <c r="Q47" s="38" t="s">
        <v>63</v>
      </c>
      <c r="R47" s="120">
        <v>11</v>
      </c>
      <c r="S47" s="33">
        <f t="shared" si="19"/>
        <v>1127.8481818181817</v>
      </c>
      <c r="T47" s="120">
        <v>12406.33</v>
      </c>
      <c r="U47" s="30">
        <v>44</v>
      </c>
      <c r="V47" s="38" t="s">
        <v>78</v>
      </c>
      <c r="W47" s="119">
        <v>6</v>
      </c>
      <c r="X47" s="33">
        <f t="shared" si="4"/>
        <v>1430.5216666666665</v>
      </c>
      <c r="Y47" s="119">
        <v>8583.1299999999992</v>
      </c>
      <c r="Z47" s="30">
        <v>44</v>
      </c>
      <c r="AA47" s="38" t="s">
        <v>73</v>
      </c>
      <c r="AB47" s="120">
        <v>7</v>
      </c>
      <c r="AC47" s="33">
        <f t="shared" si="5"/>
        <v>1362.8571428571429</v>
      </c>
      <c r="AD47" s="120">
        <v>9540</v>
      </c>
      <c r="AE47" s="30">
        <v>44</v>
      </c>
      <c r="AF47" s="31" t="s">
        <v>92</v>
      </c>
      <c r="AG47" s="131">
        <v>6</v>
      </c>
      <c r="AH47" s="33">
        <f t="shared" si="14"/>
        <v>1123.4983333333332</v>
      </c>
      <c r="AI47" s="134">
        <v>6740.99</v>
      </c>
      <c r="AJ47" s="30">
        <v>44</v>
      </c>
      <c r="AK47" s="38" t="s">
        <v>52</v>
      </c>
      <c r="AL47" s="126">
        <v>7</v>
      </c>
      <c r="AM47" s="33">
        <f t="shared" si="7"/>
        <v>943.99714285714276</v>
      </c>
      <c r="AN47" s="120">
        <v>6607.98</v>
      </c>
      <c r="AO47" s="30">
        <v>44</v>
      </c>
      <c r="AP47" s="38" t="s">
        <v>46</v>
      </c>
      <c r="AQ47" s="2">
        <v>9</v>
      </c>
      <c r="AR47" s="33">
        <f t="shared" si="8"/>
        <v>1241.5711111111111</v>
      </c>
      <c r="AS47" s="38">
        <v>11174.14</v>
      </c>
      <c r="AT47" s="30">
        <v>44</v>
      </c>
      <c r="AU47" s="31" t="s">
        <v>108</v>
      </c>
      <c r="AV47" s="131">
        <v>6</v>
      </c>
      <c r="AW47" s="33">
        <f t="shared" si="9"/>
        <v>943.07</v>
      </c>
      <c r="AX47" s="134">
        <v>5658.42</v>
      </c>
      <c r="AY47" s="30">
        <v>44</v>
      </c>
      <c r="AZ47" s="31" t="s">
        <v>62</v>
      </c>
      <c r="BA47" s="132">
        <v>8</v>
      </c>
      <c r="BB47" s="33">
        <f t="shared" si="10"/>
        <v>1691.5462500000001</v>
      </c>
      <c r="BC47" s="135">
        <v>13532.37</v>
      </c>
      <c r="BD47" s="30">
        <v>44</v>
      </c>
      <c r="BE47" s="31" t="s">
        <v>54</v>
      </c>
      <c r="BF47" s="132">
        <v>11</v>
      </c>
      <c r="BG47" s="33">
        <f t="shared" si="11"/>
        <v>1352.3154545454545</v>
      </c>
      <c r="BH47" s="135">
        <v>14875.47</v>
      </c>
      <c r="BI47" s="30">
        <v>44</v>
      </c>
      <c r="BJ47" s="31" t="s">
        <v>62</v>
      </c>
      <c r="BK47" s="141">
        <v>97</v>
      </c>
      <c r="BL47" s="33">
        <f t="shared" si="13"/>
        <v>1450.0623711340204</v>
      </c>
      <c r="BM47" s="119">
        <v>140656.04999999999</v>
      </c>
      <c r="BN47" s="111">
        <f t="shared" si="15"/>
        <v>1.8603077963808556E-3</v>
      </c>
    </row>
    <row r="48" spans="1:66" x14ac:dyDescent="0.35">
      <c r="A48" s="30">
        <v>45</v>
      </c>
      <c r="B48" s="31" t="s">
        <v>62</v>
      </c>
      <c r="C48" s="115">
        <v>9</v>
      </c>
      <c r="D48" s="33">
        <f t="shared" si="16"/>
        <v>1738.02</v>
      </c>
      <c r="E48" s="119">
        <v>15642.18</v>
      </c>
      <c r="F48" s="34">
        <v>45</v>
      </c>
      <c r="G48" s="38" t="s">
        <v>96</v>
      </c>
      <c r="H48" s="123">
        <v>8</v>
      </c>
      <c r="I48" s="33">
        <f t="shared" si="17"/>
        <v>1896.09375</v>
      </c>
      <c r="J48" s="120">
        <v>15168.75</v>
      </c>
      <c r="K48" s="30">
        <v>45</v>
      </c>
      <c r="L48" s="38" t="s">
        <v>88</v>
      </c>
      <c r="M48" s="119">
        <v>7</v>
      </c>
      <c r="N48" s="33">
        <f t="shared" si="18"/>
        <v>1517.8314285714284</v>
      </c>
      <c r="O48" s="119">
        <v>10624.82</v>
      </c>
      <c r="P48" s="30">
        <v>45</v>
      </c>
      <c r="Q48" s="31" t="s">
        <v>55</v>
      </c>
      <c r="R48" s="119">
        <v>10</v>
      </c>
      <c r="S48" s="33">
        <f t="shared" si="19"/>
        <v>1207.4169999999999</v>
      </c>
      <c r="T48" s="119">
        <v>12074.17</v>
      </c>
      <c r="U48" s="30">
        <v>45</v>
      </c>
      <c r="V48" s="38" t="s">
        <v>72</v>
      </c>
      <c r="W48" s="120">
        <v>6</v>
      </c>
      <c r="X48" s="33">
        <f t="shared" si="4"/>
        <v>1062.02</v>
      </c>
      <c r="Y48" s="120">
        <v>6372.12</v>
      </c>
      <c r="Z48" s="30">
        <v>45</v>
      </c>
      <c r="AA48" s="31" t="s">
        <v>125</v>
      </c>
      <c r="AB48" s="119">
        <v>6</v>
      </c>
      <c r="AC48" s="33">
        <f t="shared" si="5"/>
        <v>1221.4366666666667</v>
      </c>
      <c r="AD48" s="119">
        <v>7328.62</v>
      </c>
      <c r="AE48" s="30">
        <v>45</v>
      </c>
      <c r="AF48" s="38" t="s">
        <v>57</v>
      </c>
      <c r="AG48" s="126">
        <v>6</v>
      </c>
      <c r="AH48" s="33">
        <f t="shared" si="14"/>
        <v>1365.9316666666666</v>
      </c>
      <c r="AI48" s="120">
        <v>8195.59</v>
      </c>
      <c r="AJ48" s="30">
        <v>45</v>
      </c>
      <c r="AK48" s="38" t="s">
        <v>60</v>
      </c>
      <c r="AL48" s="126">
        <v>6</v>
      </c>
      <c r="AM48" s="33">
        <f t="shared" si="7"/>
        <v>1312.52</v>
      </c>
      <c r="AN48" s="120">
        <v>7875.12</v>
      </c>
      <c r="AO48" s="30">
        <v>45</v>
      </c>
      <c r="AP48" s="31" t="s">
        <v>92</v>
      </c>
      <c r="AQ48" s="39">
        <v>8</v>
      </c>
      <c r="AR48" s="33">
        <f t="shared" si="8"/>
        <v>1243.28125</v>
      </c>
      <c r="AS48" s="40">
        <v>9946.25</v>
      </c>
      <c r="AT48" s="30">
        <v>45</v>
      </c>
      <c r="AU48" s="38" t="s">
        <v>105</v>
      </c>
      <c r="AV48" s="126">
        <v>6</v>
      </c>
      <c r="AW48" s="33">
        <f t="shared" si="9"/>
        <v>1158.9216666666666</v>
      </c>
      <c r="AX48" s="120">
        <v>6953.53</v>
      </c>
      <c r="AY48" s="30">
        <v>45</v>
      </c>
      <c r="AZ48" s="38" t="s">
        <v>42</v>
      </c>
      <c r="BA48" s="126">
        <v>8</v>
      </c>
      <c r="BB48" s="33">
        <f t="shared" si="10"/>
        <v>1345.4449999999999</v>
      </c>
      <c r="BC48" s="120">
        <v>10763.56</v>
      </c>
      <c r="BD48" s="30">
        <v>45</v>
      </c>
      <c r="BE48" s="38" t="s">
        <v>35</v>
      </c>
      <c r="BF48" s="126">
        <v>11</v>
      </c>
      <c r="BG48" s="33">
        <f t="shared" si="11"/>
        <v>1738.2763636363636</v>
      </c>
      <c r="BH48" s="120">
        <v>19121.04</v>
      </c>
      <c r="BI48" s="30">
        <v>45</v>
      </c>
      <c r="BJ48" s="38" t="s">
        <v>91</v>
      </c>
      <c r="BK48" s="141">
        <v>79</v>
      </c>
      <c r="BL48" s="33">
        <f t="shared" si="13"/>
        <v>1317.7993670886076</v>
      </c>
      <c r="BM48" s="144">
        <v>104106.15</v>
      </c>
      <c r="BN48" s="111">
        <f t="shared" si="15"/>
        <v>1.6404532386267547E-3</v>
      </c>
    </row>
    <row r="49" spans="1:66" x14ac:dyDescent="0.35">
      <c r="A49" s="30">
        <v>46</v>
      </c>
      <c r="B49" s="38" t="s">
        <v>89</v>
      </c>
      <c r="C49" s="116">
        <v>9</v>
      </c>
      <c r="D49" s="33">
        <f t="shared" si="16"/>
        <v>1751.0444444444445</v>
      </c>
      <c r="E49" s="120">
        <v>15759.4</v>
      </c>
      <c r="F49" s="34">
        <v>46</v>
      </c>
      <c r="G49" s="38" t="s">
        <v>99</v>
      </c>
      <c r="H49" s="123">
        <v>8</v>
      </c>
      <c r="I49" s="33">
        <f t="shared" si="17"/>
        <v>1955.5975000000001</v>
      </c>
      <c r="J49" s="120">
        <v>15644.78</v>
      </c>
      <c r="K49" s="30">
        <v>46</v>
      </c>
      <c r="L49" s="38" t="s">
        <v>102</v>
      </c>
      <c r="M49" s="119">
        <v>7</v>
      </c>
      <c r="N49" s="33">
        <f t="shared" si="18"/>
        <v>1637.3899999999999</v>
      </c>
      <c r="O49" s="119">
        <v>11461.73</v>
      </c>
      <c r="P49" s="30">
        <v>46</v>
      </c>
      <c r="Q49" s="38" t="s">
        <v>91</v>
      </c>
      <c r="R49" s="120">
        <v>10</v>
      </c>
      <c r="S49" s="33">
        <f t="shared" si="19"/>
        <v>1449.02</v>
      </c>
      <c r="T49" s="120">
        <v>14490.2</v>
      </c>
      <c r="U49" s="30">
        <v>46</v>
      </c>
      <c r="V49" s="38" t="s">
        <v>57</v>
      </c>
      <c r="W49" s="120">
        <v>6</v>
      </c>
      <c r="X49" s="33">
        <f t="shared" si="4"/>
        <v>1259.7183333333335</v>
      </c>
      <c r="Y49" s="120">
        <v>7558.31</v>
      </c>
      <c r="Z49" s="30">
        <v>46</v>
      </c>
      <c r="AA49" s="31" t="s">
        <v>55</v>
      </c>
      <c r="AB49" s="119">
        <v>6</v>
      </c>
      <c r="AC49" s="33">
        <f t="shared" si="5"/>
        <v>1033.5</v>
      </c>
      <c r="AD49" s="119">
        <v>6201</v>
      </c>
      <c r="AE49" s="30">
        <v>46</v>
      </c>
      <c r="AF49" s="38" t="s">
        <v>116</v>
      </c>
      <c r="AG49" s="126">
        <v>6</v>
      </c>
      <c r="AH49" s="33">
        <f t="shared" si="14"/>
        <v>1190.4116666666666</v>
      </c>
      <c r="AI49" s="120">
        <v>7142.47</v>
      </c>
      <c r="AJ49" s="30">
        <v>46</v>
      </c>
      <c r="AK49" s="38" t="s">
        <v>80</v>
      </c>
      <c r="AL49" s="126">
        <v>6</v>
      </c>
      <c r="AM49" s="33">
        <f t="shared" si="7"/>
        <v>1114.415</v>
      </c>
      <c r="AN49" s="120">
        <v>6686.49</v>
      </c>
      <c r="AO49" s="30">
        <v>46</v>
      </c>
      <c r="AP49" s="31" t="s">
        <v>67</v>
      </c>
      <c r="AQ49" s="39">
        <v>7</v>
      </c>
      <c r="AR49" s="33">
        <f t="shared" si="8"/>
        <v>1162.6414285714286</v>
      </c>
      <c r="AS49" s="40">
        <v>8138.49</v>
      </c>
      <c r="AT49" s="30">
        <v>46</v>
      </c>
      <c r="AU49" s="38" t="s">
        <v>58</v>
      </c>
      <c r="AV49" s="126">
        <v>6</v>
      </c>
      <c r="AW49" s="33">
        <f t="shared" si="9"/>
        <v>1478.0533333333333</v>
      </c>
      <c r="AX49" s="120">
        <v>8868.32</v>
      </c>
      <c r="AY49" s="30">
        <v>46</v>
      </c>
      <c r="AZ49" s="38" t="s">
        <v>88</v>
      </c>
      <c r="BA49" s="126">
        <v>7</v>
      </c>
      <c r="BB49" s="33">
        <f t="shared" si="10"/>
        <v>1489.8642857142856</v>
      </c>
      <c r="BC49" s="120">
        <v>10429.049999999999</v>
      </c>
      <c r="BD49" s="30">
        <v>46</v>
      </c>
      <c r="BE49" s="38" t="s">
        <v>48</v>
      </c>
      <c r="BF49" s="126">
        <v>11</v>
      </c>
      <c r="BG49" s="33">
        <f t="shared" si="11"/>
        <v>1665.3518181818181</v>
      </c>
      <c r="BH49" s="120">
        <v>18318.87</v>
      </c>
      <c r="BI49" s="30">
        <v>46</v>
      </c>
      <c r="BJ49" s="38" t="s">
        <v>52</v>
      </c>
      <c r="BK49" s="140">
        <v>74</v>
      </c>
      <c r="BL49" s="33">
        <f t="shared" si="13"/>
        <v>1414.8317567567567</v>
      </c>
      <c r="BM49" s="144">
        <v>104697.55</v>
      </c>
      <c r="BN49" s="111">
        <f t="shared" si="15"/>
        <v>1.3360392355826146E-3</v>
      </c>
    </row>
    <row r="50" spans="1:66" x14ac:dyDescent="0.35">
      <c r="A50" s="30">
        <v>47</v>
      </c>
      <c r="B50" s="38" t="s">
        <v>58</v>
      </c>
      <c r="C50" s="116">
        <v>9</v>
      </c>
      <c r="D50" s="33">
        <f t="shared" si="16"/>
        <v>1821.0466666666664</v>
      </c>
      <c r="E50" s="120">
        <v>16389.419999999998</v>
      </c>
      <c r="F50" s="34">
        <v>47</v>
      </c>
      <c r="G50" s="38" t="s">
        <v>116</v>
      </c>
      <c r="H50" s="123">
        <v>7</v>
      </c>
      <c r="I50" s="33">
        <f t="shared" si="17"/>
        <v>1720.0242857142857</v>
      </c>
      <c r="J50" s="120">
        <v>12040.17</v>
      </c>
      <c r="K50" s="30">
        <v>47</v>
      </c>
      <c r="L50" s="38" t="s">
        <v>73</v>
      </c>
      <c r="M50" s="120">
        <v>7</v>
      </c>
      <c r="N50" s="33">
        <f t="shared" si="18"/>
        <v>1439.7814285714285</v>
      </c>
      <c r="O50" s="120">
        <v>10078.469999999999</v>
      </c>
      <c r="P50" s="30">
        <v>47</v>
      </c>
      <c r="Q50" s="31" t="s">
        <v>74</v>
      </c>
      <c r="R50" s="119">
        <v>8</v>
      </c>
      <c r="S50" s="33">
        <f t="shared" si="19"/>
        <v>1503.8225</v>
      </c>
      <c r="T50" s="119">
        <v>12030.58</v>
      </c>
      <c r="U50" s="30">
        <v>47</v>
      </c>
      <c r="V50" s="38" t="s">
        <v>66</v>
      </c>
      <c r="W50" s="120">
        <v>6</v>
      </c>
      <c r="X50" s="33">
        <f t="shared" si="4"/>
        <v>987.23</v>
      </c>
      <c r="Y50" s="120">
        <v>5923.38</v>
      </c>
      <c r="Z50" s="30">
        <v>47</v>
      </c>
      <c r="AA50" s="38" t="s">
        <v>59</v>
      </c>
      <c r="AB50" s="120">
        <v>6</v>
      </c>
      <c r="AC50" s="33">
        <f t="shared" si="5"/>
        <v>1478.7733333333333</v>
      </c>
      <c r="AD50" s="120">
        <v>8872.64</v>
      </c>
      <c r="AE50" s="30">
        <v>47</v>
      </c>
      <c r="AF50" s="38" t="s">
        <v>28</v>
      </c>
      <c r="AG50" s="126">
        <v>6</v>
      </c>
      <c r="AH50" s="33">
        <f t="shared" si="14"/>
        <v>1136.1316666666667</v>
      </c>
      <c r="AI50" s="120">
        <v>6816.79</v>
      </c>
      <c r="AJ50" s="30">
        <v>47</v>
      </c>
      <c r="AK50" s="38" t="s">
        <v>55</v>
      </c>
      <c r="AL50" s="126">
        <v>6</v>
      </c>
      <c r="AM50" s="33">
        <f t="shared" si="7"/>
        <v>1257.6000000000001</v>
      </c>
      <c r="AN50" s="120">
        <v>7545.6</v>
      </c>
      <c r="AO50" s="30">
        <v>47</v>
      </c>
      <c r="AP50" s="38" t="s">
        <v>28</v>
      </c>
      <c r="AQ50" s="2">
        <v>7</v>
      </c>
      <c r="AR50" s="33">
        <f t="shared" si="8"/>
        <v>1146.4871428571428</v>
      </c>
      <c r="AS50" s="38">
        <v>8025.41</v>
      </c>
      <c r="AT50" s="30">
        <v>47</v>
      </c>
      <c r="AU50" s="38" t="s">
        <v>128</v>
      </c>
      <c r="AV50" s="126">
        <v>6</v>
      </c>
      <c r="AW50" s="33">
        <f t="shared" si="9"/>
        <v>968.56</v>
      </c>
      <c r="AX50" s="120">
        <v>5811.36</v>
      </c>
      <c r="AY50" s="30">
        <v>47</v>
      </c>
      <c r="AZ50" s="38" t="s">
        <v>59</v>
      </c>
      <c r="BA50" s="126">
        <v>7</v>
      </c>
      <c r="BB50" s="33">
        <f t="shared" si="10"/>
        <v>1496.5814285714284</v>
      </c>
      <c r="BC50" s="120">
        <v>10476.07</v>
      </c>
      <c r="BD50" s="30">
        <v>47</v>
      </c>
      <c r="BE50" s="38" t="s">
        <v>77</v>
      </c>
      <c r="BF50" s="126">
        <v>10</v>
      </c>
      <c r="BG50" s="33">
        <f t="shared" si="11"/>
        <v>1675.1220000000001</v>
      </c>
      <c r="BH50" s="120">
        <v>16751.22</v>
      </c>
      <c r="BI50" s="30">
        <v>47</v>
      </c>
      <c r="BJ50" s="38" t="s">
        <v>103</v>
      </c>
      <c r="BK50" s="140">
        <v>70</v>
      </c>
      <c r="BL50" s="33">
        <f t="shared" si="13"/>
        <v>1440.2811428571429</v>
      </c>
      <c r="BM50" s="144">
        <v>100819.68</v>
      </c>
      <c r="BN50" s="111">
        <f t="shared" si="15"/>
        <v>1.2514797902925757E-3</v>
      </c>
    </row>
    <row r="51" spans="1:66" x14ac:dyDescent="0.35">
      <c r="A51" s="30">
        <v>48</v>
      </c>
      <c r="B51" s="38" t="s">
        <v>47</v>
      </c>
      <c r="C51" s="116">
        <v>9</v>
      </c>
      <c r="D51" s="33">
        <f t="shared" si="16"/>
        <v>1614.33</v>
      </c>
      <c r="E51" s="120">
        <v>14528.97</v>
      </c>
      <c r="F51" s="34">
        <v>48</v>
      </c>
      <c r="G51" s="38" t="s">
        <v>83</v>
      </c>
      <c r="H51" s="123">
        <v>7</v>
      </c>
      <c r="I51" s="33">
        <f t="shared" si="17"/>
        <v>1475.4642857142858</v>
      </c>
      <c r="J51" s="120">
        <v>10328.25</v>
      </c>
      <c r="K51" s="30">
        <v>48</v>
      </c>
      <c r="L51" s="38" t="s">
        <v>76</v>
      </c>
      <c r="M51" s="120">
        <v>7</v>
      </c>
      <c r="N51" s="33">
        <f t="shared" si="18"/>
        <v>1219.0257142857142</v>
      </c>
      <c r="O51" s="120">
        <v>8533.18</v>
      </c>
      <c r="P51" s="30">
        <v>48</v>
      </c>
      <c r="Q51" s="38" t="s">
        <v>103</v>
      </c>
      <c r="R51" s="120">
        <v>8</v>
      </c>
      <c r="S51" s="33">
        <f t="shared" si="19"/>
        <v>1262.8687500000001</v>
      </c>
      <c r="T51" s="120">
        <v>10102.950000000001</v>
      </c>
      <c r="U51" s="30">
        <v>48</v>
      </c>
      <c r="V51" s="38" t="s">
        <v>83</v>
      </c>
      <c r="W51" s="120">
        <v>6</v>
      </c>
      <c r="X51" s="33">
        <f t="shared" si="4"/>
        <v>1132.82</v>
      </c>
      <c r="Y51" s="120">
        <v>6796.92</v>
      </c>
      <c r="Z51" s="30">
        <v>48</v>
      </c>
      <c r="AA51" s="38" t="s">
        <v>52</v>
      </c>
      <c r="AB51" s="120">
        <v>6</v>
      </c>
      <c r="AC51" s="33">
        <f t="shared" si="5"/>
        <v>1210.8333333333333</v>
      </c>
      <c r="AD51" s="120">
        <v>7265</v>
      </c>
      <c r="AE51" s="30">
        <v>48</v>
      </c>
      <c r="AF51" s="38" t="s">
        <v>52</v>
      </c>
      <c r="AG51" s="126">
        <v>6</v>
      </c>
      <c r="AH51" s="33">
        <f t="shared" si="14"/>
        <v>1129.9616666666668</v>
      </c>
      <c r="AI51" s="120">
        <v>6779.77</v>
      </c>
      <c r="AJ51" s="30">
        <v>48</v>
      </c>
      <c r="AK51" s="38" t="s">
        <v>90</v>
      </c>
      <c r="AL51" s="126">
        <v>6</v>
      </c>
      <c r="AM51" s="33">
        <f t="shared" si="7"/>
        <v>1002.3333333333334</v>
      </c>
      <c r="AN51" s="120">
        <v>6014</v>
      </c>
      <c r="AO51" s="30">
        <v>48</v>
      </c>
      <c r="AP51" s="38" t="s">
        <v>49</v>
      </c>
      <c r="AQ51" s="2">
        <v>7</v>
      </c>
      <c r="AR51" s="33">
        <f t="shared" si="8"/>
        <v>1205.7085714285713</v>
      </c>
      <c r="AS51" s="38">
        <v>8439.9599999999991</v>
      </c>
      <c r="AT51" s="30">
        <v>48</v>
      </c>
      <c r="AU51" s="31" t="s">
        <v>79</v>
      </c>
      <c r="AV51" s="131">
        <v>5</v>
      </c>
      <c r="AW51" s="33">
        <f t="shared" si="9"/>
        <v>1029.684</v>
      </c>
      <c r="AX51" s="134">
        <v>5148.42</v>
      </c>
      <c r="AY51" s="30">
        <v>48</v>
      </c>
      <c r="AZ51" s="38" t="s">
        <v>51</v>
      </c>
      <c r="BA51" s="126">
        <v>7</v>
      </c>
      <c r="BB51" s="33">
        <f t="shared" si="10"/>
        <v>1541.7785714285715</v>
      </c>
      <c r="BC51" s="120">
        <v>10792.45</v>
      </c>
      <c r="BD51" s="30">
        <v>48</v>
      </c>
      <c r="BE51" s="38" t="s">
        <v>63</v>
      </c>
      <c r="BF51" s="126">
        <v>10</v>
      </c>
      <c r="BG51" s="33">
        <f t="shared" si="11"/>
        <v>1811.681</v>
      </c>
      <c r="BH51" s="120">
        <v>18116.810000000001</v>
      </c>
      <c r="BI51" s="30">
        <v>48</v>
      </c>
      <c r="BJ51" s="31" t="s">
        <v>86</v>
      </c>
      <c r="BK51" s="141">
        <v>68</v>
      </c>
      <c r="BL51" s="33">
        <f t="shared" si="13"/>
        <v>1288.1339705882353</v>
      </c>
      <c r="BM51" s="119">
        <v>87593.11</v>
      </c>
      <c r="BN51" s="111">
        <f t="shared" si="15"/>
        <v>1.1838322340605445E-3</v>
      </c>
    </row>
    <row r="52" spans="1:66" x14ac:dyDescent="0.35">
      <c r="A52" s="30">
        <v>49</v>
      </c>
      <c r="B52" s="31" t="s">
        <v>107</v>
      </c>
      <c r="C52" s="115">
        <v>8</v>
      </c>
      <c r="D52" s="33">
        <f t="shared" si="16"/>
        <v>1505.9349999999999</v>
      </c>
      <c r="E52" s="119">
        <v>12047.48</v>
      </c>
      <c r="F52" s="34">
        <v>49</v>
      </c>
      <c r="G52" s="38" t="s">
        <v>100</v>
      </c>
      <c r="H52" s="123">
        <v>7</v>
      </c>
      <c r="I52" s="33">
        <f t="shared" si="17"/>
        <v>1632.2099999999998</v>
      </c>
      <c r="J52" s="120">
        <v>11425.47</v>
      </c>
      <c r="K52" s="30">
        <v>49</v>
      </c>
      <c r="L52" s="38" t="s">
        <v>58</v>
      </c>
      <c r="M52" s="120">
        <v>7</v>
      </c>
      <c r="N52" s="33">
        <f t="shared" si="18"/>
        <v>1258.0771428571429</v>
      </c>
      <c r="O52" s="120">
        <v>8806.5400000000009</v>
      </c>
      <c r="P52" s="30">
        <v>49</v>
      </c>
      <c r="Q52" s="38" t="s">
        <v>49</v>
      </c>
      <c r="R52" s="120">
        <v>7</v>
      </c>
      <c r="S52" s="33">
        <f t="shared" si="19"/>
        <v>1324.8942857142858</v>
      </c>
      <c r="T52" s="120">
        <v>9274.26</v>
      </c>
      <c r="U52" s="30">
        <v>49</v>
      </c>
      <c r="V52" s="38" t="s">
        <v>49</v>
      </c>
      <c r="W52" s="120">
        <v>5</v>
      </c>
      <c r="X52" s="33">
        <f t="shared" si="4"/>
        <v>1544.434</v>
      </c>
      <c r="Y52" s="120">
        <v>7722.17</v>
      </c>
      <c r="Z52" s="30">
        <v>49</v>
      </c>
      <c r="AA52" s="38" t="s">
        <v>42</v>
      </c>
      <c r="AB52" s="120">
        <v>5</v>
      </c>
      <c r="AC52" s="33">
        <f t="shared" si="5"/>
        <v>1277.202</v>
      </c>
      <c r="AD52" s="120">
        <v>6386.01</v>
      </c>
      <c r="AE52" s="30">
        <v>49</v>
      </c>
      <c r="AF52" s="38" t="s">
        <v>96</v>
      </c>
      <c r="AG52" s="126">
        <v>5</v>
      </c>
      <c r="AH52" s="33">
        <f t="shared" si="14"/>
        <v>1312.184</v>
      </c>
      <c r="AI52" s="120">
        <v>6560.92</v>
      </c>
      <c r="AJ52" s="30">
        <v>49</v>
      </c>
      <c r="AK52" s="38" t="s">
        <v>58</v>
      </c>
      <c r="AL52" s="126">
        <v>6</v>
      </c>
      <c r="AM52" s="33">
        <f t="shared" si="7"/>
        <v>1239.7166666666667</v>
      </c>
      <c r="AN52" s="120">
        <v>7438.3</v>
      </c>
      <c r="AO52" s="30">
        <v>49</v>
      </c>
      <c r="AP52" s="31" t="s">
        <v>74</v>
      </c>
      <c r="AQ52" s="39">
        <v>6</v>
      </c>
      <c r="AR52" s="33">
        <f t="shared" si="8"/>
        <v>1129.9866666666667</v>
      </c>
      <c r="AS52" s="40">
        <v>6779.92</v>
      </c>
      <c r="AT52" s="30">
        <v>49</v>
      </c>
      <c r="AU52" s="38" t="s">
        <v>148</v>
      </c>
      <c r="AV52" s="126">
        <v>5</v>
      </c>
      <c r="AW52" s="33">
        <f t="shared" si="9"/>
        <v>1702.2779999999998</v>
      </c>
      <c r="AX52" s="120">
        <v>8511.39</v>
      </c>
      <c r="AY52" s="30">
        <v>49</v>
      </c>
      <c r="AZ52" s="38" t="s">
        <v>63</v>
      </c>
      <c r="BA52" s="126">
        <v>7</v>
      </c>
      <c r="BB52" s="33">
        <f t="shared" si="10"/>
        <v>1437.55</v>
      </c>
      <c r="BC52" s="120">
        <v>10062.85</v>
      </c>
      <c r="BD52" s="30">
        <v>49</v>
      </c>
      <c r="BE52" s="31" t="s">
        <v>68</v>
      </c>
      <c r="BF52" s="131">
        <v>9</v>
      </c>
      <c r="BG52" s="33">
        <f t="shared" si="11"/>
        <v>1408.1622222222222</v>
      </c>
      <c r="BH52" s="134">
        <v>12673.46</v>
      </c>
      <c r="BI52" s="30">
        <v>49</v>
      </c>
      <c r="BJ52" s="38" t="s">
        <v>47</v>
      </c>
      <c r="BK52" s="140">
        <v>67</v>
      </c>
      <c r="BL52" s="33">
        <f t="shared" si="13"/>
        <v>1516.7835820895523</v>
      </c>
      <c r="BM52" s="144">
        <v>101624.5</v>
      </c>
      <c r="BN52" s="111">
        <f t="shared" si="15"/>
        <v>1.150008455944529E-3</v>
      </c>
    </row>
    <row r="53" spans="1:66" x14ac:dyDescent="0.35">
      <c r="A53" s="30">
        <v>50</v>
      </c>
      <c r="B53" s="31" t="s">
        <v>79</v>
      </c>
      <c r="C53" s="115">
        <v>7</v>
      </c>
      <c r="D53" s="33">
        <f t="shared" si="16"/>
        <v>1967.3428571428572</v>
      </c>
      <c r="E53" s="119">
        <v>13771.4</v>
      </c>
      <c r="F53" s="34">
        <v>50</v>
      </c>
      <c r="G53" s="38" t="s">
        <v>73</v>
      </c>
      <c r="H53" s="123">
        <v>6</v>
      </c>
      <c r="I53" s="33">
        <f t="shared" si="17"/>
        <v>1583.9683333333332</v>
      </c>
      <c r="J53" s="120">
        <v>9503.81</v>
      </c>
      <c r="K53" s="30">
        <v>50</v>
      </c>
      <c r="L53" s="38" t="s">
        <v>49</v>
      </c>
      <c r="M53" s="120">
        <v>6</v>
      </c>
      <c r="N53" s="33">
        <f t="shared" si="18"/>
        <v>1803.3683333333331</v>
      </c>
      <c r="O53" s="120">
        <v>10820.21</v>
      </c>
      <c r="P53" s="30">
        <v>50</v>
      </c>
      <c r="Q53" s="38" t="s">
        <v>51</v>
      </c>
      <c r="R53" s="120">
        <v>6</v>
      </c>
      <c r="S53" s="33">
        <f t="shared" si="19"/>
        <v>1202.0483333333334</v>
      </c>
      <c r="T53" s="120">
        <v>7212.29</v>
      </c>
      <c r="U53" s="30">
        <v>50</v>
      </c>
      <c r="V53" s="38" t="s">
        <v>58</v>
      </c>
      <c r="W53" s="120">
        <v>5</v>
      </c>
      <c r="X53" s="33">
        <f t="shared" si="4"/>
        <v>1068.9459999999999</v>
      </c>
      <c r="Y53" s="120">
        <v>5344.73</v>
      </c>
      <c r="Z53" s="30">
        <v>50</v>
      </c>
      <c r="AA53" s="31" t="s">
        <v>44</v>
      </c>
      <c r="AB53" s="119">
        <v>4</v>
      </c>
      <c r="AC53" s="33">
        <f t="shared" si="5"/>
        <v>1210.6175000000001</v>
      </c>
      <c r="AD53" s="119">
        <v>4842.47</v>
      </c>
      <c r="AE53" s="30">
        <v>50</v>
      </c>
      <c r="AF53" s="38" t="s">
        <v>101</v>
      </c>
      <c r="AG53" s="126">
        <v>5</v>
      </c>
      <c r="AH53" s="33">
        <f t="shared" si="14"/>
        <v>1620</v>
      </c>
      <c r="AI53" s="120">
        <v>8100</v>
      </c>
      <c r="AJ53" s="30">
        <v>50</v>
      </c>
      <c r="AK53" s="38" t="s">
        <v>67</v>
      </c>
      <c r="AL53" s="126">
        <v>5</v>
      </c>
      <c r="AM53" s="33">
        <f t="shared" si="7"/>
        <v>1329.1320000000001</v>
      </c>
      <c r="AN53" s="120">
        <v>6645.66</v>
      </c>
      <c r="AO53" s="30">
        <v>50</v>
      </c>
      <c r="AP53" s="38" t="s">
        <v>76</v>
      </c>
      <c r="AQ53" s="2">
        <v>6</v>
      </c>
      <c r="AR53" s="33">
        <f t="shared" si="8"/>
        <v>757.86666666666667</v>
      </c>
      <c r="AS53" s="38">
        <v>4547.2</v>
      </c>
      <c r="AT53" s="30">
        <v>50</v>
      </c>
      <c r="AU53" s="31" t="s">
        <v>80</v>
      </c>
      <c r="AV53" s="131">
        <v>4</v>
      </c>
      <c r="AW53" s="33">
        <f t="shared" si="9"/>
        <v>1189.46</v>
      </c>
      <c r="AX53" s="134">
        <v>4757.84</v>
      </c>
      <c r="AY53" s="30">
        <v>50</v>
      </c>
      <c r="AZ53" s="38" t="s">
        <v>111</v>
      </c>
      <c r="BA53" s="126">
        <v>7</v>
      </c>
      <c r="BB53" s="33">
        <f t="shared" si="10"/>
        <v>1486.2957142857142</v>
      </c>
      <c r="BC53" s="120">
        <v>10404.07</v>
      </c>
      <c r="BD53" s="30">
        <v>50</v>
      </c>
      <c r="BE53" s="38" t="s">
        <v>66</v>
      </c>
      <c r="BF53" s="126">
        <v>9</v>
      </c>
      <c r="BG53" s="33">
        <f t="shared" si="11"/>
        <v>1361.7244444444445</v>
      </c>
      <c r="BH53" s="120">
        <v>12255.52</v>
      </c>
      <c r="BI53" s="30">
        <v>50</v>
      </c>
      <c r="BJ53" s="31" t="s">
        <v>92</v>
      </c>
      <c r="BK53" s="141">
        <v>66</v>
      </c>
      <c r="BL53" s="33">
        <f t="shared" si="13"/>
        <v>1566.0159090909092</v>
      </c>
      <c r="BM53" s="119">
        <v>103357.05</v>
      </c>
      <c r="BN53" s="111">
        <f t="shared" si="15"/>
        <v>1.1330965668865211E-3</v>
      </c>
    </row>
    <row r="54" spans="1:66" x14ac:dyDescent="0.35">
      <c r="A54" s="30">
        <v>51</v>
      </c>
      <c r="B54" s="31" t="s">
        <v>67</v>
      </c>
      <c r="C54" s="115">
        <v>7</v>
      </c>
      <c r="D54" s="33">
        <f t="shared" si="16"/>
        <v>1865.84</v>
      </c>
      <c r="E54" s="119">
        <v>13060.88</v>
      </c>
      <c r="F54" s="34">
        <v>51</v>
      </c>
      <c r="G54" s="38" t="s">
        <v>66</v>
      </c>
      <c r="H54" s="123">
        <v>6</v>
      </c>
      <c r="I54" s="33">
        <f t="shared" si="17"/>
        <v>1380.8616666666667</v>
      </c>
      <c r="J54" s="120">
        <v>8285.17</v>
      </c>
      <c r="K54" s="30">
        <v>51</v>
      </c>
      <c r="L54" s="38" t="s">
        <v>100</v>
      </c>
      <c r="M54" s="120">
        <v>6</v>
      </c>
      <c r="N54" s="33">
        <f t="shared" si="18"/>
        <v>2201.2800000000002</v>
      </c>
      <c r="O54" s="120">
        <v>13207.68</v>
      </c>
      <c r="P54" s="30">
        <v>51</v>
      </c>
      <c r="Q54" s="38" t="s">
        <v>93</v>
      </c>
      <c r="R54" s="120">
        <v>6</v>
      </c>
      <c r="S54" s="33">
        <f t="shared" si="19"/>
        <v>1397.9483333333335</v>
      </c>
      <c r="T54" s="120">
        <v>8387.69</v>
      </c>
      <c r="U54" s="30">
        <v>51</v>
      </c>
      <c r="V54" s="31" t="s">
        <v>98</v>
      </c>
      <c r="W54" s="119">
        <v>4</v>
      </c>
      <c r="X54" s="33">
        <f t="shared" si="4"/>
        <v>1473.6824999999999</v>
      </c>
      <c r="Y54" s="119">
        <v>5894.73</v>
      </c>
      <c r="Z54" s="30">
        <v>51</v>
      </c>
      <c r="AA54" s="38" t="s">
        <v>80</v>
      </c>
      <c r="AB54" s="119">
        <v>4</v>
      </c>
      <c r="AC54" s="33">
        <f t="shared" si="5"/>
        <v>1104.5</v>
      </c>
      <c r="AD54" s="119">
        <v>4418</v>
      </c>
      <c r="AE54" s="30">
        <v>51</v>
      </c>
      <c r="AF54" s="38" t="s">
        <v>51</v>
      </c>
      <c r="AG54" s="126">
        <v>4</v>
      </c>
      <c r="AH54" s="33">
        <f t="shared" si="14"/>
        <v>983.3</v>
      </c>
      <c r="AI54" s="120">
        <v>3933.2</v>
      </c>
      <c r="AJ54" s="30">
        <v>51</v>
      </c>
      <c r="AK54" s="38" t="s">
        <v>120</v>
      </c>
      <c r="AL54" s="126">
        <v>5</v>
      </c>
      <c r="AM54" s="33">
        <f t="shared" si="7"/>
        <v>1110.1799999999998</v>
      </c>
      <c r="AN54" s="120">
        <v>5550.9</v>
      </c>
      <c r="AO54" s="30">
        <v>51</v>
      </c>
      <c r="AP54" s="38" t="s">
        <v>50</v>
      </c>
      <c r="AQ54" s="2">
        <v>6</v>
      </c>
      <c r="AR54" s="33">
        <f t="shared" si="8"/>
        <v>1452.1450000000002</v>
      </c>
      <c r="AS54" s="38">
        <v>8712.8700000000008</v>
      </c>
      <c r="AT54" s="30">
        <v>51</v>
      </c>
      <c r="AU54" s="38" t="s">
        <v>73</v>
      </c>
      <c r="AV54" s="126">
        <v>4</v>
      </c>
      <c r="AW54" s="33">
        <f t="shared" si="9"/>
        <v>917.59</v>
      </c>
      <c r="AX54" s="120">
        <v>3670.36</v>
      </c>
      <c r="AY54" s="30">
        <v>51</v>
      </c>
      <c r="AZ54" s="31" t="s">
        <v>142</v>
      </c>
      <c r="BA54" s="132">
        <v>6</v>
      </c>
      <c r="BB54" s="33">
        <f t="shared" si="10"/>
        <v>1247.3999999999999</v>
      </c>
      <c r="BC54" s="135">
        <v>7484.4</v>
      </c>
      <c r="BD54" s="30">
        <v>51</v>
      </c>
      <c r="BE54" s="31" t="s">
        <v>82</v>
      </c>
      <c r="BF54" s="132">
        <v>8</v>
      </c>
      <c r="BG54" s="33">
        <f t="shared" si="11"/>
        <v>1330.3612499999999</v>
      </c>
      <c r="BH54" s="135">
        <v>10642.89</v>
      </c>
      <c r="BI54" s="30">
        <v>51</v>
      </c>
      <c r="BJ54" s="31" t="s">
        <v>45</v>
      </c>
      <c r="BK54" s="141">
        <v>64</v>
      </c>
      <c r="BL54" s="33">
        <f t="shared" si="13"/>
        <v>1591.8114062499999</v>
      </c>
      <c r="BM54" s="119">
        <v>101875.93</v>
      </c>
      <c r="BN54" s="111">
        <f t="shared" ref="BN54:BN85" si="20">BK53/$BK$3</f>
        <v>1.1161846778285135E-3</v>
      </c>
    </row>
    <row r="55" spans="1:66" x14ac:dyDescent="0.35">
      <c r="A55" s="30">
        <v>52</v>
      </c>
      <c r="B55" s="31" t="s">
        <v>82</v>
      </c>
      <c r="C55" s="115">
        <v>7</v>
      </c>
      <c r="D55" s="33">
        <f t="shared" si="16"/>
        <v>1626.53</v>
      </c>
      <c r="E55" s="119">
        <v>11385.71</v>
      </c>
      <c r="F55" s="34">
        <v>52</v>
      </c>
      <c r="G55" s="38" t="s">
        <v>128</v>
      </c>
      <c r="H55" s="123">
        <v>6</v>
      </c>
      <c r="I55" s="33">
        <f t="shared" si="17"/>
        <v>1601.7049999999999</v>
      </c>
      <c r="J55" s="120">
        <v>9610.23</v>
      </c>
      <c r="K55" s="30">
        <v>52</v>
      </c>
      <c r="L55" s="38" t="s">
        <v>42</v>
      </c>
      <c r="M55" s="120">
        <v>5</v>
      </c>
      <c r="N55" s="33">
        <f t="shared" si="18"/>
        <v>1406.788</v>
      </c>
      <c r="O55" s="120">
        <v>7033.94</v>
      </c>
      <c r="P55" s="30">
        <v>52</v>
      </c>
      <c r="Q55" s="38" t="s">
        <v>134</v>
      </c>
      <c r="R55" s="120">
        <v>6</v>
      </c>
      <c r="S55" s="33">
        <f t="shared" si="19"/>
        <v>1434.6216666666667</v>
      </c>
      <c r="T55" s="120">
        <v>8607.73</v>
      </c>
      <c r="U55" s="30">
        <v>52</v>
      </c>
      <c r="V55" s="38" t="s">
        <v>75</v>
      </c>
      <c r="W55" s="120">
        <v>4</v>
      </c>
      <c r="X55" s="33">
        <f t="shared" si="4"/>
        <v>1205.355</v>
      </c>
      <c r="Y55" s="120">
        <v>4821.42</v>
      </c>
      <c r="Z55" s="30">
        <v>52</v>
      </c>
      <c r="AA55" s="38" t="s">
        <v>78</v>
      </c>
      <c r="AB55" s="119">
        <v>4</v>
      </c>
      <c r="AC55" s="33">
        <f t="shared" si="5"/>
        <v>1151.6675</v>
      </c>
      <c r="AD55" s="119">
        <v>4606.67</v>
      </c>
      <c r="AE55" s="30">
        <v>52</v>
      </c>
      <c r="AF55" s="38" t="s">
        <v>130</v>
      </c>
      <c r="AG55" s="126">
        <v>4</v>
      </c>
      <c r="AH55" s="33">
        <f t="shared" si="14"/>
        <v>1190.105</v>
      </c>
      <c r="AI55" s="120">
        <v>4760.42</v>
      </c>
      <c r="AJ55" s="30">
        <v>52</v>
      </c>
      <c r="AK55" s="38" t="s">
        <v>61</v>
      </c>
      <c r="AL55" s="126">
        <v>5</v>
      </c>
      <c r="AM55" s="33">
        <f t="shared" si="7"/>
        <v>1230.7040000000002</v>
      </c>
      <c r="AN55" s="120">
        <v>6153.52</v>
      </c>
      <c r="AO55" s="30">
        <v>52</v>
      </c>
      <c r="AP55" s="38" t="s">
        <v>111</v>
      </c>
      <c r="AQ55" s="2">
        <v>5</v>
      </c>
      <c r="AR55" s="33">
        <f t="shared" si="8"/>
        <v>1136.8399999999999</v>
      </c>
      <c r="AS55" s="38">
        <v>5684.2</v>
      </c>
      <c r="AT55" s="30">
        <v>52</v>
      </c>
      <c r="AU55" s="38" t="s">
        <v>111</v>
      </c>
      <c r="AV55" s="126">
        <v>4</v>
      </c>
      <c r="AW55" s="33">
        <f t="shared" si="9"/>
        <v>994.05499999999995</v>
      </c>
      <c r="AX55" s="120">
        <v>3976.22</v>
      </c>
      <c r="AY55" s="30">
        <v>52</v>
      </c>
      <c r="AZ55" s="31" t="s">
        <v>82</v>
      </c>
      <c r="BA55" s="132">
        <v>6</v>
      </c>
      <c r="BB55" s="33">
        <f t="shared" si="10"/>
        <v>1601.1916666666666</v>
      </c>
      <c r="BC55" s="135">
        <v>9607.15</v>
      </c>
      <c r="BD55" s="30">
        <v>52</v>
      </c>
      <c r="BE55" s="38" t="s">
        <v>88</v>
      </c>
      <c r="BF55" s="126">
        <v>8</v>
      </c>
      <c r="BG55" s="33">
        <f t="shared" si="11"/>
        <v>1487.10625</v>
      </c>
      <c r="BH55" s="120">
        <v>11896.85</v>
      </c>
      <c r="BI55" s="30">
        <v>52</v>
      </c>
      <c r="BJ55" s="31" t="s">
        <v>79</v>
      </c>
      <c r="BK55" s="141">
        <v>61</v>
      </c>
      <c r="BL55" s="33">
        <f t="shared" si="13"/>
        <v>1782.6067213114752</v>
      </c>
      <c r="BM55" s="119">
        <v>108739.01</v>
      </c>
      <c r="BN55" s="111">
        <f t="shared" si="20"/>
        <v>1.082360899712498E-3</v>
      </c>
    </row>
    <row r="56" spans="1:66" x14ac:dyDescent="0.35">
      <c r="A56" s="30">
        <v>53</v>
      </c>
      <c r="B56" s="38" t="s">
        <v>94</v>
      </c>
      <c r="C56" s="116">
        <v>7</v>
      </c>
      <c r="D56" s="33">
        <f t="shared" si="16"/>
        <v>1401.8700000000001</v>
      </c>
      <c r="E56" s="120">
        <v>9813.09</v>
      </c>
      <c r="F56" s="34">
        <v>53</v>
      </c>
      <c r="G56" s="31" t="s">
        <v>107</v>
      </c>
      <c r="H56" s="122">
        <v>5</v>
      </c>
      <c r="I56" s="33">
        <f t="shared" si="17"/>
        <v>1265.934</v>
      </c>
      <c r="J56" s="119">
        <v>6329.67</v>
      </c>
      <c r="K56" s="30">
        <v>53</v>
      </c>
      <c r="L56" s="31" t="s">
        <v>54</v>
      </c>
      <c r="M56" s="119">
        <v>4</v>
      </c>
      <c r="N56" s="33">
        <f t="shared" si="18"/>
        <v>1472.345</v>
      </c>
      <c r="O56" s="119">
        <v>5889.38</v>
      </c>
      <c r="P56" s="30">
        <v>53</v>
      </c>
      <c r="Q56" s="31" t="s">
        <v>81</v>
      </c>
      <c r="R56" s="119">
        <v>5</v>
      </c>
      <c r="S56" s="33">
        <f t="shared" si="19"/>
        <v>1969.1419999999998</v>
      </c>
      <c r="T56" s="119">
        <v>9845.7099999999991</v>
      </c>
      <c r="U56" s="30">
        <v>53</v>
      </c>
      <c r="V56" s="38" t="s">
        <v>52</v>
      </c>
      <c r="W56" s="120">
        <v>4</v>
      </c>
      <c r="X56" s="33">
        <f t="shared" si="4"/>
        <v>1471.9825000000001</v>
      </c>
      <c r="Y56" s="120">
        <v>5887.93</v>
      </c>
      <c r="Z56" s="30">
        <v>53</v>
      </c>
      <c r="AA56" s="38" t="s">
        <v>70</v>
      </c>
      <c r="AB56" s="120">
        <v>4</v>
      </c>
      <c r="AC56" s="33">
        <f t="shared" si="5"/>
        <v>1153.24</v>
      </c>
      <c r="AD56" s="120">
        <v>4612.96</v>
      </c>
      <c r="AE56" s="30">
        <v>53</v>
      </c>
      <c r="AF56" s="38" t="s">
        <v>99</v>
      </c>
      <c r="AG56" s="126">
        <v>4</v>
      </c>
      <c r="AH56" s="33">
        <f t="shared" si="14"/>
        <v>1232.3900000000001</v>
      </c>
      <c r="AI56" s="120">
        <v>4929.5600000000004</v>
      </c>
      <c r="AJ56" s="30">
        <v>53</v>
      </c>
      <c r="AK56" s="38" t="s">
        <v>103</v>
      </c>
      <c r="AL56" s="126">
        <v>5</v>
      </c>
      <c r="AM56" s="33">
        <f t="shared" si="7"/>
        <v>1440.174</v>
      </c>
      <c r="AN56" s="120">
        <v>7200.87</v>
      </c>
      <c r="AO56" s="30">
        <v>53</v>
      </c>
      <c r="AP56" s="38" t="s">
        <v>48</v>
      </c>
      <c r="AQ56" s="2">
        <v>5</v>
      </c>
      <c r="AR56" s="33">
        <f t="shared" si="8"/>
        <v>1053.6379999999999</v>
      </c>
      <c r="AS56" s="38">
        <v>5268.19</v>
      </c>
      <c r="AT56" s="30">
        <v>53</v>
      </c>
      <c r="AU56" s="38" t="s">
        <v>116</v>
      </c>
      <c r="AV56" s="126">
        <v>4</v>
      </c>
      <c r="AW56" s="33">
        <f t="shared" si="9"/>
        <v>1153.3150000000001</v>
      </c>
      <c r="AX56" s="120">
        <v>4613.26</v>
      </c>
      <c r="AY56" s="30">
        <v>53</v>
      </c>
      <c r="AZ56" s="38" t="s">
        <v>77</v>
      </c>
      <c r="BA56" s="126">
        <v>6</v>
      </c>
      <c r="BB56" s="33">
        <f t="shared" si="10"/>
        <v>1534.9966666666667</v>
      </c>
      <c r="BC56" s="120">
        <v>9209.98</v>
      </c>
      <c r="BD56" s="30">
        <v>53</v>
      </c>
      <c r="BE56" s="38" t="s">
        <v>149</v>
      </c>
      <c r="BF56" s="126">
        <v>8</v>
      </c>
      <c r="BG56" s="33">
        <f t="shared" si="11"/>
        <v>1670.77125</v>
      </c>
      <c r="BH56" s="120">
        <v>13366.17</v>
      </c>
      <c r="BI56" s="30">
        <v>53</v>
      </c>
      <c r="BJ56" s="38" t="s">
        <v>111</v>
      </c>
      <c r="BK56" s="141">
        <v>60</v>
      </c>
      <c r="BL56" s="33">
        <f t="shared" si="13"/>
        <v>1370.7666666666667</v>
      </c>
      <c r="BM56" s="144">
        <v>82246</v>
      </c>
      <c r="BN56" s="111">
        <f t="shared" si="20"/>
        <v>1.0316252325384746E-3</v>
      </c>
    </row>
    <row r="57" spans="1:66" x14ac:dyDescent="0.35">
      <c r="A57" s="30">
        <v>54</v>
      </c>
      <c r="B57" s="38" t="s">
        <v>135</v>
      </c>
      <c r="C57" s="115">
        <v>6</v>
      </c>
      <c r="D57" s="33">
        <f t="shared" si="16"/>
        <v>1575.1899999999998</v>
      </c>
      <c r="E57" s="119">
        <v>9451.14</v>
      </c>
      <c r="F57" s="34">
        <v>54</v>
      </c>
      <c r="G57" s="31" t="s">
        <v>44</v>
      </c>
      <c r="H57" s="122">
        <v>5</v>
      </c>
      <c r="I57" s="33">
        <f t="shared" si="17"/>
        <v>2059.38</v>
      </c>
      <c r="J57" s="119">
        <v>10296.9</v>
      </c>
      <c r="K57" s="30">
        <v>54</v>
      </c>
      <c r="L57" s="31" t="s">
        <v>120</v>
      </c>
      <c r="M57" s="119">
        <v>4</v>
      </c>
      <c r="N57" s="33">
        <f t="shared" si="18"/>
        <v>1409.0625</v>
      </c>
      <c r="O57" s="119">
        <v>5636.25</v>
      </c>
      <c r="P57" s="30">
        <v>54</v>
      </c>
      <c r="Q57" s="31" t="s">
        <v>79</v>
      </c>
      <c r="R57" s="119">
        <v>5</v>
      </c>
      <c r="S57" s="33">
        <f t="shared" si="19"/>
        <v>1759.8240000000001</v>
      </c>
      <c r="T57" s="119">
        <v>8799.1200000000008</v>
      </c>
      <c r="U57" s="30">
        <v>54</v>
      </c>
      <c r="V57" s="31" t="s">
        <v>113</v>
      </c>
      <c r="W57" s="119">
        <v>3</v>
      </c>
      <c r="X57" s="33">
        <f t="shared" si="4"/>
        <v>1167.71</v>
      </c>
      <c r="Y57" s="119">
        <v>3503.13</v>
      </c>
      <c r="Z57" s="30">
        <v>54</v>
      </c>
      <c r="AA57" s="38" t="s">
        <v>61</v>
      </c>
      <c r="AB57" s="120">
        <v>4</v>
      </c>
      <c r="AC57" s="33">
        <f t="shared" si="5"/>
        <v>1142.9100000000001</v>
      </c>
      <c r="AD57" s="120">
        <v>4571.6400000000003</v>
      </c>
      <c r="AE57" s="30">
        <v>54</v>
      </c>
      <c r="AF57" s="31" t="s">
        <v>79</v>
      </c>
      <c r="AG57" s="131">
        <v>3</v>
      </c>
      <c r="AH57" s="33">
        <f t="shared" si="14"/>
        <v>1181.6200000000001</v>
      </c>
      <c r="AI57" s="134">
        <v>3544.86</v>
      </c>
      <c r="AJ57" s="30">
        <v>54</v>
      </c>
      <c r="AK57" s="38" t="s">
        <v>113</v>
      </c>
      <c r="AL57" s="126">
        <v>4</v>
      </c>
      <c r="AM57" s="33">
        <f t="shared" si="7"/>
        <v>1028.0325</v>
      </c>
      <c r="AN57" s="120">
        <v>4112.13</v>
      </c>
      <c r="AO57" s="30">
        <v>54</v>
      </c>
      <c r="AP57" s="31" t="s">
        <v>79</v>
      </c>
      <c r="AQ57" s="39">
        <v>4</v>
      </c>
      <c r="AR57" s="33">
        <f t="shared" si="8"/>
        <v>1884.4124999999999</v>
      </c>
      <c r="AS57" s="40">
        <v>7537.65</v>
      </c>
      <c r="AT57" s="30">
        <v>54</v>
      </c>
      <c r="AU57" s="38" t="s">
        <v>93</v>
      </c>
      <c r="AV57" s="126">
        <v>4</v>
      </c>
      <c r="AW57" s="33">
        <f t="shared" si="9"/>
        <v>1503.06</v>
      </c>
      <c r="AX57" s="120">
        <v>6012.24</v>
      </c>
      <c r="AY57" s="30">
        <v>54</v>
      </c>
      <c r="AZ57" s="38" t="s">
        <v>91</v>
      </c>
      <c r="BA57" s="126">
        <v>6</v>
      </c>
      <c r="BB57" s="33">
        <f t="shared" si="10"/>
        <v>1494</v>
      </c>
      <c r="BC57" s="120">
        <v>8964</v>
      </c>
      <c r="BD57" s="30">
        <v>54</v>
      </c>
      <c r="BE57" s="38" t="s">
        <v>93</v>
      </c>
      <c r="BF57" s="126">
        <v>7</v>
      </c>
      <c r="BG57" s="33">
        <f t="shared" si="11"/>
        <v>1811.5828571428572</v>
      </c>
      <c r="BH57" s="120">
        <v>12681.08</v>
      </c>
      <c r="BI57" s="30">
        <v>54</v>
      </c>
      <c r="BJ57" s="38" t="s">
        <v>96</v>
      </c>
      <c r="BK57" s="141">
        <v>60</v>
      </c>
      <c r="BL57" s="33">
        <f t="shared" si="13"/>
        <v>1426.0133333333333</v>
      </c>
      <c r="BM57" s="144">
        <v>85560.8</v>
      </c>
      <c r="BN57" s="111">
        <f t="shared" si="20"/>
        <v>1.0147133434804667E-3</v>
      </c>
    </row>
    <row r="58" spans="1:66" x14ac:dyDescent="0.35">
      <c r="A58" s="30">
        <v>55</v>
      </c>
      <c r="B58" s="38" t="s">
        <v>136</v>
      </c>
      <c r="C58" s="116">
        <v>6</v>
      </c>
      <c r="D58" s="33">
        <f t="shared" si="16"/>
        <v>2118.6633333333334</v>
      </c>
      <c r="E58" s="120">
        <v>12711.98</v>
      </c>
      <c r="F58" s="34">
        <v>55</v>
      </c>
      <c r="G58" s="38" t="s">
        <v>102</v>
      </c>
      <c r="H58" s="122">
        <v>5</v>
      </c>
      <c r="I58" s="33">
        <f t="shared" si="17"/>
        <v>1746.0160000000001</v>
      </c>
      <c r="J58" s="119">
        <v>8730.08</v>
      </c>
      <c r="K58" s="30">
        <v>55</v>
      </c>
      <c r="L58" s="38" t="s">
        <v>57</v>
      </c>
      <c r="M58" s="120">
        <v>4</v>
      </c>
      <c r="N58" s="33">
        <f t="shared" si="18"/>
        <v>1465.2049999999999</v>
      </c>
      <c r="O58" s="120">
        <v>5860.82</v>
      </c>
      <c r="P58" s="30">
        <v>55</v>
      </c>
      <c r="Q58" s="31" t="s">
        <v>44</v>
      </c>
      <c r="R58" s="119">
        <v>5</v>
      </c>
      <c r="S58" s="33">
        <f t="shared" si="19"/>
        <v>1124.06</v>
      </c>
      <c r="T58" s="119">
        <v>5620.3</v>
      </c>
      <c r="U58" s="30">
        <v>55</v>
      </c>
      <c r="V58" s="31" t="s">
        <v>67</v>
      </c>
      <c r="W58" s="119">
        <v>3</v>
      </c>
      <c r="X58" s="33">
        <f t="shared" si="4"/>
        <v>1109.25</v>
      </c>
      <c r="Y58" s="119">
        <v>3327.75</v>
      </c>
      <c r="Z58" s="30">
        <v>55</v>
      </c>
      <c r="AA58" s="38" t="s">
        <v>47</v>
      </c>
      <c r="AB58" s="120">
        <v>4</v>
      </c>
      <c r="AC58" s="33">
        <f t="shared" si="5"/>
        <v>1527.78</v>
      </c>
      <c r="AD58" s="120">
        <v>6111.12</v>
      </c>
      <c r="AE58" s="30">
        <v>55</v>
      </c>
      <c r="AF58" s="31" t="s">
        <v>45</v>
      </c>
      <c r="AG58" s="131">
        <v>3</v>
      </c>
      <c r="AH58" s="33">
        <f t="shared" si="14"/>
        <v>1711.3233333333335</v>
      </c>
      <c r="AI58" s="134">
        <v>5133.97</v>
      </c>
      <c r="AJ58" s="30">
        <v>55</v>
      </c>
      <c r="AK58" s="38" t="s">
        <v>62</v>
      </c>
      <c r="AL58" s="126">
        <v>4</v>
      </c>
      <c r="AM58" s="33">
        <f t="shared" si="7"/>
        <v>917.59</v>
      </c>
      <c r="AN58" s="120">
        <v>3670.36</v>
      </c>
      <c r="AO58" s="30">
        <v>55</v>
      </c>
      <c r="AP58" s="38" t="s">
        <v>72</v>
      </c>
      <c r="AQ58" s="39">
        <v>4</v>
      </c>
      <c r="AR58" s="33">
        <f t="shared" si="8"/>
        <v>1145.92</v>
      </c>
      <c r="AS58" s="40">
        <v>4583.68</v>
      </c>
      <c r="AT58" s="30">
        <v>55</v>
      </c>
      <c r="AU58" s="38" t="s">
        <v>127</v>
      </c>
      <c r="AV58" s="126">
        <v>4</v>
      </c>
      <c r="AW58" s="33">
        <f t="shared" si="9"/>
        <v>1890.14</v>
      </c>
      <c r="AX58" s="120">
        <v>7560.56</v>
      </c>
      <c r="AY58" s="30">
        <v>55</v>
      </c>
      <c r="AZ58" s="38" t="s">
        <v>158</v>
      </c>
      <c r="BA58" s="126">
        <v>6</v>
      </c>
      <c r="BB58" s="33">
        <f t="shared" si="10"/>
        <v>1548</v>
      </c>
      <c r="BC58" s="120">
        <v>9288</v>
      </c>
      <c r="BD58" s="30">
        <v>55</v>
      </c>
      <c r="BE58" s="38" t="s">
        <v>47</v>
      </c>
      <c r="BF58" s="126">
        <v>7</v>
      </c>
      <c r="BG58" s="33">
        <f t="shared" si="11"/>
        <v>2282.9842857142858</v>
      </c>
      <c r="BH58" s="120">
        <v>15980.89</v>
      </c>
      <c r="BI58" s="30">
        <v>55</v>
      </c>
      <c r="BJ58" s="31" t="s">
        <v>82</v>
      </c>
      <c r="BK58" s="141">
        <v>57</v>
      </c>
      <c r="BL58" s="33">
        <f t="shared" si="13"/>
        <v>1268.6256140350879</v>
      </c>
      <c r="BM58" s="119">
        <v>72311.66</v>
      </c>
      <c r="BN58" s="111">
        <f t="shared" si="20"/>
        <v>1.0147133434804667E-3</v>
      </c>
    </row>
    <row r="59" spans="1:66" x14ac:dyDescent="0.35">
      <c r="A59" s="30">
        <v>56</v>
      </c>
      <c r="B59" s="38" t="s">
        <v>28</v>
      </c>
      <c r="C59" s="116">
        <v>6</v>
      </c>
      <c r="D59" s="33">
        <f t="shared" si="16"/>
        <v>2137.3650000000002</v>
      </c>
      <c r="E59" s="120">
        <v>12824.19</v>
      </c>
      <c r="F59" s="34">
        <v>56</v>
      </c>
      <c r="G59" s="38" t="s">
        <v>103</v>
      </c>
      <c r="H59" s="123">
        <v>5</v>
      </c>
      <c r="I59" s="33">
        <f t="shared" si="17"/>
        <v>1488.1179999999999</v>
      </c>
      <c r="J59" s="120">
        <v>7440.59</v>
      </c>
      <c r="K59" s="30">
        <v>56</v>
      </c>
      <c r="L59" s="31" t="s">
        <v>45</v>
      </c>
      <c r="M59" s="119">
        <v>3</v>
      </c>
      <c r="N59" s="33">
        <f t="shared" si="18"/>
        <v>1147.5</v>
      </c>
      <c r="O59" s="119">
        <v>3442.5</v>
      </c>
      <c r="P59" s="30">
        <v>56</v>
      </c>
      <c r="Q59" s="31" t="s">
        <v>62</v>
      </c>
      <c r="R59" s="119">
        <v>4</v>
      </c>
      <c r="S59" s="33">
        <f t="shared" si="19"/>
        <v>1296.0899999999999</v>
      </c>
      <c r="T59" s="119">
        <v>5184.3599999999997</v>
      </c>
      <c r="U59" s="30">
        <v>56</v>
      </c>
      <c r="V59" s="31" t="s">
        <v>137</v>
      </c>
      <c r="W59" s="119">
        <v>3</v>
      </c>
      <c r="X59" s="33">
        <f t="shared" si="4"/>
        <v>1664.9133333333332</v>
      </c>
      <c r="Y59" s="119">
        <v>4994.74</v>
      </c>
      <c r="Z59" s="30">
        <v>56</v>
      </c>
      <c r="AA59" s="31" t="s">
        <v>87</v>
      </c>
      <c r="AB59" s="119">
        <v>3</v>
      </c>
      <c r="AC59" s="33">
        <f t="shared" si="5"/>
        <v>1333.8999999999999</v>
      </c>
      <c r="AD59" s="119">
        <v>4001.7</v>
      </c>
      <c r="AE59" s="30">
        <v>56</v>
      </c>
      <c r="AF59" s="38" t="s">
        <v>86</v>
      </c>
      <c r="AG59" s="126">
        <v>3</v>
      </c>
      <c r="AH59" s="33">
        <f t="shared" si="14"/>
        <v>1172.92</v>
      </c>
      <c r="AI59" s="120">
        <v>3518.76</v>
      </c>
      <c r="AJ59" s="30">
        <v>56</v>
      </c>
      <c r="AK59" s="38" t="s">
        <v>87</v>
      </c>
      <c r="AL59" s="126">
        <v>4</v>
      </c>
      <c r="AM59" s="33">
        <f t="shared" si="7"/>
        <v>1409.11</v>
      </c>
      <c r="AN59" s="120">
        <v>5636.44</v>
      </c>
      <c r="AO59" s="30">
        <v>56</v>
      </c>
      <c r="AP59" s="38" t="s">
        <v>59</v>
      </c>
      <c r="AQ59" s="39">
        <v>4</v>
      </c>
      <c r="AR59" s="33">
        <f t="shared" si="8"/>
        <v>1110.8875</v>
      </c>
      <c r="AS59" s="38">
        <v>4443.55</v>
      </c>
      <c r="AT59" s="30">
        <v>56</v>
      </c>
      <c r="AU59" s="31" t="s">
        <v>60</v>
      </c>
      <c r="AV59" s="131">
        <v>3</v>
      </c>
      <c r="AW59" s="33">
        <f t="shared" si="9"/>
        <v>1276.28</v>
      </c>
      <c r="AX59" s="134">
        <v>3828.84</v>
      </c>
      <c r="AY59" s="30">
        <v>56</v>
      </c>
      <c r="AZ59" s="38" t="s">
        <v>89</v>
      </c>
      <c r="BA59" s="126">
        <v>5</v>
      </c>
      <c r="BB59" s="33">
        <f t="shared" si="10"/>
        <v>1514.8620000000001</v>
      </c>
      <c r="BC59" s="120">
        <v>7574.31</v>
      </c>
      <c r="BD59" s="30">
        <v>56</v>
      </c>
      <c r="BE59" s="38" t="s">
        <v>150</v>
      </c>
      <c r="BF59" s="126">
        <v>6</v>
      </c>
      <c r="BG59" s="33">
        <f t="shared" si="11"/>
        <v>1717.1316666666669</v>
      </c>
      <c r="BH59" s="120">
        <v>10302.790000000001</v>
      </c>
      <c r="BI59" s="30">
        <v>56</v>
      </c>
      <c r="BJ59" s="31" t="s">
        <v>67</v>
      </c>
      <c r="BK59" s="141">
        <v>55</v>
      </c>
      <c r="BL59" s="33">
        <f t="shared" si="13"/>
        <v>1335.088</v>
      </c>
      <c r="BM59" s="119">
        <v>73429.84</v>
      </c>
      <c r="BN59" s="111">
        <f t="shared" si="20"/>
        <v>9.6397767630644344E-4</v>
      </c>
    </row>
    <row r="60" spans="1:66" x14ac:dyDescent="0.35">
      <c r="A60" s="30">
        <v>57</v>
      </c>
      <c r="B60" s="38" t="s">
        <v>117</v>
      </c>
      <c r="C60" s="116">
        <v>6</v>
      </c>
      <c r="D60" s="33">
        <f t="shared" si="16"/>
        <v>2081.23</v>
      </c>
      <c r="E60" s="120">
        <v>12487.38</v>
      </c>
      <c r="F60" s="34">
        <v>57</v>
      </c>
      <c r="G60" s="31" t="s">
        <v>62</v>
      </c>
      <c r="H60" s="122">
        <v>4</v>
      </c>
      <c r="I60" s="33">
        <f t="shared" si="17"/>
        <v>1880.8375000000001</v>
      </c>
      <c r="J60" s="119">
        <v>7523.35</v>
      </c>
      <c r="K60" s="30">
        <v>57</v>
      </c>
      <c r="L60" s="31" t="s">
        <v>118</v>
      </c>
      <c r="M60" s="119">
        <v>3</v>
      </c>
      <c r="N60" s="33">
        <f t="shared" si="18"/>
        <v>1462.4733333333334</v>
      </c>
      <c r="O60" s="119">
        <v>4387.42</v>
      </c>
      <c r="P60" s="30">
        <v>57</v>
      </c>
      <c r="Q60" s="38" t="s">
        <v>57</v>
      </c>
      <c r="R60" s="120">
        <v>4</v>
      </c>
      <c r="S60" s="33">
        <f t="shared" si="19"/>
        <v>1798.09</v>
      </c>
      <c r="T60" s="120">
        <v>7192.36</v>
      </c>
      <c r="U60" s="30">
        <v>57</v>
      </c>
      <c r="V60" s="38" t="s">
        <v>76</v>
      </c>
      <c r="W60" s="120">
        <v>3</v>
      </c>
      <c r="X60" s="33">
        <f t="shared" si="4"/>
        <v>1019.5500000000001</v>
      </c>
      <c r="Y60" s="120">
        <v>3058.65</v>
      </c>
      <c r="Z60" s="30">
        <v>57</v>
      </c>
      <c r="AA60" s="38" t="s">
        <v>83</v>
      </c>
      <c r="AB60" s="120">
        <v>3</v>
      </c>
      <c r="AC60" s="33">
        <f t="shared" si="5"/>
        <v>916.30000000000007</v>
      </c>
      <c r="AD60" s="120">
        <v>2748.9</v>
      </c>
      <c r="AE60" s="30">
        <v>57</v>
      </c>
      <c r="AF60" s="38" t="s">
        <v>59</v>
      </c>
      <c r="AG60" s="126">
        <v>3</v>
      </c>
      <c r="AH60" s="33">
        <f t="shared" si="14"/>
        <v>851.32</v>
      </c>
      <c r="AI60" s="120">
        <v>2553.96</v>
      </c>
      <c r="AJ60" s="30">
        <v>57</v>
      </c>
      <c r="AK60" s="38" t="s">
        <v>135</v>
      </c>
      <c r="AL60" s="126">
        <v>3</v>
      </c>
      <c r="AM60" s="33">
        <f t="shared" si="7"/>
        <v>1589.9733333333334</v>
      </c>
      <c r="AN60" s="120">
        <v>4769.92</v>
      </c>
      <c r="AO60" s="30">
        <v>57</v>
      </c>
      <c r="AP60" s="38" t="s">
        <v>73</v>
      </c>
      <c r="AQ60" s="39">
        <v>4</v>
      </c>
      <c r="AR60" s="33">
        <f t="shared" si="8"/>
        <v>1656.6675</v>
      </c>
      <c r="AS60" s="38">
        <v>6626.67</v>
      </c>
      <c r="AT60" s="30">
        <v>57</v>
      </c>
      <c r="AU60" s="31" t="s">
        <v>87</v>
      </c>
      <c r="AV60" s="131">
        <v>3</v>
      </c>
      <c r="AW60" s="33">
        <f t="shared" si="9"/>
        <v>1318.8799999999999</v>
      </c>
      <c r="AX60" s="134">
        <v>3956.64</v>
      </c>
      <c r="AY60" s="30">
        <v>57</v>
      </c>
      <c r="AZ60" s="38" t="s">
        <v>102</v>
      </c>
      <c r="BA60" s="126">
        <v>4</v>
      </c>
      <c r="BB60" s="33">
        <f t="shared" si="10"/>
        <v>1508.76</v>
      </c>
      <c r="BC60" s="120">
        <v>6035.04</v>
      </c>
      <c r="BD60" s="30">
        <v>57</v>
      </c>
      <c r="BE60" s="38" t="s">
        <v>70</v>
      </c>
      <c r="BF60" s="126">
        <v>6</v>
      </c>
      <c r="BG60" s="33">
        <f t="shared" si="11"/>
        <v>1454.8283333333331</v>
      </c>
      <c r="BH60" s="120">
        <v>8728.9699999999993</v>
      </c>
      <c r="BI60" s="30">
        <v>57</v>
      </c>
      <c r="BJ60" s="38" t="s">
        <v>116</v>
      </c>
      <c r="BK60" s="141">
        <v>54</v>
      </c>
      <c r="BL60" s="33">
        <f t="shared" si="13"/>
        <v>1485.875185185185</v>
      </c>
      <c r="BM60" s="144">
        <v>80237.259999999995</v>
      </c>
      <c r="BN60" s="111">
        <f t="shared" si="20"/>
        <v>9.3015389819042782E-4</v>
      </c>
    </row>
    <row r="61" spans="1:66" x14ac:dyDescent="0.35">
      <c r="A61" s="30">
        <v>58</v>
      </c>
      <c r="B61" s="31" t="s">
        <v>108</v>
      </c>
      <c r="C61" s="115">
        <v>5</v>
      </c>
      <c r="D61" s="33">
        <f t="shared" si="16"/>
        <v>1796.1799999999998</v>
      </c>
      <c r="E61" s="119">
        <v>8980.9</v>
      </c>
      <c r="F61" s="34">
        <v>58</v>
      </c>
      <c r="G61" s="31" t="s">
        <v>87</v>
      </c>
      <c r="H61" s="122">
        <v>4</v>
      </c>
      <c r="I61" s="33">
        <f t="shared" si="17"/>
        <v>1636.3525</v>
      </c>
      <c r="J61" s="119">
        <v>6545.41</v>
      </c>
      <c r="K61" s="30">
        <v>58</v>
      </c>
      <c r="L61" s="38" t="s">
        <v>116</v>
      </c>
      <c r="M61" s="120">
        <v>3</v>
      </c>
      <c r="N61" s="33">
        <f t="shared" si="18"/>
        <v>1959.8966666666665</v>
      </c>
      <c r="O61" s="120">
        <v>5879.69</v>
      </c>
      <c r="P61" s="30">
        <v>58</v>
      </c>
      <c r="Q61" s="38" t="s">
        <v>48</v>
      </c>
      <c r="R61" s="120">
        <v>4</v>
      </c>
      <c r="S61" s="33">
        <f t="shared" si="19"/>
        <v>1269.9000000000001</v>
      </c>
      <c r="T61" s="120">
        <v>5079.6000000000004</v>
      </c>
      <c r="U61" s="30">
        <v>58</v>
      </c>
      <c r="V61" s="31" t="s">
        <v>68</v>
      </c>
      <c r="W61" s="119">
        <v>2</v>
      </c>
      <c r="X61" s="33">
        <f t="shared" si="4"/>
        <v>1295.155</v>
      </c>
      <c r="Y61" s="119">
        <v>2590.31</v>
      </c>
      <c r="Z61" s="30">
        <v>58</v>
      </c>
      <c r="AA61" s="38" t="s">
        <v>127</v>
      </c>
      <c r="AB61" s="120">
        <v>3</v>
      </c>
      <c r="AC61" s="33">
        <f t="shared" si="5"/>
        <v>1440.1033333333335</v>
      </c>
      <c r="AD61" s="120">
        <v>4320.3100000000004</v>
      </c>
      <c r="AE61" s="30">
        <v>58</v>
      </c>
      <c r="AF61" s="38" t="s">
        <v>151</v>
      </c>
      <c r="AG61" s="126">
        <v>3</v>
      </c>
      <c r="AH61" s="33">
        <f t="shared" si="14"/>
        <v>1019.54</v>
      </c>
      <c r="AI61" s="120">
        <v>3058.62</v>
      </c>
      <c r="AJ61" s="30">
        <v>58</v>
      </c>
      <c r="AK61" s="38" t="s">
        <v>152</v>
      </c>
      <c r="AL61" s="126">
        <v>3</v>
      </c>
      <c r="AM61" s="33">
        <f t="shared" si="7"/>
        <v>1494</v>
      </c>
      <c r="AN61" s="120">
        <v>4482</v>
      </c>
      <c r="AO61" s="30">
        <v>58</v>
      </c>
      <c r="AP61" s="38" t="s">
        <v>52</v>
      </c>
      <c r="AQ61" s="2">
        <v>4</v>
      </c>
      <c r="AR61" s="33">
        <f t="shared" si="8"/>
        <v>1201.9224999999999</v>
      </c>
      <c r="AS61" s="38">
        <v>4807.6899999999996</v>
      </c>
      <c r="AT61" s="30">
        <v>58</v>
      </c>
      <c r="AU61" s="38" t="s">
        <v>55</v>
      </c>
      <c r="AV61" s="126">
        <v>3</v>
      </c>
      <c r="AW61" s="33">
        <f t="shared" si="9"/>
        <v>1494.0633333333333</v>
      </c>
      <c r="AX61" s="120">
        <v>4482.1899999999996</v>
      </c>
      <c r="AY61" s="30">
        <v>58</v>
      </c>
      <c r="AZ61" s="38" t="s">
        <v>105</v>
      </c>
      <c r="BA61" s="126">
        <v>4</v>
      </c>
      <c r="BB61" s="33">
        <f t="shared" si="10"/>
        <v>1723.0250000000001</v>
      </c>
      <c r="BC61" s="120">
        <v>6892.1</v>
      </c>
      <c r="BD61" s="30">
        <v>58</v>
      </c>
      <c r="BE61" s="38" t="s">
        <v>61</v>
      </c>
      <c r="BF61" s="126">
        <v>6</v>
      </c>
      <c r="BG61" s="33">
        <f t="shared" si="11"/>
        <v>1971.03</v>
      </c>
      <c r="BH61" s="120">
        <v>11826.18</v>
      </c>
      <c r="BI61" s="30">
        <v>58</v>
      </c>
      <c r="BJ61" s="38" t="s">
        <v>73</v>
      </c>
      <c r="BK61" s="141">
        <v>48</v>
      </c>
      <c r="BL61" s="33">
        <f t="shared" si="13"/>
        <v>1347.5274999999999</v>
      </c>
      <c r="BM61" s="144">
        <v>64681.32</v>
      </c>
      <c r="BN61" s="111">
        <f t="shared" si="20"/>
        <v>9.1324200913242006E-4</v>
      </c>
    </row>
    <row r="62" spans="1:66" x14ac:dyDescent="0.35">
      <c r="A62" s="30">
        <v>59</v>
      </c>
      <c r="B62" s="38" t="s">
        <v>57</v>
      </c>
      <c r="C62" s="116">
        <v>5</v>
      </c>
      <c r="D62" s="33">
        <f t="shared" si="16"/>
        <v>1847.22</v>
      </c>
      <c r="E62" s="120">
        <v>9236.1</v>
      </c>
      <c r="F62" s="34">
        <v>59</v>
      </c>
      <c r="G62" s="38" t="s">
        <v>80</v>
      </c>
      <c r="H62" s="122">
        <v>4</v>
      </c>
      <c r="I62" s="33">
        <f t="shared" si="17"/>
        <v>1501.69</v>
      </c>
      <c r="J62" s="119">
        <v>6006.76</v>
      </c>
      <c r="K62" s="30">
        <v>59</v>
      </c>
      <c r="L62" s="38" t="s">
        <v>48</v>
      </c>
      <c r="M62" s="120">
        <v>3</v>
      </c>
      <c r="N62" s="33">
        <f t="shared" si="18"/>
        <v>1957.7733333333333</v>
      </c>
      <c r="O62" s="120">
        <v>5873.32</v>
      </c>
      <c r="P62" s="30">
        <v>59</v>
      </c>
      <c r="Q62" s="31" t="s">
        <v>82</v>
      </c>
      <c r="R62" s="119">
        <v>3</v>
      </c>
      <c r="S62" s="33">
        <f t="shared" si="19"/>
        <v>1035</v>
      </c>
      <c r="T62" s="119">
        <v>3105</v>
      </c>
      <c r="U62" s="30">
        <v>59</v>
      </c>
      <c r="V62" s="38" t="s">
        <v>59</v>
      </c>
      <c r="W62" s="120">
        <v>2</v>
      </c>
      <c r="X62" s="33">
        <f t="shared" si="4"/>
        <v>1165.57</v>
      </c>
      <c r="Y62" s="120">
        <v>2331.14</v>
      </c>
      <c r="Z62" s="30">
        <v>59</v>
      </c>
      <c r="AA62" s="38" t="s">
        <v>128</v>
      </c>
      <c r="AB62" s="120">
        <v>3</v>
      </c>
      <c r="AC62" s="33">
        <f t="shared" si="5"/>
        <v>1310.54</v>
      </c>
      <c r="AD62" s="120">
        <v>3931.62</v>
      </c>
      <c r="AE62" s="30">
        <v>59</v>
      </c>
      <c r="AF62" s="38" t="s">
        <v>111</v>
      </c>
      <c r="AG62" s="126">
        <v>3</v>
      </c>
      <c r="AH62" s="33">
        <f t="shared" si="14"/>
        <v>1019.54</v>
      </c>
      <c r="AI62" s="120">
        <v>3058.62</v>
      </c>
      <c r="AJ62" s="30">
        <v>59</v>
      </c>
      <c r="AK62" s="38" t="s">
        <v>153</v>
      </c>
      <c r="AL62" s="126">
        <v>3</v>
      </c>
      <c r="AM62" s="33">
        <f t="shared" si="7"/>
        <v>1019.54</v>
      </c>
      <c r="AN62" s="120">
        <v>3058.62</v>
      </c>
      <c r="AO62" s="30">
        <v>59</v>
      </c>
      <c r="AP62" s="31" t="s">
        <v>132</v>
      </c>
      <c r="AQ62" s="39">
        <v>3</v>
      </c>
      <c r="AR62" s="33">
        <f t="shared" si="8"/>
        <v>1320.82</v>
      </c>
      <c r="AS62" s="40">
        <v>3962.46</v>
      </c>
      <c r="AT62" s="30">
        <v>58</v>
      </c>
      <c r="AU62" s="38" t="s">
        <v>51</v>
      </c>
      <c r="AV62" s="126">
        <v>3</v>
      </c>
      <c r="AW62" s="33">
        <f t="shared" si="9"/>
        <v>1181.6433333333332</v>
      </c>
      <c r="AX62" s="120">
        <v>3544.93</v>
      </c>
      <c r="AY62" s="30">
        <v>59</v>
      </c>
      <c r="AZ62" s="38" t="s">
        <v>96</v>
      </c>
      <c r="BA62" s="126">
        <v>4</v>
      </c>
      <c r="BB62" s="33">
        <f t="shared" si="10"/>
        <v>1761.77</v>
      </c>
      <c r="BC62" s="120">
        <v>7047.08</v>
      </c>
      <c r="BD62" s="30">
        <v>59</v>
      </c>
      <c r="BE62" s="38" t="s">
        <v>111</v>
      </c>
      <c r="BF62" s="126">
        <v>6</v>
      </c>
      <c r="BG62" s="33">
        <f t="shared" si="11"/>
        <v>1707.6899999999998</v>
      </c>
      <c r="BH62" s="120">
        <v>10246.14</v>
      </c>
      <c r="BI62" s="30">
        <v>59</v>
      </c>
      <c r="BJ62" s="38" t="s">
        <v>51</v>
      </c>
      <c r="BK62" s="141">
        <v>47</v>
      </c>
      <c r="BL62" s="33">
        <f t="shared" si="13"/>
        <v>1522.3427659574468</v>
      </c>
      <c r="BM62" s="144">
        <v>71550.11</v>
      </c>
      <c r="BN62" s="111">
        <f t="shared" si="20"/>
        <v>8.1177067478437341E-4</v>
      </c>
    </row>
    <row r="63" spans="1:66" x14ac:dyDescent="0.35">
      <c r="A63" s="30">
        <v>60</v>
      </c>
      <c r="B63" s="38" t="s">
        <v>76</v>
      </c>
      <c r="C63" s="116">
        <v>5</v>
      </c>
      <c r="D63" s="33">
        <f t="shared" si="16"/>
        <v>2187.8000000000002</v>
      </c>
      <c r="E63" s="120">
        <v>10939</v>
      </c>
      <c r="F63" s="34">
        <v>60</v>
      </c>
      <c r="G63" s="38" t="s">
        <v>59</v>
      </c>
      <c r="H63" s="123">
        <v>4</v>
      </c>
      <c r="I63" s="33">
        <f t="shared" si="17"/>
        <v>1745.9549999999999</v>
      </c>
      <c r="J63" s="120">
        <v>6983.82</v>
      </c>
      <c r="K63" s="30">
        <v>60</v>
      </c>
      <c r="L63" s="38" t="s">
        <v>89</v>
      </c>
      <c r="M63" s="120">
        <v>3</v>
      </c>
      <c r="N63" s="33">
        <f t="shared" si="18"/>
        <v>1418.0433333333333</v>
      </c>
      <c r="O63" s="120">
        <v>4254.13</v>
      </c>
      <c r="P63" s="30">
        <v>60</v>
      </c>
      <c r="Q63" s="38" t="s">
        <v>80</v>
      </c>
      <c r="R63" s="119">
        <v>3</v>
      </c>
      <c r="S63" s="33">
        <f t="shared" si="19"/>
        <v>1104.5</v>
      </c>
      <c r="T63" s="119">
        <v>3313.5</v>
      </c>
      <c r="U63" s="30">
        <v>60</v>
      </c>
      <c r="V63" s="38" t="s">
        <v>63</v>
      </c>
      <c r="W63" s="120">
        <v>2</v>
      </c>
      <c r="X63" s="33">
        <f t="shared" si="4"/>
        <v>1327.6949999999999</v>
      </c>
      <c r="Y63" s="120">
        <v>2655.39</v>
      </c>
      <c r="Z63" s="30">
        <v>60</v>
      </c>
      <c r="AA63" s="38" t="s">
        <v>129</v>
      </c>
      <c r="AB63" s="119">
        <v>2</v>
      </c>
      <c r="AC63" s="33">
        <f t="shared" si="5"/>
        <v>1121.4949999999999</v>
      </c>
      <c r="AD63" s="119">
        <v>2242.9899999999998</v>
      </c>
      <c r="AE63" s="30">
        <v>60</v>
      </c>
      <c r="AF63" s="38" t="s">
        <v>153</v>
      </c>
      <c r="AG63" s="126">
        <v>3</v>
      </c>
      <c r="AH63" s="33">
        <f t="shared" si="14"/>
        <v>968.57</v>
      </c>
      <c r="AI63" s="120">
        <v>2905.71</v>
      </c>
      <c r="AJ63" s="30">
        <v>60</v>
      </c>
      <c r="AK63" s="38" t="s">
        <v>96</v>
      </c>
      <c r="AL63" s="126">
        <v>3</v>
      </c>
      <c r="AM63" s="33">
        <f t="shared" si="7"/>
        <v>917.59</v>
      </c>
      <c r="AN63" s="120">
        <v>2752.77</v>
      </c>
      <c r="AO63" s="30">
        <v>60</v>
      </c>
      <c r="AP63" s="38" t="s">
        <v>57</v>
      </c>
      <c r="AQ63" s="39">
        <v>3</v>
      </c>
      <c r="AR63" s="33">
        <f t="shared" si="8"/>
        <v>1076.18</v>
      </c>
      <c r="AS63" s="38">
        <v>3228.54</v>
      </c>
      <c r="AT63" s="30">
        <v>58</v>
      </c>
      <c r="AU63" s="38" t="s">
        <v>66</v>
      </c>
      <c r="AV63" s="126">
        <v>3</v>
      </c>
      <c r="AW63" s="33">
        <f t="shared" si="9"/>
        <v>1014.2966666666666</v>
      </c>
      <c r="AX63" s="120">
        <v>3042.89</v>
      </c>
      <c r="AY63" s="30">
        <v>60</v>
      </c>
      <c r="AZ63" s="38" t="s">
        <v>52</v>
      </c>
      <c r="BA63" s="126">
        <v>4</v>
      </c>
      <c r="BB63" s="33">
        <f t="shared" si="10"/>
        <v>1638.5450000000001</v>
      </c>
      <c r="BC63" s="120">
        <v>6554.18</v>
      </c>
      <c r="BD63" s="30">
        <v>60</v>
      </c>
      <c r="BE63" s="38" t="s">
        <v>52</v>
      </c>
      <c r="BF63" s="126">
        <v>6</v>
      </c>
      <c r="BG63" s="33">
        <f t="shared" si="11"/>
        <v>1988.0550000000001</v>
      </c>
      <c r="BH63" s="120">
        <v>11928.33</v>
      </c>
      <c r="BI63" s="30">
        <v>60</v>
      </c>
      <c r="BJ63" s="38" t="s">
        <v>66</v>
      </c>
      <c r="BK63" s="141">
        <v>47</v>
      </c>
      <c r="BL63" s="33">
        <f t="shared" si="13"/>
        <v>1311.4297872340426</v>
      </c>
      <c r="BM63" s="144">
        <v>61637.2</v>
      </c>
      <c r="BN63" s="111">
        <f t="shared" si="20"/>
        <v>7.9485878572636566E-4</v>
      </c>
    </row>
    <row r="64" spans="1:66" x14ac:dyDescent="0.35">
      <c r="A64" s="30">
        <v>61</v>
      </c>
      <c r="B64" s="38" t="s">
        <v>96</v>
      </c>
      <c r="C64" s="116">
        <v>5</v>
      </c>
      <c r="D64" s="33">
        <f t="shared" si="16"/>
        <v>1540.7379999999998</v>
      </c>
      <c r="E64" s="120">
        <v>7703.69</v>
      </c>
      <c r="F64" s="34">
        <v>61</v>
      </c>
      <c r="G64" s="38" t="s">
        <v>63</v>
      </c>
      <c r="H64" s="123">
        <v>4</v>
      </c>
      <c r="I64" s="33">
        <f t="shared" si="17"/>
        <v>1462.5374999999999</v>
      </c>
      <c r="J64" s="120">
        <v>5850.15</v>
      </c>
      <c r="K64" s="30">
        <v>61</v>
      </c>
      <c r="L64" s="38" t="s">
        <v>95</v>
      </c>
      <c r="M64" s="120">
        <v>3</v>
      </c>
      <c r="N64" s="33">
        <f t="shared" si="18"/>
        <v>1620.05</v>
      </c>
      <c r="O64" s="120">
        <v>4860.1499999999996</v>
      </c>
      <c r="P64" s="30">
        <v>61</v>
      </c>
      <c r="Q64" s="38" t="s">
        <v>77</v>
      </c>
      <c r="R64" s="119">
        <v>3</v>
      </c>
      <c r="S64" s="33">
        <f t="shared" si="19"/>
        <v>1338.0766666666666</v>
      </c>
      <c r="T64" s="119">
        <v>4014.23</v>
      </c>
      <c r="U64" s="30">
        <v>61</v>
      </c>
      <c r="V64" s="38" t="s">
        <v>128</v>
      </c>
      <c r="W64" s="120">
        <v>2</v>
      </c>
      <c r="X64" s="33">
        <f t="shared" si="4"/>
        <v>1912.4</v>
      </c>
      <c r="Y64" s="120">
        <v>3824.8</v>
      </c>
      <c r="Z64" s="30">
        <v>61</v>
      </c>
      <c r="AA64" s="38" t="s">
        <v>60</v>
      </c>
      <c r="AB64" s="119">
        <v>1</v>
      </c>
      <c r="AC64" s="33">
        <f t="shared" si="5"/>
        <v>1062.02</v>
      </c>
      <c r="AD64" s="119">
        <v>1062.02</v>
      </c>
      <c r="AE64" s="30">
        <v>61</v>
      </c>
      <c r="AF64" s="31" t="s">
        <v>125</v>
      </c>
      <c r="AG64" s="131">
        <v>2</v>
      </c>
      <c r="AH64" s="33">
        <f t="shared" si="14"/>
        <v>1104.5</v>
      </c>
      <c r="AI64" s="134">
        <v>2209</v>
      </c>
      <c r="AJ64" s="30">
        <v>61</v>
      </c>
      <c r="AK64" s="38" t="s">
        <v>89</v>
      </c>
      <c r="AL64" s="126">
        <v>3</v>
      </c>
      <c r="AM64" s="33">
        <f t="shared" si="7"/>
        <v>1084.9666666666667</v>
      </c>
      <c r="AN64" s="120">
        <v>3254.9</v>
      </c>
      <c r="AO64" s="30">
        <v>61</v>
      </c>
      <c r="AP64" s="38" t="s">
        <v>61</v>
      </c>
      <c r="AQ64" s="2">
        <v>3</v>
      </c>
      <c r="AR64" s="33">
        <f t="shared" si="8"/>
        <v>1082.27</v>
      </c>
      <c r="AS64" s="38">
        <v>3246.81</v>
      </c>
      <c r="AT64" s="30">
        <v>59</v>
      </c>
      <c r="AU64" s="38" t="s">
        <v>76</v>
      </c>
      <c r="AV64" s="126">
        <v>3</v>
      </c>
      <c r="AW64" s="33">
        <f t="shared" si="9"/>
        <v>1363.2933333333333</v>
      </c>
      <c r="AX64" s="120">
        <v>4089.88</v>
      </c>
      <c r="AY64" s="30">
        <v>61</v>
      </c>
      <c r="AZ64" s="31" t="s">
        <v>145</v>
      </c>
      <c r="BA64" s="131">
        <v>3</v>
      </c>
      <c r="BB64" s="33">
        <f t="shared" si="10"/>
        <v>1827.5833333333333</v>
      </c>
      <c r="BC64" s="134">
        <v>5482.75</v>
      </c>
      <c r="BD64" s="30">
        <v>61</v>
      </c>
      <c r="BE64" s="31" t="s">
        <v>87</v>
      </c>
      <c r="BF64" s="131">
        <v>5</v>
      </c>
      <c r="BG64" s="33">
        <f t="shared" si="11"/>
        <v>1107.258</v>
      </c>
      <c r="BH64" s="134">
        <v>5536.29</v>
      </c>
      <c r="BI64" s="30">
        <v>61</v>
      </c>
      <c r="BJ64" s="38" t="s">
        <v>61</v>
      </c>
      <c r="BK64" s="141">
        <v>46</v>
      </c>
      <c r="BL64" s="33">
        <f t="shared" si="13"/>
        <v>1589.6032608695652</v>
      </c>
      <c r="BM64" s="144">
        <v>73121.75</v>
      </c>
      <c r="BN64" s="111">
        <f t="shared" si="20"/>
        <v>7.9485878572636566E-4</v>
      </c>
    </row>
    <row r="65" spans="1:66" x14ac:dyDescent="0.35">
      <c r="A65" s="30">
        <v>62</v>
      </c>
      <c r="B65" s="38" t="s">
        <v>116</v>
      </c>
      <c r="C65" s="116">
        <v>5</v>
      </c>
      <c r="D65" s="33">
        <f t="shared" si="16"/>
        <v>2800.35</v>
      </c>
      <c r="E65" s="120">
        <v>14001.75</v>
      </c>
      <c r="F65" s="34">
        <v>62</v>
      </c>
      <c r="G65" s="38" t="s">
        <v>89</v>
      </c>
      <c r="H65" s="123">
        <v>4</v>
      </c>
      <c r="I65" s="33">
        <f t="shared" si="17"/>
        <v>2124.625</v>
      </c>
      <c r="J65" s="120">
        <v>8498.5</v>
      </c>
      <c r="K65" s="30">
        <v>62</v>
      </c>
      <c r="L65" s="31" t="s">
        <v>98</v>
      </c>
      <c r="M65" s="119">
        <v>2</v>
      </c>
      <c r="N65" s="33">
        <f t="shared" si="18"/>
        <v>1231.95</v>
      </c>
      <c r="O65" s="119">
        <v>2463.9</v>
      </c>
      <c r="P65" s="30">
        <v>62</v>
      </c>
      <c r="Q65" s="38" t="s">
        <v>115</v>
      </c>
      <c r="R65" s="119">
        <v>3</v>
      </c>
      <c r="S65" s="33">
        <f t="shared" si="19"/>
        <v>1274.42</v>
      </c>
      <c r="T65" s="119">
        <v>3823.26</v>
      </c>
      <c r="U65" s="30">
        <v>62</v>
      </c>
      <c r="V65" s="38" t="s">
        <v>50</v>
      </c>
      <c r="W65" s="120">
        <v>2</v>
      </c>
      <c r="X65" s="33">
        <f t="shared" si="4"/>
        <v>1530.08</v>
      </c>
      <c r="Y65" s="120">
        <v>3060.16</v>
      </c>
      <c r="Z65" s="30">
        <v>62</v>
      </c>
      <c r="AA65" s="38" t="s">
        <v>121</v>
      </c>
      <c r="AB65" s="120">
        <v>1</v>
      </c>
      <c r="AC65" s="33">
        <f t="shared" si="5"/>
        <v>1254.04</v>
      </c>
      <c r="AD65" s="120">
        <v>1254.04</v>
      </c>
      <c r="AE65" s="30">
        <v>62</v>
      </c>
      <c r="AF65" s="31" t="s">
        <v>87</v>
      </c>
      <c r="AG65" s="131">
        <v>2</v>
      </c>
      <c r="AH65" s="33">
        <f t="shared" si="14"/>
        <v>1062.02</v>
      </c>
      <c r="AI65" s="134">
        <v>2124.04</v>
      </c>
      <c r="AJ65" s="30">
        <v>62</v>
      </c>
      <c r="AK65" s="38" t="s">
        <v>79</v>
      </c>
      <c r="AL65" s="126">
        <v>2</v>
      </c>
      <c r="AM65" s="33">
        <f t="shared" si="7"/>
        <v>1300.9449999999999</v>
      </c>
      <c r="AN65" s="120">
        <v>2601.89</v>
      </c>
      <c r="AO65" s="30">
        <v>62</v>
      </c>
      <c r="AP65" s="38" t="s">
        <v>89</v>
      </c>
      <c r="AQ65" s="2">
        <v>3</v>
      </c>
      <c r="AR65" s="33">
        <f t="shared" si="8"/>
        <v>1049.27</v>
      </c>
      <c r="AS65" s="38">
        <v>3147.81</v>
      </c>
      <c r="AT65" s="30">
        <v>60</v>
      </c>
      <c r="AU65" s="38" t="s">
        <v>52</v>
      </c>
      <c r="AV65" s="126">
        <v>3</v>
      </c>
      <c r="AW65" s="33">
        <f t="shared" si="9"/>
        <v>1058.5733333333333</v>
      </c>
      <c r="AX65" s="120">
        <v>3175.72</v>
      </c>
      <c r="AY65" s="30">
        <v>62</v>
      </c>
      <c r="AZ65" s="31" t="s">
        <v>87</v>
      </c>
      <c r="BA65" s="131">
        <v>3</v>
      </c>
      <c r="BB65" s="33">
        <f t="shared" si="10"/>
        <v>1124.04</v>
      </c>
      <c r="BC65" s="134">
        <v>3372.12</v>
      </c>
      <c r="BD65" s="30">
        <v>62</v>
      </c>
      <c r="BE65" s="31" t="s">
        <v>120</v>
      </c>
      <c r="BF65" s="131">
        <v>5</v>
      </c>
      <c r="BG65" s="33">
        <f t="shared" si="11"/>
        <v>1243.9839999999999</v>
      </c>
      <c r="BH65" s="134">
        <v>6219.92</v>
      </c>
      <c r="BI65" s="30">
        <v>62</v>
      </c>
      <c r="BJ65" s="38" t="s">
        <v>77</v>
      </c>
      <c r="BK65" s="141">
        <v>45</v>
      </c>
      <c r="BL65" s="33">
        <f t="shared" si="13"/>
        <v>1741.6437777777778</v>
      </c>
      <c r="BM65" s="144">
        <v>78373.97</v>
      </c>
      <c r="BN65" s="111">
        <f t="shared" si="20"/>
        <v>7.779468966683579E-4</v>
      </c>
    </row>
    <row r="66" spans="1:66" x14ac:dyDescent="0.35">
      <c r="A66" s="30">
        <v>63</v>
      </c>
      <c r="B66" s="31" t="s">
        <v>87</v>
      </c>
      <c r="C66" s="115">
        <v>4</v>
      </c>
      <c r="D66" s="33">
        <f t="shared" si="16"/>
        <v>1918.0525</v>
      </c>
      <c r="E66" s="119">
        <v>7672.21</v>
      </c>
      <c r="F66" s="34">
        <v>63</v>
      </c>
      <c r="G66" s="31" t="s">
        <v>108</v>
      </c>
      <c r="H66" s="122">
        <v>3</v>
      </c>
      <c r="I66" s="33">
        <f t="shared" si="17"/>
        <v>1701.1000000000001</v>
      </c>
      <c r="J66" s="119">
        <v>5103.3</v>
      </c>
      <c r="K66" s="30">
        <v>63</v>
      </c>
      <c r="L66" s="31" t="s">
        <v>74</v>
      </c>
      <c r="M66" s="119">
        <v>2</v>
      </c>
      <c r="N66" s="33">
        <f t="shared" si="18"/>
        <v>1147.5</v>
      </c>
      <c r="O66" s="119">
        <v>2295</v>
      </c>
      <c r="P66" s="30">
        <v>63</v>
      </c>
      <c r="Q66" s="38" t="s">
        <v>96</v>
      </c>
      <c r="R66" s="120">
        <v>3</v>
      </c>
      <c r="S66" s="33">
        <f t="shared" si="19"/>
        <v>1410.0266666666666</v>
      </c>
      <c r="T66" s="120">
        <v>4230.08</v>
      </c>
      <c r="U66" s="30">
        <v>63</v>
      </c>
      <c r="V66" s="38" t="s">
        <v>138</v>
      </c>
      <c r="W66" s="120">
        <v>2</v>
      </c>
      <c r="X66" s="33">
        <f t="shared" si="4"/>
        <v>1530.085</v>
      </c>
      <c r="Y66" s="120">
        <v>3060.17</v>
      </c>
      <c r="Z66" s="30">
        <v>63</v>
      </c>
      <c r="AA66" s="38" t="s">
        <v>130</v>
      </c>
      <c r="AB66" s="120">
        <v>1</v>
      </c>
      <c r="AC66" s="33">
        <f t="shared" si="5"/>
        <v>1104.5</v>
      </c>
      <c r="AD66" s="120">
        <v>1104.5</v>
      </c>
      <c r="AE66" s="30">
        <v>63</v>
      </c>
      <c r="AF66" s="38" t="s">
        <v>55</v>
      </c>
      <c r="AG66" s="126">
        <v>2</v>
      </c>
      <c r="AH66" s="33">
        <f t="shared" si="14"/>
        <v>1304.885</v>
      </c>
      <c r="AI66" s="120">
        <v>2609.77</v>
      </c>
      <c r="AJ66" s="30">
        <v>63</v>
      </c>
      <c r="AK66" s="38" t="s">
        <v>69</v>
      </c>
      <c r="AL66" s="126">
        <v>2</v>
      </c>
      <c r="AM66" s="33">
        <f t="shared" si="7"/>
        <v>1274.43</v>
      </c>
      <c r="AN66" s="120">
        <v>2548.86</v>
      </c>
      <c r="AO66" s="30">
        <v>63</v>
      </c>
      <c r="AP66" s="38" t="s">
        <v>139</v>
      </c>
      <c r="AQ66" s="2">
        <v>3</v>
      </c>
      <c r="AR66" s="33">
        <f t="shared" si="8"/>
        <v>1274.42</v>
      </c>
      <c r="AS66" s="38">
        <v>3823.26</v>
      </c>
      <c r="AT66" s="30">
        <v>61</v>
      </c>
      <c r="AU66" s="31" t="s">
        <v>67</v>
      </c>
      <c r="AV66" s="131">
        <v>2</v>
      </c>
      <c r="AW66" s="33">
        <f t="shared" si="9"/>
        <v>1384.58</v>
      </c>
      <c r="AX66" s="134">
        <v>2769.16</v>
      </c>
      <c r="AY66" s="30">
        <v>63</v>
      </c>
      <c r="AZ66" s="31" t="s">
        <v>80</v>
      </c>
      <c r="BA66" s="131">
        <v>3</v>
      </c>
      <c r="BB66" s="33">
        <f t="shared" si="10"/>
        <v>1274.42</v>
      </c>
      <c r="BC66" s="134">
        <v>3823.26</v>
      </c>
      <c r="BD66" s="30">
        <v>63</v>
      </c>
      <c r="BE66" s="31" t="s">
        <v>146</v>
      </c>
      <c r="BF66" s="131">
        <v>4</v>
      </c>
      <c r="BG66" s="33">
        <f t="shared" si="11"/>
        <v>1465.57</v>
      </c>
      <c r="BH66" s="134">
        <v>5862.28</v>
      </c>
      <c r="BI66" s="30">
        <v>63</v>
      </c>
      <c r="BJ66" s="38" t="s">
        <v>89</v>
      </c>
      <c r="BK66" s="140">
        <v>45</v>
      </c>
      <c r="BL66" s="33">
        <f t="shared" si="13"/>
        <v>1930.49</v>
      </c>
      <c r="BM66" s="144">
        <v>86872.05</v>
      </c>
      <c r="BN66" s="111">
        <f t="shared" si="20"/>
        <v>7.6103500761035003E-4</v>
      </c>
    </row>
    <row r="67" spans="1:66" x14ac:dyDescent="0.35">
      <c r="A67" s="30">
        <v>64</v>
      </c>
      <c r="B67" s="38" t="s">
        <v>63</v>
      </c>
      <c r="C67" s="116">
        <v>4</v>
      </c>
      <c r="D67" s="33">
        <f t="shared" ref="D67:D83" si="21">E67/C67</f>
        <v>1887.22</v>
      </c>
      <c r="E67" s="120">
        <v>7548.88</v>
      </c>
      <c r="F67" s="34">
        <v>64</v>
      </c>
      <c r="G67" s="31" t="s">
        <v>67</v>
      </c>
      <c r="H67" s="122">
        <v>3</v>
      </c>
      <c r="I67" s="33">
        <f t="shared" ref="I67:I89" si="22">J67/H67</f>
        <v>1415.25</v>
      </c>
      <c r="J67" s="119">
        <v>4245.75</v>
      </c>
      <c r="K67" s="30">
        <v>64</v>
      </c>
      <c r="L67" s="38" t="s">
        <v>59</v>
      </c>
      <c r="M67" s="120">
        <v>2</v>
      </c>
      <c r="N67" s="33">
        <f t="shared" ref="N67:N72" si="23">O67/M67</f>
        <v>2134.84</v>
      </c>
      <c r="O67" s="120">
        <v>4269.68</v>
      </c>
      <c r="P67" s="30">
        <v>64</v>
      </c>
      <c r="Q67" s="38" t="s">
        <v>139</v>
      </c>
      <c r="R67" s="120">
        <v>3</v>
      </c>
      <c r="S67" s="33">
        <f t="shared" ref="S67:S74" si="24">T67/R67</f>
        <v>1479.9466666666667</v>
      </c>
      <c r="T67" s="120">
        <v>4439.84</v>
      </c>
      <c r="U67" s="30">
        <v>64</v>
      </c>
      <c r="V67" s="38" t="s">
        <v>40</v>
      </c>
      <c r="W67" s="120">
        <v>2</v>
      </c>
      <c r="X67" s="33">
        <f t="shared" si="4"/>
        <v>1316.355</v>
      </c>
      <c r="Y67" s="120">
        <v>2632.71</v>
      </c>
      <c r="Z67" s="30">
        <v>64</v>
      </c>
      <c r="AA67" s="38" t="s">
        <v>99</v>
      </c>
      <c r="AB67" s="120">
        <v>1</v>
      </c>
      <c r="AC67" s="33">
        <f t="shared" si="5"/>
        <v>1400.17</v>
      </c>
      <c r="AD67" s="120">
        <v>1400.17</v>
      </c>
      <c r="AE67" s="30">
        <v>64</v>
      </c>
      <c r="AF67" s="38" t="s">
        <v>121</v>
      </c>
      <c r="AG67" s="126">
        <v>2</v>
      </c>
      <c r="AH67" s="33">
        <f t="shared" si="14"/>
        <v>1254.04</v>
      </c>
      <c r="AI67" s="120">
        <v>2508.08</v>
      </c>
      <c r="AJ67" s="30">
        <v>64</v>
      </c>
      <c r="AK67" s="38" t="s">
        <v>102</v>
      </c>
      <c r="AL67" s="126">
        <v>2</v>
      </c>
      <c r="AM67" s="33">
        <f t="shared" si="7"/>
        <v>1154.8800000000001</v>
      </c>
      <c r="AN67" s="120">
        <v>2309.7600000000002</v>
      </c>
      <c r="AO67" s="30">
        <v>64</v>
      </c>
      <c r="AP67" s="31" t="s">
        <v>87</v>
      </c>
      <c r="AQ67" s="39">
        <v>2</v>
      </c>
      <c r="AR67" s="33">
        <f t="shared" si="8"/>
        <v>732.37</v>
      </c>
      <c r="AS67" s="40">
        <v>1464.74</v>
      </c>
      <c r="AT67" s="30">
        <v>62</v>
      </c>
      <c r="AU67" s="31" t="s">
        <v>92</v>
      </c>
      <c r="AV67" s="131">
        <v>2</v>
      </c>
      <c r="AW67" s="33">
        <f t="shared" si="9"/>
        <v>1378.2049999999999</v>
      </c>
      <c r="AX67" s="134">
        <v>2756.41</v>
      </c>
      <c r="AY67" s="30">
        <v>64</v>
      </c>
      <c r="AZ67" s="31" t="s">
        <v>118</v>
      </c>
      <c r="BA67" s="131">
        <v>3</v>
      </c>
      <c r="BB67" s="33">
        <f t="shared" si="10"/>
        <v>1381.3266666666666</v>
      </c>
      <c r="BC67" s="134">
        <v>4143.9799999999996</v>
      </c>
      <c r="BD67" s="30">
        <v>64</v>
      </c>
      <c r="BE67" s="38" t="s">
        <v>72</v>
      </c>
      <c r="BF67" s="126">
        <v>4</v>
      </c>
      <c r="BG67" s="33">
        <f t="shared" si="11"/>
        <v>1538.825</v>
      </c>
      <c r="BH67" s="120">
        <v>6155.3</v>
      </c>
      <c r="BI67" s="30">
        <v>64</v>
      </c>
      <c r="BJ67" s="31" t="s">
        <v>88</v>
      </c>
      <c r="BK67" s="141">
        <v>44</v>
      </c>
      <c r="BL67" s="33">
        <f t="shared" si="13"/>
        <v>1474.2293181818181</v>
      </c>
      <c r="BM67" s="119">
        <v>64866.09</v>
      </c>
      <c r="BN67" s="111">
        <f t="shared" si="20"/>
        <v>7.6103500761035003E-4</v>
      </c>
    </row>
    <row r="68" spans="1:66" x14ac:dyDescent="0.35">
      <c r="A68" s="30">
        <v>65</v>
      </c>
      <c r="B68" s="38" t="s">
        <v>103</v>
      </c>
      <c r="C68" s="116">
        <v>4</v>
      </c>
      <c r="D68" s="33">
        <f t="shared" si="21"/>
        <v>2224.9</v>
      </c>
      <c r="E68" s="120">
        <v>8899.6</v>
      </c>
      <c r="F68" s="34">
        <v>65</v>
      </c>
      <c r="G68" s="31" t="s">
        <v>92</v>
      </c>
      <c r="H68" s="122">
        <v>3</v>
      </c>
      <c r="I68" s="33">
        <f t="shared" si="22"/>
        <v>1945.3233333333335</v>
      </c>
      <c r="J68" s="119">
        <v>5835.97</v>
      </c>
      <c r="K68" s="30">
        <v>65</v>
      </c>
      <c r="L68" s="38" t="s">
        <v>134</v>
      </c>
      <c r="M68" s="120">
        <v>2</v>
      </c>
      <c r="N68" s="33">
        <f t="shared" si="23"/>
        <v>1433.73</v>
      </c>
      <c r="O68" s="120">
        <v>2867.46</v>
      </c>
      <c r="P68" s="30">
        <v>65</v>
      </c>
      <c r="Q68" s="38" t="s">
        <v>138</v>
      </c>
      <c r="R68" s="120">
        <v>3</v>
      </c>
      <c r="S68" s="33">
        <f t="shared" si="24"/>
        <v>1835.7833333333335</v>
      </c>
      <c r="T68" s="120">
        <v>5507.35</v>
      </c>
      <c r="U68" s="30">
        <v>65</v>
      </c>
      <c r="V68" s="31" t="s">
        <v>62</v>
      </c>
      <c r="W68" s="119">
        <v>1</v>
      </c>
      <c r="X68" s="33">
        <f t="shared" ref="X68:X75" si="25">Y68/W68</f>
        <v>1282.33</v>
      </c>
      <c r="Y68" s="119">
        <v>1282.33</v>
      </c>
      <c r="Z68" s="30">
        <v>65</v>
      </c>
      <c r="AA68" s="38" t="s">
        <v>103</v>
      </c>
      <c r="AB68" s="120">
        <v>1</v>
      </c>
      <c r="AC68" s="33">
        <f t="shared" ref="AC68" si="26">AD68/AB68</f>
        <v>1305.27</v>
      </c>
      <c r="AD68" s="120">
        <v>1305.27</v>
      </c>
      <c r="AE68" s="30">
        <v>65</v>
      </c>
      <c r="AF68" s="38" t="s">
        <v>40</v>
      </c>
      <c r="AG68" s="126">
        <v>2</v>
      </c>
      <c r="AH68" s="33">
        <f t="shared" si="14"/>
        <v>1376.23</v>
      </c>
      <c r="AI68" s="120">
        <v>2752.46</v>
      </c>
      <c r="AJ68" s="30">
        <v>65</v>
      </c>
      <c r="AK68" s="38" t="s">
        <v>116</v>
      </c>
      <c r="AL68" s="126">
        <v>2</v>
      </c>
      <c r="AM68" s="33">
        <f t="shared" ref="AM68:AM78" si="27">AN68/AL68</f>
        <v>1225.53</v>
      </c>
      <c r="AN68" s="120">
        <v>2451.06</v>
      </c>
      <c r="AO68" s="30">
        <v>65</v>
      </c>
      <c r="AP68" s="38" t="s">
        <v>55</v>
      </c>
      <c r="AQ68" s="39">
        <v>2</v>
      </c>
      <c r="AR68" s="33">
        <f t="shared" ref="AR68:AR79" si="28">AS68/AQ68</f>
        <v>1193.6600000000001</v>
      </c>
      <c r="AS68" s="40">
        <v>2387.3200000000002</v>
      </c>
      <c r="AT68" s="30">
        <v>63</v>
      </c>
      <c r="AU68" s="31" t="s">
        <v>86</v>
      </c>
      <c r="AV68" s="131">
        <v>2</v>
      </c>
      <c r="AW68" s="33">
        <f t="shared" ref="AW68:AW78" si="29">AX68/AV68</f>
        <v>1560</v>
      </c>
      <c r="AX68" s="134">
        <v>3120</v>
      </c>
      <c r="AY68" s="30">
        <v>65</v>
      </c>
      <c r="AZ68" s="38" t="s">
        <v>20</v>
      </c>
      <c r="BA68" s="126">
        <v>3</v>
      </c>
      <c r="BB68" s="33">
        <f t="shared" ref="BB68:BB83" si="30">BC68/BA68</f>
        <v>1301.2833333333333</v>
      </c>
      <c r="BC68" s="120">
        <v>3903.85</v>
      </c>
      <c r="BD68" s="30">
        <v>65</v>
      </c>
      <c r="BE68" s="38" t="s">
        <v>59</v>
      </c>
      <c r="BF68" s="126">
        <v>4</v>
      </c>
      <c r="BG68" s="33">
        <f t="shared" ref="BG68:BG87" si="31">BH68/BF68</f>
        <v>1274.3125</v>
      </c>
      <c r="BH68" s="120">
        <v>5097.25</v>
      </c>
      <c r="BI68" s="30">
        <v>65</v>
      </c>
      <c r="BJ68" s="38" t="s">
        <v>59</v>
      </c>
      <c r="BK68" s="141">
        <v>42</v>
      </c>
      <c r="BL68" s="33">
        <f t="shared" si="13"/>
        <v>1371.2592857142856</v>
      </c>
      <c r="BM68" s="144">
        <v>57592.89</v>
      </c>
      <c r="BN68" s="111">
        <f t="shared" si="20"/>
        <v>7.4412311855234228E-4</v>
      </c>
    </row>
    <row r="69" spans="1:66" x14ac:dyDescent="0.35">
      <c r="A69" s="30">
        <v>66</v>
      </c>
      <c r="B69" s="38" t="s">
        <v>42</v>
      </c>
      <c r="C69" s="116">
        <v>4</v>
      </c>
      <c r="D69" s="33">
        <f t="shared" si="21"/>
        <v>1911.0274999999999</v>
      </c>
      <c r="E69" s="120">
        <v>7644.11</v>
      </c>
      <c r="F69" s="34">
        <v>66</v>
      </c>
      <c r="G69" s="31" t="s">
        <v>68</v>
      </c>
      <c r="H69" s="122">
        <v>3</v>
      </c>
      <c r="I69" s="33">
        <f t="shared" si="22"/>
        <v>1664.7733333333333</v>
      </c>
      <c r="J69" s="119">
        <v>4994.32</v>
      </c>
      <c r="K69" s="30">
        <v>66</v>
      </c>
      <c r="L69" s="38" t="s">
        <v>40</v>
      </c>
      <c r="M69" s="120">
        <v>2</v>
      </c>
      <c r="N69" s="33">
        <f t="shared" si="23"/>
        <v>1439.85</v>
      </c>
      <c r="O69" s="120">
        <v>2879.7</v>
      </c>
      <c r="P69" s="30">
        <v>66</v>
      </c>
      <c r="Q69" s="38" t="s">
        <v>90</v>
      </c>
      <c r="R69" s="119">
        <v>2</v>
      </c>
      <c r="S69" s="33">
        <f t="shared" si="24"/>
        <v>1189.46</v>
      </c>
      <c r="T69" s="119">
        <v>2378.92</v>
      </c>
      <c r="U69" s="30">
        <v>66</v>
      </c>
      <c r="V69" s="38" t="s">
        <v>80</v>
      </c>
      <c r="W69" s="119">
        <v>1</v>
      </c>
      <c r="X69" s="33">
        <f t="shared" si="25"/>
        <v>1104.5</v>
      </c>
      <c r="Y69" s="119">
        <v>1104.5</v>
      </c>
      <c r="Z69" s="30">
        <v>66</v>
      </c>
      <c r="AA69" s="31"/>
      <c r="AB69" s="119"/>
      <c r="AC69" s="33"/>
      <c r="AD69" s="119"/>
      <c r="AE69" s="30">
        <v>66</v>
      </c>
      <c r="AF69" s="38" t="s">
        <v>120</v>
      </c>
      <c r="AG69" s="126">
        <v>1</v>
      </c>
      <c r="AH69" s="33">
        <f t="shared" si="14"/>
        <v>1147.54</v>
      </c>
      <c r="AI69" s="120">
        <v>1147.54</v>
      </c>
      <c r="AJ69" s="30">
        <v>66</v>
      </c>
      <c r="AK69" s="38" t="s">
        <v>155</v>
      </c>
      <c r="AL69" s="126">
        <v>2</v>
      </c>
      <c r="AM69" s="33">
        <f t="shared" si="27"/>
        <v>917.59</v>
      </c>
      <c r="AN69" s="120">
        <v>1835.18</v>
      </c>
      <c r="AO69" s="30">
        <v>66</v>
      </c>
      <c r="AP69" s="38" t="s">
        <v>66</v>
      </c>
      <c r="AQ69" s="2">
        <v>2</v>
      </c>
      <c r="AR69" s="33">
        <f t="shared" si="28"/>
        <v>977.06</v>
      </c>
      <c r="AS69" s="38">
        <v>1954.12</v>
      </c>
      <c r="AT69" s="30">
        <v>64</v>
      </c>
      <c r="AU69" s="38" t="s">
        <v>110</v>
      </c>
      <c r="AV69" s="126">
        <v>2</v>
      </c>
      <c r="AW69" s="33">
        <f t="shared" si="29"/>
        <v>2405.39</v>
      </c>
      <c r="AX69" s="120">
        <v>4810.78</v>
      </c>
      <c r="AY69" s="30">
        <v>66</v>
      </c>
      <c r="AZ69" s="38" t="s">
        <v>93</v>
      </c>
      <c r="BA69" s="126">
        <v>3</v>
      </c>
      <c r="BB69" s="33">
        <f t="shared" si="30"/>
        <v>1569.5533333333333</v>
      </c>
      <c r="BC69" s="120">
        <v>4708.66</v>
      </c>
      <c r="BD69" s="30">
        <v>66</v>
      </c>
      <c r="BE69" s="38" t="s">
        <v>57</v>
      </c>
      <c r="BF69" s="126">
        <v>4</v>
      </c>
      <c r="BG69" s="33">
        <f t="shared" si="31"/>
        <v>2660.875</v>
      </c>
      <c r="BH69" s="120">
        <v>10643.5</v>
      </c>
      <c r="BI69" s="30">
        <v>66</v>
      </c>
      <c r="BJ69" s="38" t="s">
        <v>127</v>
      </c>
      <c r="BK69" s="140">
        <v>38</v>
      </c>
      <c r="BL69" s="33">
        <f t="shared" si="13"/>
        <v>1346.9776315789475</v>
      </c>
      <c r="BM69" s="144">
        <v>51185.15</v>
      </c>
      <c r="BN69" s="111">
        <f t="shared" si="20"/>
        <v>7.1029934043632676E-4</v>
      </c>
    </row>
    <row r="70" spans="1:66" x14ac:dyDescent="0.35">
      <c r="A70" s="30">
        <v>67</v>
      </c>
      <c r="B70" s="31" t="s">
        <v>120</v>
      </c>
      <c r="C70" s="115">
        <v>3</v>
      </c>
      <c r="D70" s="33">
        <f t="shared" si="21"/>
        <v>1474.6033333333335</v>
      </c>
      <c r="E70" s="119">
        <v>4423.8100000000004</v>
      </c>
      <c r="F70" s="34">
        <v>67</v>
      </c>
      <c r="G70" s="38" t="s">
        <v>78</v>
      </c>
      <c r="H70" s="122">
        <v>3</v>
      </c>
      <c r="I70" s="33">
        <f t="shared" si="22"/>
        <v>1663.88</v>
      </c>
      <c r="J70" s="119">
        <v>4991.6400000000003</v>
      </c>
      <c r="K70" s="30">
        <v>67</v>
      </c>
      <c r="L70" s="38" t="s">
        <v>47</v>
      </c>
      <c r="M70" s="120">
        <v>2</v>
      </c>
      <c r="N70" s="33">
        <f t="shared" si="23"/>
        <v>1754.885</v>
      </c>
      <c r="O70" s="120">
        <v>3509.77</v>
      </c>
      <c r="P70" s="30">
        <v>67</v>
      </c>
      <c r="Q70" s="38" t="s">
        <v>58</v>
      </c>
      <c r="R70" s="120">
        <v>2</v>
      </c>
      <c r="S70" s="33">
        <f t="shared" si="24"/>
        <v>1715.97</v>
      </c>
      <c r="T70" s="120">
        <v>3431.94</v>
      </c>
      <c r="U70" s="30">
        <v>67</v>
      </c>
      <c r="V70" s="31" t="s">
        <v>120</v>
      </c>
      <c r="W70" s="119">
        <v>1</v>
      </c>
      <c r="X70" s="33">
        <f t="shared" si="25"/>
        <v>1549.19</v>
      </c>
      <c r="Y70" s="119">
        <v>1549.19</v>
      </c>
      <c r="AB70" s="119"/>
      <c r="AC70" s="33"/>
      <c r="AD70" s="119"/>
      <c r="AE70" s="30">
        <v>67</v>
      </c>
      <c r="AF70" s="38" t="s">
        <v>49</v>
      </c>
      <c r="AG70" s="126">
        <v>1</v>
      </c>
      <c r="AH70" s="33">
        <f t="shared" si="14"/>
        <v>1019.54</v>
      </c>
      <c r="AI70" s="120">
        <v>1019.54</v>
      </c>
      <c r="AJ70" s="30">
        <v>67</v>
      </c>
      <c r="AK70" s="38" t="s">
        <v>93</v>
      </c>
      <c r="AL70" s="126">
        <v>2</v>
      </c>
      <c r="AM70" s="33">
        <f t="shared" si="27"/>
        <v>1436.625</v>
      </c>
      <c r="AN70" s="120">
        <v>2873.25</v>
      </c>
      <c r="AO70" s="30">
        <v>67</v>
      </c>
      <c r="AP70" s="38" t="s">
        <v>93</v>
      </c>
      <c r="AQ70" s="2">
        <v>2</v>
      </c>
      <c r="AR70" s="33">
        <f t="shared" si="28"/>
        <v>1023.785</v>
      </c>
      <c r="AS70" s="38">
        <v>2047.57</v>
      </c>
      <c r="AT70" s="30">
        <v>65</v>
      </c>
      <c r="AU70" s="38" t="s">
        <v>91</v>
      </c>
      <c r="AV70" s="126">
        <v>2</v>
      </c>
      <c r="AW70" s="33">
        <f t="shared" si="29"/>
        <v>1316.7</v>
      </c>
      <c r="AX70" s="120">
        <v>2633.4</v>
      </c>
      <c r="AY70" s="30">
        <v>67</v>
      </c>
      <c r="AZ70" s="31" t="s">
        <v>79</v>
      </c>
      <c r="BA70" s="131">
        <v>2</v>
      </c>
      <c r="BB70" s="33">
        <f t="shared" si="30"/>
        <v>1749.6</v>
      </c>
      <c r="BC70" s="134">
        <v>3499.2</v>
      </c>
      <c r="BD70" s="30">
        <v>67</v>
      </c>
      <c r="BE70" s="38" t="s">
        <v>105</v>
      </c>
      <c r="BF70" s="126">
        <v>4</v>
      </c>
      <c r="BG70" s="33">
        <f t="shared" si="31"/>
        <v>1368</v>
      </c>
      <c r="BH70" s="120">
        <v>5472</v>
      </c>
      <c r="BI70" s="30">
        <v>67</v>
      </c>
      <c r="BJ70" s="38" t="s">
        <v>87</v>
      </c>
      <c r="BK70" s="141">
        <v>37</v>
      </c>
      <c r="BL70" s="33">
        <f t="shared" ref="BL70:BL133" si="32">BM70/BK70</f>
        <v>1279.6435135135134</v>
      </c>
      <c r="BM70" s="144">
        <v>47346.81</v>
      </c>
      <c r="BN70" s="111">
        <f t="shared" si="20"/>
        <v>6.4265178420429563E-4</v>
      </c>
    </row>
    <row r="71" spans="1:66" x14ac:dyDescent="0.35">
      <c r="A71" s="30">
        <v>68</v>
      </c>
      <c r="B71" s="38" t="s">
        <v>110</v>
      </c>
      <c r="C71" s="116">
        <v>3</v>
      </c>
      <c r="D71" s="33">
        <f t="shared" si="21"/>
        <v>1541.13</v>
      </c>
      <c r="E71" s="120">
        <v>4623.3900000000003</v>
      </c>
      <c r="F71" s="34">
        <v>68</v>
      </c>
      <c r="G71" s="38" t="s">
        <v>129</v>
      </c>
      <c r="H71" s="122">
        <v>3</v>
      </c>
      <c r="I71" s="33">
        <f t="shared" si="22"/>
        <v>1597.57</v>
      </c>
      <c r="J71" s="119">
        <v>4792.71</v>
      </c>
      <c r="K71" s="30">
        <v>68</v>
      </c>
      <c r="L71" s="38" t="s">
        <v>105</v>
      </c>
      <c r="M71" s="120">
        <v>1</v>
      </c>
      <c r="N71" s="33">
        <f t="shared" si="23"/>
        <v>1062.02</v>
      </c>
      <c r="O71" s="120">
        <v>1062.02</v>
      </c>
      <c r="P71" s="30">
        <v>68</v>
      </c>
      <c r="Q71" s="31" t="s">
        <v>64</v>
      </c>
      <c r="R71" s="119">
        <v>1</v>
      </c>
      <c r="S71" s="33">
        <f t="shared" si="24"/>
        <v>1372.56</v>
      </c>
      <c r="T71" s="119">
        <v>1372.56</v>
      </c>
      <c r="U71" s="30">
        <v>68</v>
      </c>
      <c r="V71" s="38" t="s">
        <v>135</v>
      </c>
      <c r="W71" s="119">
        <v>1</v>
      </c>
      <c r="X71" s="33">
        <f t="shared" si="25"/>
        <v>978.75</v>
      </c>
      <c r="Y71" s="119">
        <v>978.75</v>
      </c>
      <c r="AA71" s="31"/>
      <c r="AB71" s="119"/>
      <c r="AC71" s="33"/>
      <c r="AD71" s="119"/>
      <c r="AE71" s="30">
        <v>68</v>
      </c>
      <c r="AF71" s="38" t="s">
        <v>127</v>
      </c>
      <c r="AG71" s="126">
        <v>1</v>
      </c>
      <c r="AH71" s="33">
        <f t="shared" si="14"/>
        <v>1070.51</v>
      </c>
      <c r="AI71" s="120">
        <v>1070.51</v>
      </c>
      <c r="AJ71" s="30">
        <v>68</v>
      </c>
      <c r="AK71" s="38" t="s">
        <v>160</v>
      </c>
      <c r="AL71" s="126">
        <v>2</v>
      </c>
      <c r="AM71" s="33">
        <f t="shared" si="27"/>
        <v>1231.6500000000001</v>
      </c>
      <c r="AN71" s="120">
        <v>2463.3000000000002</v>
      </c>
      <c r="AO71" s="30">
        <v>68</v>
      </c>
      <c r="AP71" s="31" t="s">
        <v>142</v>
      </c>
      <c r="AQ71" s="39">
        <v>1</v>
      </c>
      <c r="AR71" s="33">
        <f t="shared" si="28"/>
        <v>1019.54</v>
      </c>
      <c r="AS71" s="40">
        <v>1019.54</v>
      </c>
      <c r="AT71" s="30">
        <v>66</v>
      </c>
      <c r="AU71" s="38" t="s">
        <v>103</v>
      </c>
      <c r="AV71" s="126">
        <v>2</v>
      </c>
      <c r="AW71" s="33">
        <f t="shared" si="29"/>
        <v>1019.54</v>
      </c>
      <c r="AX71" s="120">
        <v>2039.08</v>
      </c>
      <c r="AY71" s="30">
        <v>68</v>
      </c>
      <c r="AZ71" s="31" t="s">
        <v>131</v>
      </c>
      <c r="BA71" s="131">
        <v>2</v>
      </c>
      <c r="BB71" s="33">
        <f t="shared" si="30"/>
        <v>0</v>
      </c>
      <c r="BC71" s="134">
        <v>0</v>
      </c>
      <c r="BD71" s="30">
        <v>68</v>
      </c>
      <c r="BE71" s="38" t="s">
        <v>73</v>
      </c>
      <c r="BF71" s="126">
        <v>4</v>
      </c>
      <c r="BG71" s="33">
        <f t="shared" si="31"/>
        <v>1597.56</v>
      </c>
      <c r="BH71" s="120">
        <v>6390.24</v>
      </c>
      <c r="BI71" s="30">
        <v>68</v>
      </c>
      <c r="BJ71" s="38" t="s">
        <v>57</v>
      </c>
      <c r="BK71" s="141">
        <v>35</v>
      </c>
      <c r="BL71" s="33">
        <f t="shared" si="32"/>
        <v>1631.5262857142857</v>
      </c>
      <c r="BM71" s="144">
        <v>57103.42</v>
      </c>
      <c r="BN71" s="111">
        <f t="shared" si="20"/>
        <v>6.2573989514628787E-4</v>
      </c>
    </row>
    <row r="72" spans="1:66" x14ac:dyDescent="0.35">
      <c r="A72" s="30">
        <v>69</v>
      </c>
      <c r="B72" s="38" t="s">
        <v>99</v>
      </c>
      <c r="C72" s="116">
        <v>3</v>
      </c>
      <c r="D72" s="33">
        <f t="shared" si="21"/>
        <v>1631.1033333333335</v>
      </c>
      <c r="E72" s="120">
        <v>4893.3100000000004</v>
      </c>
      <c r="F72" s="34">
        <v>69</v>
      </c>
      <c r="G72" s="38" t="s">
        <v>77</v>
      </c>
      <c r="H72" s="122">
        <v>3</v>
      </c>
      <c r="I72" s="33">
        <f t="shared" si="22"/>
        <v>2025.1899999999998</v>
      </c>
      <c r="J72" s="119">
        <v>6075.57</v>
      </c>
      <c r="K72" s="30">
        <v>69</v>
      </c>
      <c r="L72" s="38" t="s">
        <v>110</v>
      </c>
      <c r="M72" s="120">
        <v>1</v>
      </c>
      <c r="N72" s="33">
        <f t="shared" si="23"/>
        <v>1274.42</v>
      </c>
      <c r="O72" s="120">
        <v>1274.42</v>
      </c>
      <c r="P72" s="30">
        <v>69</v>
      </c>
      <c r="Q72" s="38" t="s">
        <v>59</v>
      </c>
      <c r="R72" s="120">
        <v>1</v>
      </c>
      <c r="S72" s="33">
        <f t="shared" si="24"/>
        <v>1223.99</v>
      </c>
      <c r="T72" s="120">
        <v>1223.99</v>
      </c>
      <c r="U72" s="30">
        <v>69</v>
      </c>
      <c r="V72" s="38" t="s">
        <v>61</v>
      </c>
      <c r="W72" s="120">
        <v>1</v>
      </c>
      <c r="X72" s="33">
        <f t="shared" si="25"/>
        <v>1142.9100000000001</v>
      </c>
      <c r="Y72" s="120">
        <v>1142.9100000000001</v>
      </c>
      <c r="AA72" s="31"/>
      <c r="AB72" s="119"/>
      <c r="AC72" s="33"/>
      <c r="AD72" s="119"/>
      <c r="AE72" s="30">
        <v>69</v>
      </c>
      <c r="AF72" s="38" t="s">
        <v>94</v>
      </c>
      <c r="AG72" s="126">
        <v>1</v>
      </c>
      <c r="AH72" s="33">
        <f t="shared" ref="AH72" si="33">AI72/AG72</f>
        <v>1305.27</v>
      </c>
      <c r="AI72" s="120">
        <v>1305.27</v>
      </c>
      <c r="AJ72" s="30">
        <v>69</v>
      </c>
      <c r="AK72" s="38" t="s">
        <v>147</v>
      </c>
      <c r="AL72" s="126">
        <v>1</v>
      </c>
      <c r="AM72" s="33">
        <f t="shared" si="27"/>
        <v>1800</v>
      </c>
      <c r="AN72" s="120">
        <v>1800</v>
      </c>
      <c r="AO72" s="30">
        <v>69</v>
      </c>
      <c r="AP72" s="31" t="s">
        <v>118</v>
      </c>
      <c r="AQ72" s="39">
        <v>1</v>
      </c>
      <c r="AR72" s="33">
        <f t="shared" si="28"/>
        <v>1215.72</v>
      </c>
      <c r="AS72" s="40">
        <v>1215.72</v>
      </c>
      <c r="AT72" s="30">
        <v>67</v>
      </c>
      <c r="AU72" s="38" t="s">
        <v>47</v>
      </c>
      <c r="AV72" s="126">
        <v>2</v>
      </c>
      <c r="AW72" s="33">
        <f t="shared" si="29"/>
        <v>1019.54</v>
      </c>
      <c r="AX72" s="120">
        <v>2039.08</v>
      </c>
      <c r="AY72" s="30">
        <v>69</v>
      </c>
      <c r="AZ72" s="31" t="s">
        <v>107</v>
      </c>
      <c r="BA72" s="132">
        <v>2</v>
      </c>
      <c r="BB72" s="33">
        <f t="shared" si="30"/>
        <v>1759.4949999999999</v>
      </c>
      <c r="BC72" s="135">
        <v>3518.99</v>
      </c>
      <c r="BD72" s="30">
        <v>69</v>
      </c>
      <c r="BE72" s="38" t="s">
        <v>42</v>
      </c>
      <c r="BF72" s="126">
        <v>4</v>
      </c>
      <c r="BG72" s="33">
        <f t="shared" si="31"/>
        <v>1724.04</v>
      </c>
      <c r="BH72" s="120">
        <v>6896.16</v>
      </c>
      <c r="BI72" s="30">
        <v>69</v>
      </c>
      <c r="BJ72" s="38" t="s">
        <v>80</v>
      </c>
      <c r="BK72" s="141">
        <v>33</v>
      </c>
      <c r="BL72" s="33">
        <f t="shared" si="32"/>
        <v>1198.2148484848483</v>
      </c>
      <c r="BM72" s="119">
        <v>39541.089999999997</v>
      </c>
      <c r="BN72" s="111">
        <f t="shared" si="20"/>
        <v>5.9191611703027225E-4</v>
      </c>
    </row>
    <row r="73" spans="1:66" x14ac:dyDescent="0.35">
      <c r="A73" s="30">
        <v>70</v>
      </c>
      <c r="B73" s="31" t="s">
        <v>140</v>
      </c>
      <c r="C73" s="115">
        <v>2</v>
      </c>
      <c r="D73" s="33">
        <f t="shared" si="21"/>
        <v>2025.19</v>
      </c>
      <c r="E73" s="119">
        <v>4050.38</v>
      </c>
      <c r="F73" s="34">
        <v>70</v>
      </c>
      <c r="G73" s="38" t="s">
        <v>90</v>
      </c>
      <c r="H73" s="122">
        <v>3</v>
      </c>
      <c r="I73" s="33">
        <f t="shared" si="22"/>
        <v>1663.88</v>
      </c>
      <c r="J73" s="119">
        <v>4991.6400000000003</v>
      </c>
      <c r="M73" s="119"/>
      <c r="N73" s="33"/>
      <c r="O73" s="119"/>
      <c r="P73" s="30">
        <v>70</v>
      </c>
      <c r="Q73" s="38" t="s">
        <v>110</v>
      </c>
      <c r="R73" s="120">
        <v>1</v>
      </c>
      <c r="S73" s="33">
        <f t="shared" si="24"/>
        <v>1062.02</v>
      </c>
      <c r="T73" s="120">
        <v>1062.02</v>
      </c>
      <c r="U73" s="30">
        <v>70</v>
      </c>
      <c r="V73" s="38" t="s">
        <v>111</v>
      </c>
      <c r="W73" s="120">
        <v>1</v>
      </c>
      <c r="X73" s="33">
        <f t="shared" si="25"/>
        <v>1062.02</v>
      </c>
      <c r="Y73" s="120">
        <v>1062.02</v>
      </c>
      <c r="AA73" s="31"/>
      <c r="AB73" s="119"/>
      <c r="AC73" s="33"/>
      <c r="AD73" s="119"/>
      <c r="AE73" s="30">
        <v>70</v>
      </c>
      <c r="AF73" s="31"/>
      <c r="AG73" s="131"/>
      <c r="AH73" s="33"/>
      <c r="AI73" s="134"/>
      <c r="AJ73" s="30">
        <v>70</v>
      </c>
      <c r="AK73" s="38" t="s">
        <v>86</v>
      </c>
      <c r="AL73" s="126">
        <v>1</v>
      </c>
      <c r="AM73" s="33">
        <f t="shared" si="27"/>
        <v>1045.3</v>
      </c>
      <c r="AN73" s="120">
        <v>1045.3</v>
      </c>
      <c r="AO73" s="30">
        <v>70</v>
      </c>
      <c r="AP73" s="31" t="s">
        <v>68</v>
      </c>
      <c r="AQ73" s="39">
        <v>1</v>
      </c>
      <c r="AR73" s="33">
        <f t="shared" si="28"/>
        <v>1109.25</v>
      </c>
      <c r="AS73" s="40">
        <v>1109.25</v>
      </c>
      <c r="AT73" s="30">
        <v>68</v>
      </c>
      <c r="AU73" s="38" t="s">
        <v>115</v>
      </c>
      <c r="AV73" s="126">
        <v>1</v>
      </c>
      <c r="AW73" s="33">
        <f t="shared" si="29"/>
        <v>845.29</v>
      </c>
      <c r="AX73" s="120">
        <v>845.29</v>
      </c>
      <c r="AY73" s="30">
        <v>70</v>
      </c>
      <c r="AZ73" s="31" t="s">
        <v>120</v>
      </c>
      <c r="BA73" s="131">
        <v>2</v>
      </c>
      <c r="BB73" s="33">
        <f t="shared" si="30"/>
        <v>1104.5</v>
      </c>
      <c r="BC73" s="134">
        <v>2209</v>
      </c>
      <c r="BD73" s="30">
        <v>70</v>
      </c>
      <c r="BE73" s="38" t="s">
        <v>119</v>
      </c>
      <c r="BF73" s="126">
        <v>3</v>
      </c>
      <c r="BG73" s="33">
        <f t="shared" si="31"/>
        <v>1613.6599999999999</v>
      </c>
      <c r="BH73" s="120">
        <v>4840.9799999999996</v>
      </c>
      <c r="BI73" s="30">
        <v>70</v>
      </c>
      <c r="BJ73" s="38" t="s">
        <v>76</v>
      </c>
      <c r="BK73" s="141">
        <v>29</v>
      </c>
      <c r="BL73" s="33">
        <f t="shared" si="32"/>
        <v>1329.7213793103447</v>
      </c>
      <c r="BM73" s="144">
        <v>38561.919999999998</v>
      </c>
      <c r="BN73" s="111">
        <f t="shared" si="20"/>
        <v>5.5809233891425673E-4</v>
      </c>
    </row>
    <row r="74" spans="1:66" x14ac:dyDescent="0.35">
      <c r="A74" s="30">
        <v>71</v>
      </c>
      <c r="B74" s="31" t="s">
        <v>74</v>
      </c>
      <c r="C74" s="115">
        <v>2</v>
      </c>
      <c r="D74" s="33">
        <f t="shared" si="21"/>
        <v>2373.7150000000001</v>
      </c>
      <c r="E74" s="119">
        <v>4747.43</v>
      </c>
      <c r="F74" s="34">
        <v>71</v>
      </c>
      <c r="G74" s="38" t="s">
        <v>105</v>
      </c>
      <c r="H74" s="123">
        <v>3</v>
      </c>
      <c r="I74" s="33">
        <f t="shared" si="22"/>
        <v>1664.6599999999999</v>
      </c>
      <c r="J74" s="120">
        <v>4993.9799999999996</v>
      </c>
      <c r="L74" s="31"/>
      <c r="M74" s="119"/>
      <c r="N74" s="33"/>
      <c r="O74" s="119"/>
      <c r="P74" s="30">
        <v>71</v>
      </c>
      <c r="Q74" s="38" t="s">
        <v>89</v>
      </c>
      <c r="R74" s="120">
        <v>1</v>
      </c>
      <c r="S74" s="33">
        <f t="shared" si="24"/>
        <v>1305.27</v>
      </c>
      <c r="T74" s="120">
        <v>1305.27</v>
      </c>
      <c r="U74" s="30">
        <v>71</v>
      </c>
      <c r="V74" s="38" t="s">
        <v>130</v>
      </c>
      <c r="W74" s="120">
        <v>1</v>
      </c>
      <c r="X74" s="33">
        <f t="shared" si="25"/>
        <v>1395</v>
      </c>
      <c r="Y74" s="120">
        <v>1395</v>
      </c>
      <c r="AA74" s="31"/>
      <c r="AB74" s="119"/>
      <c r="AC74" s="33"/>
      <c r="AD74" s="119"/>
      <c r="AF74" s="31"/>
      <c r="AG74" s="131"/>
      <c r="AH74" s="33"/>
      <c r="AI74" s="134"/>
      <c r="AJ74" s="30">
        <v>71</v>
      </c>
      <c r="AK74" s="38" t="s">
        <v>88</v>
      </c>
      <c r="AL74" s="126">
        <v>1</v>
      </c>
      <c r="AM74" s="33">
        <f t="shared" si="27"/>
        <v>1572.17</v>
      </c>
      <c r="AN74" s="120">
        <v>1572.17</v>
      </c>
      <c r="AO74" s="30">
        <v>71</v>
      </c>
      <c r="AP74" s="38" t="s">
        <v>148</v>
      </c>
      <c r="AQ74" s="39">
        <v>1</v>
      </c>
      <c r="AR74" s="33">
        <f t="shared" si="28"/>
        <v>1062.02</v>
      </c>
      <c r="AS74" s="40">
        <v>1062.02</v>
      </c>
      <c r="AT74" s="30">
        <v>69</v>
      </c>
      <c r="AU74" s="38" t="s">
        <v>102</v>
      </c>
      <c r="AV74" s="126">
        <v>1</v>
      </c>
      <c r="AW74" s="33">
        <f t="shared" si="29"/>
        <v>1019.54</v>
      </c>
      <c r="AX74" s="120">
        <v>1019.54</v>
      </c>
      <c r="AY74" s="30">
        <v>71</v>
      </c>
      <c r="AZ74" s="38" t="s">
        <v>75</v>
      </c>
      <c r="BA74" s="126">
        <v>2</v>
      </c>
      <c r="BB74" s="33">
        <f t="shared" si="30"/>
        <v>1104.5</v>
      </c>
      <c r="BC74" s="120">
        <v>2209</v>
      </c>
      <c r="BD74" s="30">
        <v>71</v>
      </c>
      <c r="BE74" s="38" t="s">
        <v>156</v>
      </c>
      <c r="BF74" s="126">
        <v>3</v>
      </c>
      <c r="BG74" s="33">
        <f t="shared" si="31"/>
        <v>1152</v>
      </c>
      <c r="BH74" s="120">
        <v>3456</v>
      </c>
      <c r="BI74" s="30">
        <v>71</v>
      </c>
      <c r="BJ74" s="38" t="s">
        <v>94</v>
      </c>
      <c r="BK74" s="140">
        <v>29</v>
      </c>
      <c r="BL74" s="33">
        <f t="shared" si="32"/>
        <v>1285.5520689655173</v>
      </c>
      <c r="BM74" s="144">
        <v>37281.01</v>
      </c>
      <c r="BN74" s="111">
        <f t="shared" si="20"/>
        <v>4.904447826822256E-4</v>
      </c>
    </row>
    <row r="75" spans="1:66" x14ac:dyDescent="0.35">
      <c r="A75" s="30">
        <v>72</v>
      </c>
      <c r="B75" s="38" t="s">
        <v>88</v>
      </c>
      <c r="C75" s="115">
        <v>2</v>
      </c>
      <c r="D75" s="33">
        <f t="shared" si="21"/>
        <v>1579.395</v>
      </c>
      <c r="E75" s="119">
        <v>3158.79</v>
      </c>
      <c r="F75" s="34">
        <v>72</v>
      </c>
      <c r="G75" s="38" t="s">
        <v>76</v>
      </c>
      <c r="H75" s="123">
        <v>3</v>
      </c>
      <c r="I75" s="33">
        <f t="shared" si="22"/>
        <v>1504.67</v>
      </c>
      <c r="J75" s="120">
        <v>4514.01</v>
      </c>
      <c r="L75" s="31"/>
      <c r="M75" s="119"/>
      <c r="N75" s="33"/>
      <c r="O75" s="119"/>
      <c r="Q75" s="31"/>
      <c r="R75" s="119"/>
      <c r="S75" s="33"/>
      <c r="T75" s="119"/>
      <c r="U75" s="30">
        <v>72</v>
      </c>
      <c r="V75" s="38" t="s">
        <v>47</v>
      </c>
      <c r="W75" s="120">
        <v>1</v>
      </c>
      <c r="X75" s="33">
        <f t="shared" si="25"/>
        <v>1071</v>
      </c>
      <c r="Y75" s="120">
        <v>1071</v>
      </c>
      <c r="AA75" s="31"/>
      <c r="AB75" s="119"/>
      <c r="AC75" s="33"/>
      <c r="AD75" s="119"/>
      <c r="AF75" s="31"/>
      <c r="AG75" s="131"/>
      <c r="AH75" s="33"/>
      <c r="AI75" s="134"/>
      <c r="AJ75" s="30">
        <v>72</v>
      </c>
      <c r="AK75" s="38" t="s">
        <v>59</v>
      </c>
      <c r="AL75" s="126">
        <v>1</v>
      </c>
      <c r="AM75" s="33">
        <f t="shared" si="27"/>
        <v>1147.5</v>
      </c>
      <c r="AN75" s="120">
        <v>1147.5</v>
      </c>
      <c r="AO75" s="30">
        <v>72</v>
      </c>
      <c r="AP75" s="38" t="s">
        <v>115</v>
      </c>
      <c r="AQ75" s="39">
        <v>1</v>
      </c>
      <c r="AR75" s="33">
        <f t="shared" si="28"/>
        <v>1048.05</v>
      </c>
      <c r="AS75" s="40">
        <v>1048.05</v>
      </c>
      <c r="AT75" s="30">
        <v>70</v>
      </c>
      <c r="AU75" s="38" t="s">
        <v>96</v>
      </c>
      <c r="AV75" s="126">
        <v>1</v>
      </c>
      <c r="AW75" s="33">
        <f t="shared" si="29"/>
        <v>1019.54</v>
      </c>
      <c r="AX75" s="120">
        <v>1019.54</v>
      </c>
      <c r="AY75" s="30">
        <v>72</v>
      </c>
      <c r="AZ75" s="38" t="s">
        <v>100</v>
      </c>
      <c r="BA75" s="126">
        <v>2</v>
      </c>
      <c r="BB75" s="33">
        <f t="shared" si="30"/>
        <v>1104.5</v>
      </c>
      <c r="BC75" s="120">
        <v>2209</v>
      </c>
      <c r="BD75" s="30">
        <v>72</v>
      </c>
      <c r="BE75" s="38" t="s">
        <v>157</v>
      </c>
      <c r="BF75" s="126">
        <v>3</v>
      </c>
      <c r="BG75" s="33">
        <f t="shared" si="31"/>
        <v>2023.1899999999998</v>
      </c>
      <c r="BH75" s="120">
        <v>6069.57</v>
      </c>
      <c r="BI75" s="30">
        <v>72</v>
      </c>
      <c r="BJ75" s="31" t="s">
        <v>102</v>
      </c>
      <c r="BK75" s="141">
        <v>28</v>
      </c>
      <c r="BL75" s="33">
        <f t="shared" si="32"/>
        <v>1466.8792857142857</v>
      </c>
      <c r="BM75" s="119">
        <v>41072.620000000003</v>
      </c>
      <c r="BN75" s="111">
        <f t="shared" si="20"/>
        <v>4.904447826822256E-4</v>
      </c>
    </row>
    <row r="76" spans="1:66" x14ac:dyDescent="0.35">
      <c r="A76" s="30">
        <v>73</v>
      </c>
      <c r="B76" s="38" t="s">
        <v>141</v>
      </c>
      <c r="C76" s="116">
        <v>2</v>
      </c>
      <c r="D76" s="33">
        <f t="shared" si="21"/>
        <v>2115.04</v>
      </c>
      <c r="E76" s="120">
        <v>4230.08</v>
      </c>
      <c r="F76" s="34">
        <v>73</v>
      </c>
      <c r="G76" s="38" t="s">
        <v>127</v>
      </c>
      <c r="H76" s="123">
        <v>3</v>
      </c>
      <c r="I76" s="33">
        <f t="shared" si="22"/>
        <v>1950.1266666666668</v>
      </c>
      <c r="J76" s="120">
        <v>5850.38</v>
      </c>
      <c r="L76" s="31"/>
      <c r="M76" s="119"/>
      <c r="N76" s="33"/>
      <c r="O76" s="119"/>
      <c r="Q76" s="31"/>
      <c r="R76" s="119"/>
      <c r="S76" s="33"/>
      <c r="T76" s="119"/>
      <c r="V76" s="31"/>
      <c r="W76" s="119"/>
      <c r="X76" s="33"/>
      <c r="Y76" s="119"/>
      <c r="AA76" s="31"/>
      <c r="AB76" s="119"/>
      <c r="AC76" s="33"/>
      <c r="AD76" s="119"/>
      <c r="AF76" s="31"/>
      <c r="AG76" s="131"/>
      <c r="AH76" s="33"/>
      <c r="AI76" s="134"/>
      <c r="AJ76" s="30">
        <v>73</v>
      </c>
      <c r="AK76" s="38" t="s">
        <v>51</v>
      </c>
      <c r="AL76" s="126">
        <v>1</v>
      </c>
      <c r="AM76" s="33">
        <f t="shared" si="27"/>
        <v>1710</v>
      </c>
      <c r="AN76" s="120">
        <v>1710</v>
      </c>
      <c r="AO76" s="30">
        <v>73</v>
      </c>
      <c r="AP76" s="38" t="s">
        <v>110</v>
      </c>
      <c r="AQ76" s="39">
        <v>1</v>
      </c>
      <c r="AR76" s="33">
        <f t="shared" si="28"/>
        <v>1186.06</v>
      </c>
      <c r="AS76" s="38">
        <v>1186.06</v>
      </c>
      <c r="AT76" s="30">
        <v>71</v>
      </c>
      <c r="AU76" s="38" t="s">
        <v>49</v>
      </c>
      <c r="AV76" s="126">
        <v>1</v>
      </c>
      <c r="AW76" s="33">
        <f t="shared" si="29"/>
        <v>1351.35</v>
      </c>
      <c r="AX76" s="120">
        <v>1351.35</v>
      </c>
      <c r="AY76" s="30">
        <v>73</v>
      </c>
      <c r="AZ76" s="38" t="s">
        <v>117</v>
      </c>
      <c r="BA76" s="126">
        <v>2</v>
      </c>
      <c r="BB76" s="33">
        <f t="shared" si="30"/>
        <v>1491.7950000000001</v>
      </c>
      <c r="BC76" s="120">
        <v>2983.59</v>
      </c>
      <c r="BD76" s="30">
        <v>73</v>
      </c>
      <c r="BE76" s="31" t="s">
        <v>80</v>
      </c>
      <c r="BF76" s="131">
        <v>2</v>
      </c>
      <c r="BG76" s="33">
        <f t="shared" si="31"/>
        <v>1274.43</v>
      </c>
      <c r="BH76" s="134">
        <v>2548.86</v>
      </c>
      <c r="BI76" s="30">
        <v>73</v>
      </c>
      <c r="BJ76" s="38" t="s">
        <v>99</v>
      </c>
      <c r="BK76" s="140">
        <v>27</v>
      </c>
      <c r="BL76" s="33">
        <f t="shared" si="32"/>
        <v>1634.4955555555555</v>
      </c>
      <c r="BM76" s="144">
        <v>44131.38</v>
      </c>
      <c r="BN76" s="111">
        <f t="shared" si="20"/>
        <v>4.7353289362421784E-4</v>
      </c>
    </row>
    <row r="77" spans="1:66" x14ac:dyDescent="0.35">
      <c r="A77" s="30">
        <v>74</v>
      </c>
      <c r="B77" s="38" t="s">
        <v>95</v>
      </c>
      <c r="C77" s="116">
        <v>2</v>
      </c>
      <c r="D77" s="33">
        <f t="shared" si="21"/>
        <v>1934.96</v>
      </c>
      <c r="E77" s="120">
        <v>3869.92</v>
      </c>
      <c r="F77" s="34">
        <v>74</v>
      </c>
      <c r="G77" s="38" t="s">
        <v>95</v>
      </c>
      <c r="H77" s="123">
        <v>3</v>
      </c>
      <c r="I77" s="33">
        <f t="shared" si="22"/>
        <v>1707.99</v>
      </c>
      <c r="J77" s="120">
        <v>5123.97</v>
      </c>
      <c r="L77" s="31"/>
      <c r="M77" s="119"/>
      <c r="N77" s="33"/>
      <c r="O77" s="119"/>
      <c r="Q77" s="31"/>
      <c r="R77" s="119"/>
      <c r="S77" s="33"/>
      <c r="T77" s="119"/>
      <c r="W77" s="119"/>
      <c r="X77" s="33"/>
      <c r="Y77" s="119"/>
      <c r="AA77" s="31"/>
      <c r="AB77" s="119"/>
      <c r="AC77" s="33"/>
      <c r="AD77" s="119"/>
      <c r="AF77" s="31"/>
      <c r="AG77" s="131"/>
      <c r="AH77" s="33"/>
      <c r="AI77" s="134"/>
      <c r="AJ77" s="30">
        <v>74</v>
      </c>
      <c r="AK77" s="38" t="s">
        <v>110</v>
      </c>
      <c r="AL77" s="126">
        <v>1</v>
      </c>
      <c r="AM77" s="33">
        <f t="shared" si="27"/>
        <v>1094.57</v>
      </c>
      <c r="AN77" s="120">
        <v>1094.57</v>
      </c>
      <c r="AO77" s="30">
        <v>74</v>
      </c>
      <c r="AP77" s="38" t="s">
        <v>154</v>
      </c>
      <c r="AQ77" s="2">
        <v>1</v>
      </c>
      <c r="AR77" s="33">
        <f t="shared" si="28"/>
        <v>1558.28</v>
      </c>
      <c r="AS77" s="38">
        <v>1558.28</v>
      </c>
      <c r="AT77" s="30">
        <v>72</v>
      </c>
      <c r="AU77" s="38" t="s">
        <v>40</v>
      </c>
      <c r="AV77" s="126">
        <v>1</v>
      </c>
      <c r="AW77" s="33">
        <f t="shared" si="29"/>
        <v>1359.38</v>
      </c>
      <c r="AX77" s="120">
        <v>1359.38</v>
      </c>
      <c r="AY77" s="30">
        <v>74</v>
      </c>
      <c r="AZ77" s="31" t="s">
        <v>125</v>
      </c>
      <c r="BA77" s="132">
        <v>1</v>
      </c>
      <c r="BB77" s="33">
        <f t="shared" si="30"/>
        <v>1495.56</v>
      </c>
      <c r="BC77" s="135">
        <v>1495.56</v>
      </c>
      <c r="BD77" s="30">
        <v>74</v>
      </c>
      <c r="BE77" s="38" t="s">
        <v>51</v>
      </c>
      <c r="BF77" s="126">
        <v>2</v>
      </c>
      <c r="BG77" s="33">
        <f t="shared" si="31"/>
        <v>2065.5</v>
      </c>
      <c r="BH77" s="120">
        <v>4131</v>
      </c>
      <c r="BI77" s="30">
        <v>74</v>
      </c>
      <c r="BJ77" s="38" t="s">
        <v>74</v>
      </c>
      <c r="BK77" s="141">
        <v>26</v>
      </c>
      <c r="BL77" s="33">
        <f t="shared" si="32"/>
        <v>1346.4373076923077</v>
      </c>
      <c r="BM77" s="119">
        <v>35007.370000000003</v>
      </c>
      <c r="BN77" s="111">
        <f t="shared" si="20"/>
        <v>4.5662100456621003E-4</v>
      </c>
    </row>
    <row r="78" spans="1:66" x14ac:dyDescent="0.35">
      <c r="A78" s="30">
        <v>75</v>
      </c>
      <c r="B78" s="38" t="s">
        <v>100</v>
      </c>
      <c r="C78" s="116">
        <v>2</v>
      </c>
      <c r="D78" s="33">
        <f t="shared" si="21"/>
        <v>1398.35</v>
      </c>
      <c r="E78" s="120">
        <v>2796.7</v>
      </c>
      <c r="F78" s="34">
        <v>75</v>
      </c>
      <c r="G78" s="31" t="s">
        <v>82</v>
      </c>
      <c r="H78" s="122">
        <v>2</v>
      </c>
      <c r="I78" s="33">
        <f t="shared" si="22"/>
        <v>1450.23</v>
      </c>
      <c r="J78" s="119">
        <v>2900.46</v>
      </c>
      <c r="L78" s="31"/>
      <c r="M78" s="119"/>
      <c r="N78" s="33"/>
      <c r="O78" s="119"/>
      <c r="Q78" s="31"/>
      <c r="R78" s="119"/>
      <c r="S78" s="33"/>
      <c r="T78" s="119"/>
      <c r="V78" s="31"/>
      <c r="W78" s="119"/>
      <c r="X78" s="33"/>
      <c r="Y78" s="119"/>
      <c r="AA78" s="31"/>
      <c r="AB78" s="119"/>
      <c r="AC78" s="33"/>
      <c r="AD78" s="119"/>
      <c r="AF78" s="31"/>
      <c r="AG78" s="131"/>
      <c r="AH78" s="33"/>
      <c r="AI78" s="134"/>
      <c r="AJ78" s="30">
        <v>75</v>
      </c>
      <c r="AK78" s="38" t="s">
        <v>143</v>
      </c>
      <c r="AL78" s="126">
        <v>1</v>
      </c>
      <c r="AM78" s="33">
        <f t="shared" si="27"/>
        <v>1062.02</v>
      </c>
      <c r="AN78" s="120">
        <v>1062.02</v>
      </c>
      <c r="AO78" s="30">
        <v>75</v>
      </c>
      <c r="AP78" s="38" t="s">
        <v>103</v>
      </c>
      <c r="AQ78" s="2">
        <v>1</v>
      </c>
      <c r="AR78" s="33">
        <f t="shared" si="28"/>
        <v>1235.57</v>
      </c>
      <c r="AS78" s="38">
        <v>1235.57</v>
      </c>
      <c r="AT78" s="30">
        <v>73</v>
      </c>
      <c r="AU78" s="38" t="s">
        <v>117</v>
      </c>
      <c r="AV78" s="126">
        <v>1</v>
      </c>
      <c r="AW78" s="33">
        <f t="shared" si="29"/>
        <v>917.59</v>
      </c>
      <c r="AX78" s="120">
        <v>917.59</v>
      </c>
      <c r="AY78" s="30">
        <v>75</v>
      </c>
      <c r="AZ78" s="31" t="s">
        <v>92</v>
      </c>
      <c r="BA78" s="131">
        <v>1</v>
      </c>
      <c r="BB78" s="33">
        <f t="shared" si="30"/>
        <v>1614.78</v>
      </c>
      <c r="BC78" s="134">
        <v>1614.78</v>
      </c>
      <c r="BD78" s="30">
        <v>75</v>
      </c>
      <c r="BE78" s="38" t="s">
        <v>76</v>
      </c>
      <c r="BF78" s="126">
        <v>2</v>
      </c>
      <c r="BG78" s="33">
        <f t="shared" si="31"/>
        <v>1440</v>
      </c>
      <c r="BH78" s="120">
        <v>2880</v>
      </c>
      <c r="BI78" s="30">
        <v>75</v>
      </c>
      <c r="BJ78" s="38" t="s">
        <v>93</v>
      </c>
      <c r="BK78" s="140">
        <v>24</v>
      </c>
      <c r="BL78" s="33">
        <f t="shared" si="32"/>
        <v>1529.60375</v>
      </c>
      <c r="BM78" s="144">
        <v>36710.49</v>
      </c>
      <c r="BN78" s="111">
        <f t="shared" si="20"/>
        <v>4.3970911550820227E-4</v>
      </c>
    </row>
    <row r="79" spans="1:66" x14ac:dyDescent="0.35">
      <c r="A79" s="30">
        <v>76</v>
      </c>
      <c r="B79" s="38" t="s">
        <v>52</v>
      </c>
      <c r="C79" s="116">
        <v>2</v>
      </c>
      <c r="D79" s="33">
        <f t="shared" si="21"/>
        <v>1338.75</v>
      </c>
      <c r="E79" s="120">
        <v>2677.5</v>
      </c>
      <c r="F79" s="34">
        <v>76</v>
      </c>
      <c r="G79" s="31" t="s">
        <v>137</v>
      </c>
      <c r="H79" s="122">
        <v>2</v>
      </c>
      <c r="I79" s="33">
        <f t="shared" si="22"/>
        <v>2103.5700000000002</v>
      </c>
      <c r="J79" s="119">
        <v>4207.1400000000003</v>
      </c>
      <c r="L79" s="31"/>
      <c r="M79" s="119"/>
      <c r="N79" s="33"/>
      <c r="O79" s="119"/>
      <c r="Q79" s="31"/>
      <c r="R79" s="119"/>
      <c r="S79" s="33"/>
      <c r="T79" s="119"/>
      <c r="V79" s="31"/>
      <c r="W79" s="119"/>
      <c r="X79" s="33"/>
      <c r="Y79" s="119"/>
      <c r="AA79" s="31"/>
      <c r="AB79" s="119"/>
      <c r="AC79" s="33"/>
      <c r="AD79" s="119"/>
      <c r="AF79" s="31"/>
      <c r="AG79" s="132"/>
      <c r="AH79" s="33"/>
      <c r="AI79" s="135"/>
      <c r="AJ79" s="30">
        <v>76</v>
      </c>
      <c r="AM79" s="33"/>
      <c r="AO79" s="30">
        <v>76</v>
      </c>
      <c r="AP79" s="38" t="s">
        <v>101</v>
      </c>
      <c r="AQ79" s="2">
        <v>1</v>
      </c>
      <c r="AR79" s="33">
        <f t="shared" si="28"/>
        <v>935.55</v>
      </c>
      <c r="AS79" s="38">
        <v>935.55</v>
      </c>
      <c r="AT79" s="30">
        <v>74</v>
      </c>
      <c r="AU79" s="31"/>
      <c r="AV79" s="131"/>
      <c r="AW79" s="33"/>
      <c r="AX79" s="134"/>
      <c r="AY79" s="30">
        <v>76</v>
      </c>
      <c r="AZ79" s="31" t="s">
        <v>132</v>
      </c>
      <c r="BA79" s="131">
        <v>1</v>
      </c>
      <c r="BB79" s="33">
        <f t="shared" si="30"/>
        <v>1600</v>
      </c>
      <c r="BC79" s="134">
        <v>1600</v>
      </c>
      <c r="BD79" s="30">
        <v>76</v>
      </c>
      <c r="BE79" s="38" t="s">
        <v>99</v>
      </c>
      <c r="BF79" s="126">
        <v>2</v>
      </c>
      <c r="BG79" s="33">
        <f t="shared" si="31"/>
        <v>1130.125</v>
      </c>
      <c r="BH79" s="120">
        <v>2260.25</v>
      </c>
      <c r="BI79" s="30">
        <v>76</v>
      </c>
      <c r="BJ79" s="31" t="s">
        <v>120</v>
      </c>
      <c r="BK79" s="141">
        <v>21</v>
      </c>
      <c r="BL79" s="33">
        <f t="shared" si="32"/>
        <v>1273.1719047619049</v>
      </c>
      <c r="BM79" s="119">
        <v>26736.61</v>
      </c>
      <c r="BN79" s="111">
        <f t="shared" si="20"/>
        <v>4.0588533739218671E-4</v>
      </c>
    </row>
    <row r="80" spans="1:66" x14ac:dyDescent="0.35">
      <c r="A80" s="30">
        <v>77</v>
      </c>
      <c r="B80" s="31" t="s">
        <v>142</v>
      </c>
      <c r="C80" s="115">
        <v>1</v>
      </c>
      <c r="D80" s="33">
        <f t="shared" si="21"/>
        <v>1339.59</v>
      </c>
      <c r="E80" s="119">
        <v>1339.59</v>
      </c>
      <c r="F80" s="34">
        <v>77</v>
      </c>
      <c r="G80" s="38" t="s">
        <v>57</v>
      </c>
      <c r="H80" s="123">
        <v>2</v>
      </c>
      <c r="I80" s="33">
        <f t="shared" si="22"/>
        <v>1581.6949999999999</v>
      </c>
      <c r="J80" s="120">
        <v>3163.39</v>
      </c>
      <c r="L80" s="31"/>
      <c r="M80" s="119"/>
      <c r="N80" s="33"/>
      <c r="O80" s="119"/>
      <c r="Q80" s="31"/>
      <c r="R80" s="119"/>
      <c r="S80" s="33"/>
      <c r="T80" s="119"/>
      <c r="V80" s="31"/>
      <c r="W80" s="119"/>
      <c r="X80" s="33"/>
      <c r="Y80" s="119"/>
      <c r="AA80" s="31"/>
      <c r="AB80" s="119"/>
      <c r="AC80" s="33"/>
      <c r="AD80" s="119"/>
      <c r="AF80" s="31"/>
      <c r="AG80" s="132"/>
      <c r="AH80" s="33"/>
      <c r="AI80" s="135"/>
      <c r="AM80" s="33"/>
      <c r="AO80" s="30">
        <v>77</v>
      </c>
      <c r="AP80" s="31"/>
      <c r="AQ80" s="39"/>
      <c r="AR80" s="33"/>
      <c r="AS80" s="40"/>
      <c r="AU80" s="31"/>
      <c r="AV80" s="131"/>
      <c r="AW80" s="33"/>
      <c r="AX80" s="134"/>
      <c r="AY80" s="30">
        <v>77</v>
      </c>
      <c r="AZ80" s="31" t="s">
        <v>86</v>
      </c>
      <c r="BA80" s="131">
        <v>1</v>
      </c>
      <c r="BB80" s="33">
        <f t="shared" si="30"/>
        <v>1836</v>
      </c>
      <c r="BC80" s="134">
        <v>1836</v>
      </c>
      <c r="BD80" s="30">
        <v>77</v>
      </c>
      <c r="BE80" s="38" t="s">
        <v>117</v>
      </c>
      <c r="BF80" s="126">
        <v>2</v>
      </c>
      <c r="BG80" s="33">
        <f t="shared" si="31"/>
        <v>2868.75</v>
      </c>
      <c r="BH80" s="120">
        <v>5737.5</v>
      </c>
      <c r="BI80" s="30">
        <v>77</v>
      </c>
      <c r="BJ80" s="38" t="s">
        <v>90</v>
      </c>
      <c r="BK80" s="141">
        <v>21</v>
      </c>
      <c r="BL80" s="33">
        <f t="shared" si="32"/>
        <v>1152.6328571428571</v>
      </c>
      <c r="BM80" s="144">
        <v>24205.29</v>
      </c>
      <c r="BN80" s="111">
        <f t="shared" si="20"/>
        <v>3.5514967021816338E-4</v>
      </c>
    </row>
    <row r="81" spans="1:66" x14ac:dyDescent="0.35">
      <c r="A81" s="30">
        <v>78</v>
      </c>
      <c r="B81" s="31" t="s">
        <v>114</v>
      </c>
      <c r="C81" s="115">
        <v>1</v>
      </c>
      <c r="D81" s="33">
        <f t="shared" si="21"/>
        <v>1062.02</v>
      </c>
      <c r="E81" s="119">
        <v>1062.02</v>
      </c>
      <c r="F81" s="34">
        <v>78</v>
      </c>
      <c r="G81" s="38" t="s">
        <v>40</v>
      </c>
      <c r="H81" s="123">
        <v>2</v>
      </c>
      <c r="I81" s="33">
        <f t="shared" si="22"/>
        <v>2216.9899999999998</v>
      </c>
      <c r="J81" s="120">
        <v>4433.9799999999996</v>
      </c>
      <c r="L81" s="31"/>
      <c r="M81" s="119"/>
      <c r="N81" s="33"/>
      <c r="O81" s="119"/>
      <c r="Q81" s="31"/>
      <c r="R81" s="119"/>
      <c r="S81" s="33"/>
      <c r="T81" s="119"/>
      <c r="V81" s="31"/>
      <c r="W81" s="119"/>
      <c r="X81" s="33"/>
      <c r="Y81" s="119"/>
      <c r="AA81" s="31"/>
      <c r="AB81" s="119"/>
      <c r="AC81" s="33"/>
      <c r="AD81" s="119"/>
      <c r="AF81" s="31"/>
      <c r="AG81" s="132"/>
      <c r="AH81" s="33"/>
      <c r="AI81" s="135"/>
      <c r="AM81" s="33"/>
      <c r="AP81" s="31"/>
      <c r="AQ81" s="39"/>
      <c r="AR81" s="33"/>
      <c r="AS81" s="40"/>
      <c r="AU81" s="31"/>
      <c r="AV81" s="131"/>
      <c r="AW81" s="33"/>
      <c r="AX81" s="134"/>
      <c r="AY81" s="30">
        <v>78</v>
      </c>
      <c r="AZ81" s="38" t="s">
        <v>57</v>
      </c>
      <c r="BA81" s="126">
        <v>1</v>
      </c>
      <c r="BB81" s="33">
        <f t="shared" si="30"/>
        <v>2024.81</v>
      </c>
      <c r="BC81" s="120">
        <v>2024.81</v>
      </c>
      <c r="BD81" s="30">
        <v>78</v>
      </c>
      <c r="BE81" s="31" t="s">
        <v>113</v>
      </c>
      <c r="BF81" s="131">
        <v>1</v>
      </c>
      <c r="BG81" s="33">
        <f t="shared" si="31"/>
        <v>1620</v>
      </c>
      <c r="BH81" s="134">
        <v>1620</v>
      </c>
      <c r="BI81" s="30">
        <v>78</v>
      </c>
      <c r="BJ81" s="38" t="s">
        <v>85</v>
      </c>
      <c r="BK81" s="140">
        <v>20</v>
      </c>
      <c r="BL81" s="33">
        <f t="shared" si="32"/>
        <v>1259.98</v>
      </c>
      <c r="BM81" s="144">
        <v>25199.599999999999</v>
      </c>
      <c r="BN81" s="111">
        <f t="shared" si="20"/>
        <v>3.5514967021816338E-4</v>
      </c>
    </row>
    <row r="82" spans="1:66" x14ac:dyDescent="0.35">
      <c r="A82" s="30">
        <v>79</v>
      </c>
      <c r="B82" s="31" t="s">
        <v>64</v>
      </c>
      <c r="C82" s="115">
        <v>1</v>
      </c>
      <c r="D82" s="33">
        <f t="shared" si="21"/>
        <v>1321.91</v>
      </c>
      <c r="E82" s="119">
        <v>1321.91</v>
      </c>
      <c r="F82" s="34">
        <v>79</v>
      </c>
      <c r="G82" s="38" t="s">
        <v>133</v>
      </c>
      <c r="H82" s="123">
        <v>2</v>
      </c>
      <c r="I82" s="33">
        <f t="shared" si="22"/>
        <v>1416.1</v>
      </c>
      <c r="J82" s="120">
        <v>2832.2</v>
      </c>
      <c r="L82" s="31"/>
      <c r="M82" s="119"/>
      <c r="N82" s="33"/>
      <c r="O82" s="119"/>
      <c r="Q82" s="31"/>
      <c r="R82" s="119"/>
      <c r="S82" s="33"/>
      <c r="T82" s="119"/>
      <c r="V82" s="31"/>
      <c r="W82" s="119"/>
      <c r="X82" s="33"/>
      <c r="Y82" s="119"/>
      <c r="AA82" s="31"/>
      <c r="AB82" s="119"/>
      <c r="AC82" s="33"/>
      <c r="AD82" s="119"/>
      <c r="AF82" s="31"/>
      <c r="AG82" s="132"/>
      <c r="AH82" s="33"/>
      <c r="AI82" s="135"/>
      <c r="AM82" s="33"/>
      <c r="AP82" s="31"/>
      <c r="AQ82" s="39"/>
      <c r="AR82" s="33"/>
      <c r="AS82" s="40"/>
      <c r="AU82" s="31"/>
      <c r="AV82" s="131"/>
      <c r="AW82" s="33"/>
      <c r="AX82" s="134"/>
      <c r="AY82" s="30">
        <v>79</v>
      </c>
      <c r="AZ82" s="38" t="s">
        <v>95</v>
      </c>
      <c r="BA82" s="126">
        <v>1</v>
      </c>
      <c r="BB82" s="33">
        <f t="shared" si="30"/>
        <v>1363.33</v>
      </c>
      <c r="BC82" s="120">
        <v>1363.33</v>
      </c>
      <c r="BD82" s="30">
        <v>79</v>
      </c>
      <c r="BE82" s="31" t="s">
        <v>74</v>
      </c>
      <c r="BF82" s="131">
        <v>1</v>
      </c>
      <c r="BG82" s="33">
        <f t="shared" si="31"/>
        <v>1422.94</v>
      </c>
      <c r="BH82" s="134">
        <v>1422.94</v>
      </c>
      <c r="BI82" s="30">
        <v>79</v>
      </c>
      <c r="BJ82" s="38" t="s">
        <v>105</v>
      </c>
      <c r="BK82" s="141">
        <v>18</v>
      </c>
      <c r="BL82" s="33">
        <f t="shared" si="32"/>
        <v>1409.6461111111112</v>
      </c>
      <c r="BM82" s="144">
        <v>25373.63</v>
      </c>
      <c r="BN82" s="111">
        <f t="shared" si="20"/>
        <v>3.3823778116015557E-4</v>
      </c>
    </row>
    <row r="83" spans="1:66" x14ac:dyDescent="0.35">
      <c r="A83" s="30">
        <v>80</v>
      </c>
      <c r="B83" s="38" t="s">
        <v>143</v>
      </c>
      <c r="C83" s="116">
        <v>1</v>
      </c>
      <c r="D83" s="33">
        <f t="shared" si="21"/>
        <v>2017.66</v>
      </c>
      <c r="E83" s="120">
        <v>2017.66</v>
      </c>
      <c r="F83" s="34">
        <v>80</v>
      </c>
      <c r="G83" s="31" t="s">
        <v>98</v>
      </c>
      <c r="H83" s="122">
        <v>1</v>
      </c>
      <c r="I83" s="33">
        <f t="shared" si="22"/>
        <v>1231.95</v>
      </c>
      <c r="J83" s="119">
        <v>1231.95</v>
      </c>
      <c r="L83" s="31"/>
      <c r="M83" s="119"/>
      <c r="N83" s="33"/>
      <c r="O83" s="119"/>
      <c r="Q83" s="31"/>
      <c r="R83" s="119"/>
      <c r="S83" s="33"/>
      <c r="T83" s="119"/>
      <c r="V83" s="31"/>
      <c r="W83" s="119"/>
      <c r="X83" s="33"/>
      <c r="Y83" s="119"/>
      <c r="AA83" s="31"/>
      <c r="AB83" s="119"/>
      <c r="AC83" s="33"/>
      <c r="AD83" s="119"/>
      <c r="AF83" s="31"/>
      <c r="AG83" s="132"/>
      <c r="AH83" s="33"/>
      <c r="AI83" s="135"/>
      <c r="AM83" s="33"/>
      <c r="AP83" s="31"/>
      <c r="AQ83" s="39"/>
      <c r="AR83" s="33"/>
      <c r="AS83" s="40"/>
      <c r="AU83" s="31"/>
      <c r="AV83" s="131"/>
      <c r="AW83" s="33"/>
      <c r="AX83" s="134"/>
      <c r="AY83" s="30">
        <v>80</v>
      </c>
      <c r="AZ83" s="38" t="s">
        <v>94</v>
      </c>
      <c r="BA83" s="126">
        <v>1</v>
      </c>
      <c r="BB83" s="33">
        <f t="shared" si="30"/>
        <v>1233.73</v>
      </c>
      <c r="BC83" s="120">
        <v>1233.73</v>
      </c>
      <c r="BD83" s="30">
        <v>80</v>
      </c>
      <c r="BE83" s="38" t="s">
        <v>115</v>
      </c>
      <c r="BF83" s="126">
        <v>1</v>
      </c>
      <c r="BG83" s="33">
        <f t="shared" si="31"/>
        <v>1530</v>
      </c>
      <c r="BH83" s="120">
        <v>1530</v>
      </c>
      <c r="BI83" s="30">
        <v>80</v>
      </c>
      <c r="BJ83" s="38" t="s">
        <v>128</v>
      </c>
      <c r="BK83" s="140">
        <v>18</v>
      </c>
      <c r="BL83" s="33">
        <f t="shared" si="32"/>
        <v>1355.6672222222221</v>
      </c>
      <c r="BM83" s="144">
        <v>24402.01</v>
      </c>
      <c r="BN83" s="111">
        <f t="shared" si="20"/>
        <v>3.0441400304414006E-4</v>
      </c>
    </row>
    <row r="84" spans="1:66" x14ac:dyDescent="0.35">
      <c r="C84" s="115"/>
      <c r="D84" s="33"/>
      <c r="E84" s="119"/>
      <c r="F84" s="34">
        <v>81</v>
      </c>
      <c r="G84" s="31" t="s">
        <v>64</v>
      </c>
      <c r="H84" s="122">
        <v>1</v>
      </c>
      <c r="I84" s="33">
        <f t="shared" si="22"/>
        <v>2042.23</v>
      </c>
      <c r="J84" s="119">
        <v>2042.23</v>
      </c>
      <c r="L84" s="31"/>
      <c r="M84" s="119"/>
      <c r="N84" s="33"/>
      <c r="O84" s="119"/>
      <c r="Q84" s="31"/>
      <c r="R84" s="119"/>
      <c r="S84" s="33"/>
      <c r="T84" s="119"/>
      <c r="V84" s="31"/>
      <c r="W84" s="119"/>
      <c r="X84" s="33"/>
      <c r="Y84" s="119"/>
      <c r="AA84" s="31"/>
      <c r="AB84" s="119"/>
      <c r="AC84" s="33"/>
      <c r="AD84" s="119"/>
      <c r="AF84" s="31"/>
      <c r="AG84" s="131"/>
      <c r="AH84" s="33"/>
      <c r="AI84" s="134"/>
      <c r="AM84" s="33"/>
      <c r="AP84" s="31"/>
      <c r="AQ84" s="39"/>
      <c r="AR84" s="33"/>
      <c r="AS84" s="40"/>
      <c r="AU84" s="31"/>
      <c r="AV84" s="132"/>
      <c r="AW84" s="33"/>
      <c r="AX84" s="135"/>
      <c r="AY84" s="30">
        <v>81</v>
      </c>
      <c r="AZ84" s="31"/>
      <c r="BA84" s="131"/>
      <c r="BB84" s="33"/>
      <c r="BC84" s="134"/>
      <c r="BD84" s="30">
        <v>81</v>
      </c>
      <c r="BE84" s="38" t="s">
        <v>90</v>
      </c>
      <c r="BF84" s="126">
        <v>1</v>
      </c>
      <c r="BG84" s="33">
        <f t="shared" si="31"/>
        <v>1224</v>
      </c>
      <c r="BH84" s="120">
        <v>1224</v>
      </c>
      <c r="BI84" s="30">
        <v>81</v>
      </c>
      <c r="BJ84" s="31" t="s">
        <v>98</v>
      </c>
      <c r="BK84" s="141">
        <v>17</v>
      </c>
      <c r="BL84" s="33">
        <f t="shared" si="32"/>
        <v>1339.7117647058822</v>
      </c>
      <c r="BM84" s="119">
        <v>22775.1</v>
      </c>
      <c r="BN84" s="111">
        <f t="shared" si="20"/>
        <v>3.0441400304414006E-4</v>
      </c>
    </row>
    <row r="85" spans="1:66" x14ac:dyDescent="0.35">
      <c r="B85" s="31"/>
      <c r="C85" s="115"/>
      <c r="D85" s="33"/>
      <c r="E85" s="119"/>
      <c r="F85" s="34">
        <v>82</v>
      </c>
      <c r="G85" s="38" t="s">
        <v>115</v>
      </c>
      <c r="H85" s="122">
        <v>1</v>
      </c>
      <c r="I85" s="33">
        <f t="shared" si="22"/>
        <v>1664.66</v>
      </c>
      <c r="J85" s="119">
        <v>1664.66</v>
      </c>
      <c r="L85" s="31"/>
      <c r="M85" s="119"/>
      <c r="N85" s="33"/>
      <c r="O85" s="119"/>
      <c r="Q85" s="31"/>
      <c r="R85" s="119"/>
      <c r="S85" s="33"/>
      <c r="T85" s="119"/>
      <c r="V85" s="31"/>
      <c r="W85" s="119"/>
      <c r="X85" s="33"/>
      <c r="Y85" s="119"/>
      <c r="AA85" s="31"/>
      <c r="AB85" s="119"/>
      <c r="AC85" s="33"/>
      <c r="AD85" s="119"/>
      <c r="AF85" s="31"/>
      <c r="AG85" s="131"/>
      <c r="AH85" s="33"/>
      <c r="AI85" s="134"/>
      <c r="AM85" s="33"/>
      <c r="AP85" s="31"/>
      <c r="AQ85" s="39"/>
      <c r="AR85" s="33"/>
      <c r="AS85" s="40"/>
      <c r="AU85" s="31"/>
      <c r="AV85" s="132"/>
      <c r="AW85" s="33"/>
      <c r="AX85" s="135"/>
      <c r="AZ85" s="31"/>
      <c r="BA85" s="131"/>
      <c r="BB85" s="33"/>
      <c r="BC85" s="134"/>
      <c r="BD85" s="30">
        <v>82</v>
      </c>
      <c r="BE85" s="38" t="s">
        <v>116</v>
      </c>
      <c r="BF85" s="126">
        <v>1</v>
      </c>
      <c r="BG85" s="33">
        <f t="shared" si="31"/>
        <v>2258.75</v>
      </c>
      <c r="BH85" s="120">
        <v>2258.75</v>
      </c>
      <c r="BI85" s="30">
        <v>82</v>
      </c>
      <c r="BJ85" s="38" t="s">
        <v>100</v>
      </c>
      <c r="BK85" s="140">
        <v>17</v>
      </c>
      <c r="BL85" s="33">
        <f t="shared" si="32"/>
        <v>1743.4617647058822</v>
      </c>
      <c r="BM85" s="144">
        <v>29638.85</v>
      </c>
      <c r="BN85" s="111">
        <f t="shared" si="20"/>
        <v>2.8750211398613225E-4</v>
      </c>
    </row>
    <row r="86" spans="1:66" x14ac:dyDescent="0.35">
      <c r="B86" s="31"/>
      <c r="C86" s="115"/>
      <c r="D86" s="33"/>
      <c r="E86" s="119"/>
      <c r="F86" s="34">
        <v>83</v>
      </c>
      <c r="G86" s="38" t="s">
        <v>136</v>
      </c>
      <c r="H86" s="123">
        <v>1</v>
      </c>
      <c r="I86" s="33">
        <f t="shared" si="22"/>
        <v>2521.84</v>
      </c>
      <c r="J86" s="120">
        <v>2521.84</v>
      </c>
      <c r="M86" s="119"/>
      <c r="N86" s="33"/>
      <c r="O86" s="119"/>
      <c r="Q86" s="31"/>
      <c r="R86" s="119"/>
      <c r="S86" s="33"/>
      <c r="T86" s="119"/>
      <c r="V86" s="31"/>
      <c r="W86" s="119"/>
      <c r="X86" s="33"/>
      <c r="Y86" s="119"/>
      <c r="AA86" s="31"/>
      <c r="AB86" s="119"/>
      <c r="AC86" s="33"/>
      <c r="AD86" s="119"/>
      <c r="AF86" s="31"/>
      <c r="AG86" s="131"/>
      <c r="AH86" s="33"/>
      <c r="AI86" s="134"/>
      <c r="AM86" s="33"/>
      <c r="AP86" s="31"/>
      <c r="AQ86" s="39"/>
      <c r="AR86" s="33"/>
      <c r="AS86" s="40"/>
      <c r="AU86" s="31"/>
      <c r="AV86" s="132"/>
      <c r="AW86" s="33"/>
      <c r="AX86" s="135"/>
      <c r="AZ86" s="31"/>
      <c r="BA86" s="131"/>
      <c r="BB86" s="33"/>
      <c r="BC86" s="134"/>
      <c r="BD86" s="30">
        <v>83</v>
      </c>
      <c r="BE86" s="38" t="s">
        <v>128</v>
      </c>
      <c r="BF86" s="126">
        <v>1</v>
      </c>
      <c r="BG86" s="33">
        <f t="shared" si="31"/>
        <v>1224</v>
      </c>
      <c r="BH86" s="120">
        <v>1224</v>
      </c>
      <c r="BI86" s="30">
        <v>83</v>
      </c>
      <c r="BJ86" s="31" t="s">
        <v>107</v>
      </c>
      <c r="BK86" s="141">
        <v>15</v>
      </c>
      <c r="BL86" s="33">
        <f t="shared" si="32"/>
        <v>1459.7426666666665</v>
      </c>
      <c r="BM86" s="119">
        <v>21896.14</v>
      </c>
      <c r="BN86" s="111">
        <f t="shared" ref="BN86:BN99" si="34">BK85/$BK$3</f>
        <v>2.8750211398613225E-4</v>
      </c>
    </row>
    <row r="87" spans="1:66" x14ac:dyDescent="0.35">
      <c r="B87" s="31"/>
      <c r="C87" s="115"/>
      <c r="D87" s="33"/>
      <c r="E87" s="119"/>
      <c r="F87" s="34">
        <v>84</v>
      </c>
      <c r="G87" s="38" t="s">
        <v>51</v>
      </c>
      <c r="H87" s="123">
        <v>1</v>
      </c>
      <c r="I87" s="33">
        <f t="shared" si="22"/>
        <v>1571.79</v>
      </c>
      <c r="J87" s="120">
        <v>1571.79</v>
      </c>
      <c r="L87" s="31"/>
      <c r="M87" s="119"/>
      <c r="N87" s="33"/>
      <c r="O87" s="119"/>
      <c r="Q87" s="31"/>
      <c r="R87" s="119"/>
      <c r="S87" s="33"/>
      <c r="T87" s="119"/>
      <c r="V87" s="31"/>
      <c r="W87" s="119"/>
      <c r="X87" s="33"/>
      <c r="Y87" s="119"/>
      <c r="AA87" s="31"/>
      <c r="AB87" s="119"/>
      <c r="AC87" s="33"/>
      <c r="AD87" s="119"/>
      <c r="AF87" s="31"/>
      <c r="AG87" s="131"/>
      <c r="AH87" s="33"/>
      <c r="AI87" s="134"/>
      <c r="AM87" s="33"/>
      <c r="AP87" s="31"/>
      <c r="AQ87" s="39"/>
      <c r="AR87" s="33"/>
      <c r="AS87" s="40"/>
      <c r="AU87" s="31"/>
      <c r="AV87" s="132"/>
      <c r="AW87" s="33"/>
      <c r="AX87" s="135"/>
      <c r="AZ87" s="31"/>
      <c r="BA87" s="131"/>
      <c r="BB87" s="33"/>
      <c r="BC87" s="134"/>
      <c r="BD87" s="30">
        <v>84</v>
      </c>
      <c r="BE87" s="38" t="s">
        <v>101</v>
      </c>
      <c r="BF87" s="126">
        <v>1</v>
      </c>
      <c r="BG87" s="33">
        <f t="shared" si="31"/>
        <v>1439.85</v>
      </c>
      <c r="BH87" s="120">
        <v>1439.85</v>
      </c>
      <c r="BI87" s="30">
        <v>84</v>
      </c>
      <c r="BJ87" s="38" t="s">
        <v>108</v>
      </c>
      <c r="BK87" s="141">
        <v>14</v>
      </c>
      <c r="BL87" s="33">
        <f t="shared" si="32"/>
        <v>1410.1871428571428</v>
      </c>
      <c r="BM87" s="144">
        <v>19742.62</v>
      </c>
      <c r="BN87" s="111">
        <f t="shared" si="34"/>
        <v>2.5367833587011668E-4</v>
      </c>
    </row>
    <row r="88" spans="1:66" x14ac:dyDescent="0.35">
      <c r="B88" s="31"/>
      <c r="C88" s="115"/>
      <c r="D88" s="33"/>
      <c r="E88" s="119"/>
      <c r="F88" s="34">
        <v>85</v>
      </c>
      <c r="G88" s="38" t="s">
        <v>70</v>
      </c>
      <c r="H88" s="123">
        <v>1</v>
      </c>
      <c r="I88" s="33">
        <f t="shared" si="22"/>
        <v>2295</v>
      </c>
      <c r="J88" s="120">
        <v>2295</v>
      </c>
      <c r="L88" s="31"/>
      <c r="M88" s="119"/>
      <c r="N88" s="33"/>
      <c r="O88" s="119"/>
      <c r="Q88" s="31"/>
      <c r="R88" s="119"/>
      <c r="S88" s="33"/>
      <c r="T88" s="119"/>
      <c r="V88" s="31"/>
      <c r="W88" s="119"/>
      <c r="X88" s="33"/>
      <c r="Y88" s="119"/>
      <c r="AA88" s="31"/>
      <c r="AB88" s="119"/>
      <c r="AC88" s="33"/>
      <c r="AD88" s="119"/>
      <c r="AF88" s="31"/>
      <c r="AG88" s="131"/>
      <c r="AH88" s="33"/>
      <c r="AI88" s="134"/>
      <c r="AM88" s="33"/>
      <c r="AP88" s="31"/>
      <c r="AQ88" s="39"/>
      <c r="AR88" s="33"/>
      <c r="AS88" s="40"/>
      <c r="AU88" s="31"/>
      <c r="AV88" s="132"/>
      <c r="AW88" s="33"/>
      <c r="AX88" s="135"/>
      <c r="AZ88" s="31"/>
      <c r="BA88" s="131"/>
      <c r="BB88" s="33"/>
      <c r="BC88" s="134"/>
      <c r="BD88" s="30">
        <v>85</v>
      </c>
      <c r="BE88" s="31"/>
      <c r="BF88" s="131"/>
      <c r="BG88" s="33"/>
      <c r="BH88" s="134"/>
      <c r="BI88" s="30">
        <v>85</v>
      </c>
      <c r="BJ88" s="31" t="s">
        <v>78</v>
      </c>
      <c r="BK88" s="141">
        <v>13</v>
      </c>
      <c r="BL88" s="33">
        <f t="shared" si="32"/>
        <v>1398.5723076923075</v>
      </c>
      <c r="BM88" s="119">
        <v>18181.439999999999</v>
      </c>
      <c r="BN88" s="111">
        <f t="shared" si="34"/>
        <v>2.3676644681210892E-4</v>
      </c>
    </row>
    <row r="89" spans="1:66" x14ac:dyDescent="0.35">
      <c r="B89" s="31"/>
      <c r="C89" s="115"/>
      <c r="D89" s="33"/>
      <c r="E89" s="119"/>
      <c r="F89" s="34">
        <v>86</v>
      </c>
      <c r="G89" s="38" t="s">
        <v>139</v>
      </c>
      <c r="H89" s="123">
        <v>1</v>
      </c>
      <c r="I89" s="33">
        <f t="shared" si="22"/>
        <v>2557.35</v>
      </c>
      <c r="J89" s="120">
        <v>2557.35</v>
      </c>
      <c r="M89" s="119"/>
      <c r="N89" s="33"/>
      <c r="O89" s="119"/>
      <c r="Q89" s="31"/>
      <c r="R89" s="119"/>
      <c r="S89" s="33"/>
      <c r="T89" s="119"/>
      <c r="V89" s="31"/>
      <c r="W89" s="119"/>
      <c r="X89" s="33"/>
      <c r="Y89" s="119"/>
      <c r="AB89" s="119"/>
      <c r="AC89" s="33"/>
      <c r="AD89" s="119"/>
      <c r="AF89" s="31"/>
      <c r="AG89" s="131"/>
      <c r="AH89" s="33"/>
      <c r="AI89" s="134"/>
      <c r="AM89" s="33"/>
      <c r="AP89" s="31"/>
      <c r="AQ89" s="39"/>
      <c r="AR89" s="33"/>
      <c r="AS89" s="40"/>
      <c r="AU89" s="31"/>
      <c r="AV89" s="132"/>
      <c r="AW89" s="33"/>
      <c r="AX89" s="135"/>
      <c r="AZ89" s="31"/>
      <c r="BA89" s="132"/>
      <c r="BB89" s="33"/>
      <c r="BC89" s="135"/>
      <c r="BE89" s="31"/>
      <c r="BF89" s="131"/>
      <c r="BG89" s="33"/>
      <c r="BH89" s="134"/>
      <c r="BI89" s="30">
        <v>86</v>
      </c>
      <c r="BJ89" s="38" t="s">
        <v>133</v>
      </c>
      <c r="BK89" s="140">
        <v>12</v>
      </c>
      <c r="BL89" s="33">
        <f t="shared" si="32"/>
        <v>1457.3591666666669</v>
      </c>
      <c r="BM89" s="144">
        <v>17488.310000000001</v>
      </c>
      <c r="BN89" s="111">
        <f t="shared" si="34"/>
        <v>2.1985455775410114E-4</v>
      </c>
    </row>
    <row r="90" spans="1:66" x14ac:dyDescent="0.35">
      <c r="C90" s="115"/>
      <c r="D90" s="33"/>
      <c r="E90" s="119"/>
      <c r="H90" s="122"/>
      <c r="I90" s="33"/>
      <c r="J90" s="119"/>
      <c r="L90" s="31"/>
      <c r="M90" s="119"/>
      <c r="N90" s="33"/>
      <c r="O90" s="119"/>
      <c r="Q90" s="31"/>
      <c r="R90" s="119"/>
      <c r="S90" s="33"/>
      <c r="T90" s="119"/>
      <c r="V90" s="31"/>
      <c r="W90" s="119"/>
      <c r="X90" s="33"/>
      <c r="Y90" s="119"/>
      <c r="AA90" s="31"/>
      <c r="AB90" s="119"/>
      <c r="AC90" s="33"/>
      <c r="AD90" s="119"/>
      <c r="AH90" s="33"/>
      <c r="AM90" s="33"/>
      <c r="AP90" s="31"/>
      <c r="AQ90" s="39"/>
      <c r="AR90" s="33"/>
      <c r="AS90" s="40"/>
      <c r="AU90" s="31"/>
      <c r="AV90" s="131"/>
      <c r="AW90" s="33"/>
      <c r="AX90" s="134"/>
      <c r="AZ90" s="31"/>
      <c r="BA90" s="132"/>
      <c r="BB90" s="33"/>
      <c r="BC90" s="135"/>
      <c r="BE90" s="31"/>
      <c r="BF90" s="131"/>
      <c r="BG90" s="33"/>
      <c r="BH90" s="134"/>
      <c r="BI90" s="30">
        <v>87</v>
      </c>
      <c r="BJ90" s="38" t="s">
        <v>70</v>
      </c>
      <c r="BK90" s="141">
        <v>11</v>
      </c>
      <c r="BL90" s="33">
        <f t="shared" si="32"/>
        <v>1421.5390909090909</v>
      </c>
      <c r="BM90" s="144">
        <v>15636.93</v>
      </c>
      <c r="BN90" s="111">
        <f t="shared" si="34"/>
        <v>2.0294266869609335E-4</v>
      </c>
    </row>
    <row r="91" spans="1:66" x14ac:dyDescent="0.35">
      <c r="B91" s="31"/>
      <c r="C91" s="115"/>
      <c r="D91" s="33"/>
      <c r="E91" s="119"/>
      <c r="G91" s="31"/>
      <c r="H91" s="122"/>
      <c r="I91" s="33"/>
      <c r="J91" s="119"/>
      <c r="L91" s="31"/>
      <c r="M91" s="119"/>
      <c r="N91" s="33"/>
      <c r="O91" s="119"/>
      <c r="Q91" s="31"/>
      <c r="R91" s="119"/>
      <c r="S91" s="33"/>
      <c r="T91" s="119"/>
      <c r="V91" s="31"/>
      <c r="W91" s="119"/>
      <c r="X91" s="33"/>
      <c r="Y91" s="119"/>
      <c r="AA91" s="31"/>
      <c r="AB91" s="119"/>
      <c r="AC91" s="33"/>
      <c r="AD91" s="119"/>
      <c r="AH91" s="33"/>
      <c r="AM91" s="33"/>
      <c r="AP91" s="31"/>
      <c r="AQ91" s="39"/>
      <c r="AR91" s="33"/>
      <c r="AS91" s="40"/>
      <c r="AU91" s="31"/>
      <c r="AV91" s="131"/>
      <c r="AW91" s="33"/>
      <c r="AX91" s="134"/>
      <c r="AZ91" s="31"/>
      <c r="BA91" s="132"/>
      <c r="BB91" s="33"/>
      <c r="BC91" s="135"/>
      <c r="BE91" s="31"/>
      <c r="BF91" s="131"/>
      <c r="BG91" s="33"/>
      <c r="BH91" s="134"/>
      <c r="BI91" s="30">
        <v>88</v>
      </c>
      <c r="BJ91" s="38" t="s">
        <v>117</v>
      </c>
      <c r="BK91" s="140">
        <v>11</v>
      </c>
      <c r="BL91" s="33">
        <f t="shared" si="32"/>
        <v>2011.46</v>
      </c>
      <c r="BM91" s="144">
        <v>22126.06</v>
      </c>
      <c r="BN91" s="111">
        <f t="shared" si="34"/>
        <v>1.8603077963808557E-4</v>
      </c>
    </row>
    <row r="92" spans="1:66" x14ac:dyDescent="0.35">
      <c r="B92" s="31"/>
      <c r="C92" s="115"/>
      <c r="D92" s="33"/>
      <c r="E92" s="119"/>
      <c r="G92" s="31"/>
      <c r="H92" s="122"/>
      <c r="I92" s="33"/>
      <c r="J92" s="119"/>
      <c r="M92" s="119"/>
      <c r="N92" s="33"/>
      <c r="O92" s="119"/>
      <c r="Q92" s="31"/>
      <c r="R92" s="119"/>
      <c r="S92" s="33"/>
      <c r="T92" s="119"/>
      <c r="V92" s="31"/>
      <c r="W92" s="119"/>
      <c r="X92" s="33"/>
      <c r="Y92" s="119"/>
      <c r="AA92" s="31"/>
      <c r="AB92" s="119"/>
      <c r="AC92" s="33"/>
      <c r="AD92" s="119"/>
      <c r="AH92" s="33"/>
      <c r="AM92" s="33"/>
      <c r="AP92" s="31"/>
      <c r="AQ92" s="39"/>
      <c r="AR92" s="33"/>
      <c r="AS92" s="40"/>
      <c r="AU92" s="31"/>
      <c r="AV92" s="131"/>
      <c r="AW92" s="33"/>
      <c r="AX92" s="134"/>
      <c r="AZ92" s="31"/>
      <c r="BA92" s="131"/>
      <c r="BB92" s="33"/>
      <c r="BC92" s="134"/>
      <c r="BE92" s="31"/>
      <c r="BF92" s="131"/>
      <c r="BG92" s="33"/>
      <c r="BH92" s="134"/>
      <c r="BI92" s="30">
        <v>89</v>
      </c>
      <c r="BJ92" s="31" t="s">
        <v>135</v>
      </c>
      <c r="BK92" s="141">
        <v>10</v>
      </c>
      <c r="BL92" s="33">
        <f t="shared" si="32"/>
        <v>1519.981</v>
      </c>
      <c r="BM92" s="119">
        <v>15199.81</v>
      </c>
      <c r="BN92" s="111">
        <f t="shared" si="34"/>
        <v>1.8603077963808557E-4</v>
      </c>
    </row>
    <row r="93" spans="1:66" x14ac:dyDescent="0.35">
      <c r="B93" s="31"/>
      <c r="C93" s="115"/>
      <c r="D93" s="33"/>
      <c r="E93" s="119"/>
      <c r="G93" s="31"/>
      <c r="H93" s="122"/>
      <c r="I93" s="33"/>
      <c r="J93" s="119"/>
      <c r="L93" s="31"/>
      <c r="M93" s="119"/>
      <c r="N93" s="33"/>
      <c r="O93" s="119"/>
      <c r="R93" s="119"/>
      <c r="S93" s="33"/>
      <c r="T93" s="119"/>
      <c r="V93" s="31"/>
      <c r="W93" s="119"/>
      <c r="X93" s="33"/>
      <c r="Y93" s="119"/>
      <c r="AB93" s="119"/>
      <c r="AC93" s="33"/>
      <c r="AD93" s="119"/>
      <c r="AH93" s="33"/>
      <c r="AM93" s="33"/>
      <c r="AP93" s="31"/>
      <c r="AQ93" s="39"/>
      <c r="AR93" s="33"/>
      <c r="AS93" s="40"/>
      <c r="AU93" s="31"/>
      <c r="AV93" s="131"/>
      <c r="AW93" s="33"/>
      <c r="AX93" s="134"/>
      <c r="AZ93" s="31"/>
      <c r="BA93" s="131"/>
      <c r="BB93" s="33"/>
      <c r="BC93" s="134"/>
      <c r="BE93" s="31"/>
      <c r="BF93" s="132"/>
      <c r="BG93" s="33"/>
      <c r="BH93" s="135"/>
      <c r="BI93" s="30">
        <v>90</v>
      </c>
      <c r="BJ93" s="38" t="s">
        <v>110</v>
      </c>
      <c r="BK93" s="141">
        <v>9</v>
      </c>
      <c r="BL93" s="33">
        <f t="shared" si="32"/>
        <v>1561.2488888888888</v>
      </c>
      <c r="BM93" s="144">
        <v>14051.24</v>
      </c>
      <c r="BN93" s="111">
        <f t="shared" si="34"/>
        <v>1.6911889058007779E-4</v>
      </c>
    </row>
    <row r="94" spans="1:66" x14ac:dyDescent="0.35">
      <c r="B94" s="31"/>
      <c r="C94" s="115"/>
      <c r="D94" s="33"/>
      <c r="E94" s="119"/>
      <c r="G94" s="31"/>
      <c r="H94" s="122"/>
      <c r="I94" s="33"/>
      <c r="J94" s="119"/>
      <c r="M94" s="119"/>
      <c r="N94" s="33"/>
      <c r="O94" s="119"/>
      <c r="Q94" s="31"/>
      <c r="R94" s="119"/>
      <c r="S94" s="33"/>
      <c r="T94" s="119"/>
      <c r="V94" s="31"/>
      <c r="W94" s="119"/>
      <c r="X94" s="33"/>
      <c r="Y94" s="119"/>
      <c r="AB94" s="119"/>
      <c r="AC94" s="33"/>
      <c r="AD94" s="119"/>
      <c r="AH94" s="33"/>
      <c r="AM94" s="33"/>
      <c r="AP94" s="31"/>
      <c r="AQ94" s="39"/>
      <c r="AR94" s="33"/>
      <c r="AS94" s="40"/>
      <c r="AU94" s="31"/>
      <c r="AV94" s="131"/>
      <c r="AW94" s="33"/>
      <c r="AX94" s="134"/>
      <c r="AZ94" s="31"/>
      <c r="BA94" s="131"/>
      <c r="BB94" s="33"/>
      <c r="BC94" s="134"/>
      <c r="BE94" s="31"/>
      <c r="BF94" s="131"/>
      <c r="BG94" s="33"/>
      <c r="BH94" s="134"/>
      <c r="BI94" s="30">
        <v>91</v>
      </c>
      <c r="BJ94" s="38" t="s">
        <v>95</v>
      </c>
      <c r="BK94" s="140">
        <v>9</v>
      </c>
      <c r="BL94" s="33">
        <f t="shared" si="32"/>
        <v>1690.818888888889</v>
      </c>
      <c r="BM94" s="144">
        <v>15217.37</v>
      </c>
      <c r="BN94" s="111">
        <f t="shared" si="34"/>
        <v>1.5220700152207003E-4</v>
      </c>
    </row>
    <row r="95" spans="1:66" x14ac:dyDescent="0.35">
      <c r="C95" s="115"/>
      <c r="D95" s="33"/>
      <c r="E95" s="119"/>
      <c r="G95" s="31"/>
      <c r="H95" s="122"/>
      <c r="I95" s="33"/>
      <c r="J95" s="119"/>
      <c r="M95" s="119"/>
      <c r="N95" s="33"/>
      <c r="O95" s="119"/>
      <c r="R95" s="119"/>
      <c r="S95" s="33"/>
      <c r="T95" s="119"/>
      <c r="V95" s="31"/>
      <c r="W95" s="119"/>
      <c r="X95" s="33"/>
      <c r="Y95" s="119"/>
      <c r="AB95" s="119"/>
      <c r="AC95" s="33"/>
      <c r="AD95" s="119"/>
      <c r="AH95" s="33"/>
      <c r="AM95" s="33"/>
      <c r="AP95" s="31"/>
      <c r="AQ95" s="39"/>
      <c r="AR95" s="33"/>
      <c r="AS95" s="40"/>
      <c r="AU95" s="31"/>
      <c r="AV95" s="131"/>
      <c r="AW95" s="33"/>
      <c r="AX95" s="134"/>
      <c r="BB95" s="33"/>
      <c r="BE95" s="31"/>
      <c r="BF95" s="131"/>
      <c r="BG95" s="33"/>
      <c r="BH95" s="134"/>
      <c r="BI95" s="30">
        <v>92</v>
      </c>
      <c r="BJ95" s="38" t="s">
        <v>40</v>
      </c>
      <c r="BK95" s="140">
        <v>9</v>
      </c>
      <c r="BL95" s="33">
        <f t="shared" si="32"/>
        <v>1562.0255555555555</v>
      </c>
      <c r="BM95" s="144">
        <v>14058.23</v>
      </c>
      <c r="BN95" s="111">
        <f t="shared" si="34"/>
        <v>1.5220700152207003E-4</v>
      </c>
    </row>
    <row r="96" spans="1:66" x14ac:dyDescent="0.35">
      <c r="B96" s="31"/>
      <c r="C96" s="115"/>
      <c r="D96" s="33"/>
      <c r="E96" s="119"/>
      <c r="G96" s="31"/>
      <c r="H96" s="122"/>
      <c r="I96" s="33"/>
      <c r="J96" s="119"/>
      <c r="M96" s="119"/>
      <c r="N96" s="33"/>
      <c r="O96" s="119"/>
      <c r="R96" s="119"/>
      <c r="S96" s="33"/>
      <c r="T96" s="119"/>
      <c r="W96" s="119"/>
      <c r="X96" s="33"/>
      <c r="Y96" s="119"/>
      <c r="AB96" s="119"/>
      <c r="AC96" s="33"/>
      <c r="AD96" s="119"/>
      <c r="AH96" s="33"/>
      <c r="AM96" s="33"/>
      <c r="AP96" s="31"/>
      <c r="AQ96" s="39"/>
      <c r="AR96" s="33"/>
      <c r="AS96" s="40"/>
      <c r="AW96" s="33"/>
      <c r="BB96" s="33"/>
      <c r="BE96" s="31"/>
      <c r="BF96" s="132"/>
      <c r="BG96" s="33"/>
      <c r="BH96" s="135"/>
      <c r="BI96" s="30">
        <v>93</v>
      </c>
      <c r="BJ96" s="31" t="s">
        <v>113</v>
      </c>
      <c r="BK96" s="141">
        <v>8</v>
      </c>
      <c r="BL96" s="33">
        <f t="shared" si="32"/>
        <v>1154.4075</v>
      </c>
      <c r="BM96" s="119">
        <v>9235.26</v>
      </c>
      <c r="BN96" s="111">
        <f t="shared" si="34"/>
        <v>1.5220700152207003E-4</v>
      </c>
    </row>
    <row r="97" spans="2:66" x14ac:dyDescent="0.35">
      <c r="C97" s="115"/>
      <c r="D97" s="33"/>
      <c r="E97" s="119"/>
      <c r="G97" s="31"/>
      <c r="H97" s="122"/>
      <c r="I97" s="33"/>
      <c r="J97" s="119"/>
      <c r="M97" s="119"/>
      <c r="N97" s="33"/>
      <c r="O97" s="119"/>
      <c r="R97" s="119"/>
      <c r="S97" s="33"/>
      <c r="T97" s="119"/>
      <c r="W97" s="119"/>
      <c r="X97" s="33"/>
      <c r="Y97" s="119"/>
      <c r="AB97" s="119"/>
      <c r="AC97" s="33"/>
      <c r="AD97" s="119"/>
      <c r="AH97" s="33"/>
      <c r="AM97" s="33"/>
      <c r="AQ97" s="39"/>
      <c r="AR97" s="33"/>
      <c r="AS97" s="40"/>
      <c r="AW97" s="33"/>
      <c r="BB97" s="33"/>
      <c r="BE97" s="31"/>
      <c r="BF97" s="132"/>
      <c r="BG97" s="33"/>
      <c r="BH97" s="135"/>
      <c r="BI97" s="30">
        <v>94</v>
      </c>
      <c r="BJ97" s="31" t="s">
        <v>142</v>
      </c>
      <c r="BK97" s="141">
        <v>8</v>
      </c>
      <c r="BL97" s="33">
        <f t="shared" si="32"/>
        <v>1230.4412500000001</v>
      </c>
      <c r="BM97" s="119">
        <v>9843.5300000000007</v>
      </c>
      <c r="BN97" s="111">
        <f t="shared" si="34"/>
        <v>1.3529511246406224E-4</v>
      </c>
    </row>
    <row r="98" spans="2:66" x14ac:dyDescent="0.35">
      <c r="B98" s="31"/>
      <c r="C98" s="115"/>
      <c r="D98" s="33"/>
      <c r="E98" s="119"/>
      <c r="G98" s="31"/>
      <c r="H98" s="122"/>
      <c r="I98" s="33"/>
      <c r="J98" s="119"/>
      <c r="M98" s="119"/>
      <c r="N98" s="33"/>
      <c r="O98" s="119"/>
      <c r="R98" s="119"/>
      <c r="S98" s="33"/>
      <c r="T98" s="119"/>
      <c r="W98" s="119"/>
      <c r="X98" s="33"/>
      <c r="Y98" s="119"/>
      <c r="AB98" s="119"/>
      <c r="AC98" s="33"/>
      <c r="AD98" s="119"/>
      <c r="AH98" s="33"/>
      <c r="AM98" s="33"/>
      <c r="AQ98" s="39"/>
      <c r="AR98" s="33"/>
      <c r="AS98" s="40"/>
      <c r="AW98" s="33"/>
      <c r="BB98" s="37"/>
      <c r="BE98" s="31"/>
      <c r="BF98" s="131"/>
      <c r="BG98" s="33"/>
      <c r="BH98" s="134"/>
      <c r="BI98" s="30">
        <v>95</v>
      </c>
      <c r="BJ98" s="38" t="s">
        <v>149</v>
      </c>
      <c r="BK98" s="141">
        <v>8</v>
      </c>
      <c r="BL98" s="33">
        <f t="shared" si="32"/>
        <v>1670.77125</v>
      </c>
      <c r="BM98" s="144">
        <v>13366.17</v>
      </c>
      <c r="BN98" s="111">
        <f t="shared" si="34"/>
        <v>1.3529511246406224E-4</v>
      </c>
    </row>
    <row r="99" spans="2:66" x14ac:dyDescent="0.35">
      <c r="C99" s="115"/>
      <c r="D99" s="33"/>
      <c r="E99" s="119"/>
      <c r="G99" s="31"/>
      <c r="H99" s="122"/>
      <c r="I99" s="33"/>
      <c r="J99" s="119"/>
      <c r="M99" s="120"/>
      <c r="N99" s="33"/>
      <c r="R99" s="120"/>
      <c r="S99" s="33"/>
      <c r="W99" s="119"/>
      <c r="X99" s="33"/>
      <c r="Y99" s="119"/>
      <c r="AB99" s="120"/>
      <c r="AC99" s="33"/>
      <c r="AH99" s="33"/>
      <c r="AM99" s="33"/>
      <c r="AQ99" s="39"/>
      <c r="AR99" s="33"/>
      <c r="AS99" s="40"/>
      <c r="AW99" s="33"/>
      <c r="BB99" s="37"/>
      <c r="BE99" s="31"/>
      <c r="BF99" s="132"/>
      <c r="BG99" s="33"/>
      <c r="BH99" s="135"/>
      <c r="BI99" s="30">
        <v>96</v>
      </c>
      <c r="BJ99" s="38" t="s">
        <v>134</v>
      </c>
      <c r="BK99" s="140">
        <v>8</v>
      </c>
      <c r="BL99" s="33">
        <f t="shared" si="32"/>
        <v>1434.3987500000001</v>
      </c>
      <c r="BM99" s="144">
        <v>11475.19</v>
      </c>
      <c r="BN99" s="111">
        <f t="shared" si="34"/>
        <v>1.3529511246406224E-4</v>
      </c>
    </row>
    <row r="100" spans="2:66" x14ac:dyDescent="0.35">
      <c r="C100" s="115"/>
      <c r="D100" s="33"/>
      <c r="E100" s="119"/>
      <c r="G100" s="31"/>
      <c r="H100" s="122"/>
      <c r="I100" s="33"/>
      <c r="J100" s="119"/>
      <c r="M100" s="120"/>
      <c r="N100" s="33"/>
      <c r="R100" s="120"/>
      <c r="S100" s="33"/>
      <c r="W100" s="119"/>
      <c r="X100" s="33"/>
      <c r="Y100" s="119"/>
      <c r="AB100" s="120"/>
      <c r="AC100" s="33"/>
      <c r="AH100" s="33"/>
      <c r="AM100" s="33"/>
      <c r="AQ100" s="39"/>
      <c r="AR100" s="33"/>
      <c r="AS100" s="40"/>
      <c r="AW100" s="33"/>
      <c r="BB100" s="37"/>
      <c r="BE100" s="31"/>
      <c r="BF100" s="131"/>
      <c r="BG100" s="33"/>
      <c r="BH100" s="134"/>
      <c r="BI100" s="30">
        <v>97</v>
      </c>
      <c r="BJ100" s="38" t="s">
        <v>159</v>
      </c>
      <c r="BK100" s="140">
        <v>8</v>
      </c>
      <c r="BL100" s="33">
        <f t="shared" si="32"/>
        <v>1048.0675000000001</v>
      </c>
      <c r="BM100" s="144">
        <v>8384.5400000000009</v>
      </c>
    </row>
    <row r="101" spans="2:66" x14ac:dyDescent="0.35">
      <c r="C101" s="115"/>
      <c r="D101" s="33"/>
      <c r="E101" s="119"/>
      <c r="G101" s="31"/>
      <c r="H101" s="122"/>
      <c r="I101" s="33"/>
      <c r="J101" s="119"/>
      <c r="M101" s="120"/>
      <c r="N101" s="33"/>
      <c r="R101" s="120"/>
      <c r="S101" s="33"/>
      <c r="W101" s="120"/>
      <c r="X101" s="33"/>
      <c r="AB101" s="120"/>
      <c r="AC101" s="33"/>
      <c r="AH101" s="33"/>
      <c r="AM101" s="33"/>
      <c r="AQ101" s="39"/>
      <c r="AR101" s="33"/>
      <c r="AS101" s="40"/>
      <c r="AW101" s="33"/>
      <c r="BB101" s="37"/>
      <c r="BE101" s="31"/>
      <c r="BF101" s="131"/>
      <c r="BG101" s="33"/>
      <c r="BH101" s="134"/>
      <c r="BI101" s="30">
        <v>98</v>
      </c>
      <c r="BJ101" s="38" t="s">
        <v>118</v>
      </c>
      <c r="BK101" s="141">
        <v>7</v>
      </c>
      <c r="BL101" s="33">
        <f t="shared" si="32"/>
        <v>1392.4457142857143</v>
      </c>
      <c r="BM101" s="144">
        <v>9747.1200000000008</v>
      </c>
    </row>
    <row r="102" spans="2:66" x14ac:dyDescent="0.35">
      <c r="C102" s="115"/>
      <c r="D102" s="33"/>
      <c r="E102" s="119"/>
      <c r="G102" s="31"/>
      <c r="H102" s="122"/>
      <c r="I102" s="33"/>
      <c r="J102" s="119"/>
      <c r="M102" s="120"/>
      <c r="N102" s="33"/>
      <c r="R102" s="120"/>
      <c r="S102" s="33"/>
      <c r="W102" s="120"/>
      <c r="X102" s="33"/>
      <c r="AB102" s="120"/>
      <c r="AC102" s="33"/>
      <c r="AH102" s="33"/>
      <c r="AM102" s="33"/>
      <c r="AQ102" s="39"/>
      <c r="AR102" s="33"/>
      <c r="AS102" s="40"/>
      <c r="AW102" s="33"/>
      <c r="BB102" s="37"/>
      <c r="BE102" s="31"/>
      <c r="BF102" s="131"/>
      <c r="BG102" s="33"/>
      <c r="BH102" s="134"/>
      <c r="BI102" s="30">
        <v>99</v>
      </c>
      <c r="BJ102" s="31" t="s">
        <v>115</v>
      </c>
      <c r="BK102" s="141">
        <v>7</v>
      </c>
      <c r="BL102" s="33">
        <f t="shared" si="32"/>
        <v>1273.037142857143</v>
      </c>
      <c r="BM102" s="119">
        <v>8911.26</v>
      </c>
    </row>
    <row r="103" spans="2:66" x14ac:dyDescent="0.35">
      <c r="D103" s="33"/>
      <c r="G103" s="31"/>
      <c r="H103" s="122"/>
      <c r="I103" s="33"/>
      <c r="J103" s="119"/>
      <c r="M103" s="120"/>
      <c r="N103" s="33"/>
      <c r="R103" s="120"/>
      <c r="S103" s="33"/>
      <c r="W103" s="120"/>
      <c r="X103" s="33"/>
      <c r="AB103" s="120"/>
      <c r="AC103" s="33"/>
      <c r="AH103" s="33"/>
      <c r="AM103" s="33"/>
      <c r="AQ103" s="39"/>
      <c r="AR103" s="33"/>
      <c r="AS103" s="40"/>
      <c r="AW103" s="33"/>
      <c r="BB103" s="37"/>
      <c r="BG103" s="33"/>
      <c r="BI103" s="30">
        <v>100</v>
      </c>
      <c r="BJ103" s="38" t="s">
        <v>136</v>
      </c>
      <c r="BK103" s="141">
        <v>7</v>
      </c>
      <c r="BL103" s="33">
        <f t="shared" si="32"/>
        <v>2176.2599999999998</v>
      </c>
      <c r="BM103" s="144">
        <v>15233.82</v>
      </c>
    </row>
    <row r="104" spans="2:66" x14ac:dyDescent="0.35">
      <c r="D104" s="33"/>
      <c r="H104" s="122"/>
      <c r="I104" s="33"/>
      <c r="J104" s="119"/>
      <c r="M104" s="120"/>
      <c r="N104" s="33"/>
      <c r="R104" s="120"/>
      <c r="S104" s="33"/>
      <c r="W104" s="120"/>
      <c r="X104" s="33"/>
      <c r="AB104" s="120"/>
      <c r="AC104" s="33"/>
      <c r="AH104" s="33"/>
      <c r="AM104" s="33"/>
      <c r="AQ104" s="39"/>
      <c r="AR104" s="33"/>
      <c r="AS104" s="40"/>
      <c r="AW104" s="33"/>
      <c r="BB104" s="37"/>
      <c r="BG104" s="33"/>
      <c r="BI104" s="30">
        <v>101</v>
      </c>
      <c r="BJ104" s="38" t="s">
        <v>139</v>
      </c>
      <c r="BK104" s="140">
        <v>7</v>
      </c>
      <c r="BL104" s="33">
        <f t="shared" si="32"/>
        <v>1545.7785714285715</v>
      </c>
      <c r="BM104" s="144">
        <v>10820.45</v>
      </c>
    </row>
    <row r="105" spans="2:66" x14ac:dyDescent="0.35">
      <c r="D105" s="33"/>
      <c r="G105" s="31"/>
      <c r="H105" s="122"/>
      <c r="I105" s="33"/>
      <c r="J105" s="119"/>
      <c r="M105" s="120"/>
      <c r="N105" s="33"/>
      <c r="R105" s="120"/>
      <c r="S105" s="33"/>
      <c r="W105" s="120"/>
      <c r="X105" s="33"/>
      <c r="AB105" s="120"/>
      <c r="AC105" s="33"/>
      <c r="AH105" s="38"/>
      <c r="AM105" s="33"/>
      <c r="AQ105" s="39"/>
      <c r="AR105" s="33"/>
      <c r="AW105" s="33"/>
      <c r="BB105" s="37"/>
      <c r="BG105" s="33"/>
      <c r="BI105" s="30">
        <v>102</v>
      </c>
      <c r="BJ105" s="38" t="s">
        <v>101</v>
      </c>
      <c r="BK105" s="140">
        <v>7</v>
      </c>
      <c r="BL105" s="33">
        <f t="shared" si="32"/>
        <v>1496.4857142857143</v>
      </c>
      <c r="BM105" s="144">
        <v>10475.4</v>
      </c>
    </row>
    <row r="106" spans="2:66" x14ac:dyDescent="0.35">
      <c r="D106" s="33"/>
      <c r="H106" s="122"/>
      <c r="I106" s="33"/>
      <c r="J106" s="119"/>
      <c r="M106" s="120"/>
      <c r="N106" s="33"/>
      <c r="R106" s="120"/>
      <c r="S106" s="33"/>
      <c r="W106" s="120"/>
      <c r="X106" s="33"/>
      <c r="AB106" s="120"/>
      <c r="AC106" s="33"/>
      <c r="AH106" s="38"/>
      <c r="AM106" s="33"/>
      <c r="AQ106" s="39"/>
      <c r="AR106" s="33"/>
      <c r="AW106" s="33"/>
      <c r="BB106" s="37"/>
      <c r="BG106" s="33"/>
      <c r="BI106" s="30">
        <v>103</v>
      </c>
      <c r="BJ106" s="38" t="s">
        <v>148</v>
      </c>
      <c r="BK106" s="141">
        <v>6</v>
      </c>
      <c r="BL106" s="33">
        <f t="shared" si="32"/>
        <v>1595.5683333333334</v>
      </c>
      <c r="BM106" s="144">
        <v>9573.41</v>
      </c>
    </row>
    <row r="107" spans="2:66" x14ac:dyDescent="0.35">
      <c r="D107" s="33"/>
      <c r="I107" s="33"/>
      <c r="M107" s="120"/>
      <c r="N107" s="33"/>
      <c r="R107" s="120"/>
      <c r="S107" s="33"/>
      <c r="W107" s="120"/>
      <c r="X107" s="33"/>
      <c r="AB107" s="120"/>
      <c r="AC107" s="33"/>
      <c r="AH107" s="38"/>
      <c r="AQ107" s="39"/>
      <c r="AR107" s="33"/>
      <c r="AW107" s="33"/>
      <c r="BB107" s="37"/>
      <c r="BG107" s="33"/>
      <c r="BI107" s="30">
        <v>104</v>
      </c>
      <c r="BJ107" s="38" t="s">
        <v>150</v>
      </c>
      <c r="BK107" s="141">
        <v>6</v>
      </c>
      <c r="BL107" s="33">
        <f t="shared" si="32"/>
        <v>1717.1316666666669</v>
      </c>
      <c r="BM107" s="144">
        <v>10302.790000000001</v>
      </c>
    </row>
    <row r="108" spans="2:66" x14ac:dyDescent="0.35">
      <c r="D108" s="33"/>
      <c r="I108" s="33"/>
      <c r="M108" s="125"/>
      <c r="N108" s="33"/>
      <c r="R108" s="125"/>
      <c r="S108" s="33"/>
      <c r="W108" s="120"/>
      <c r="X108" s="33"/>
      <c r="AB108" s="120"/>
      <c r="AC108" s="33"/>
      <c r="AH108" s="38"/>
      <c r="AQ108" s="39"/>
      <c r="AR108" s="33"/>
      <c r="AW108" s="33"/>
      <c r="BB108" s="37"/>
      <c r="BG108" s="33"/>
      <c r="BI108" s="30">
        <v>105</v>
      </c>
      <c r="BJ108" s="38" t="s">
        <v>75</v>
      </c>
      <c r="BK108" s="141">
        <v>6</v>
      </c>
      <c r="BL108" s="33">
        <f t="shared" si="32"/>
        <v>1171.7366666666667</v>
      </c>
      <c r="BM108" s="144">
        <v>7030.42</v>
      </c>
    </row>
    <row r="109" spans="2:66" x14ac:dyDescent="0.35">
      <c r="D109" s="33"/>
      <c r="I109" s="33"/>
      <c r="M109" s="125"/>
      <c r="N109" s="33"/>
      <c r="R109" s="125"/>
      <c r="S109" s="33"/>
      <c r="W109" s="125"/>
      <c r="X109" s="33"/>
      <c r="AB109" s="125"/>
      <c r="AC109" s="33"/>
      <c r="AH109" s="38"/>
      <c r="AQ109" s="39"/>
      <c r="AR109" s="33"/>
      <c r="AW109" s="33"/>
      <c r="BB109" s="37"/>
      <c r="BG109" s="33"/>
      <c r="BI109" s="30">
        <v>106</v>
      </c>
      <c r="BJ109" s="38" t="s">
        <v>153</v>
      </c>
      <c r="BK109" s="141">
        <v>6</v>
      </c>
      <c r="BL109" s="33">
        <f t="shared" si="32"/>
        <v>994.05499999999995</v>
      </c>
      <c r="BM109" s="144">
        <v>5964.33</v>
      </c>
    </row>
    <row r="110" spans="2:66" x14ac:dyDescent="0.35">
      <c r="D110" s="33"/>
      <c r="I110" s="33"/>
      <c r="M110" s="125"/>
      <c r="N110" s="33"/>
      <c r="R110" s="125"/>
      <c r="S110" s="33"/>
      <c r="W110" s="125"/>
      <c r="X110" s="33"/>
      <c r="AB110" s="125"/>
      <c r="AC110" s="33"/>
      <c r="AH110" s="38"/>
      <c r="AQ110" s="39"/>
      <c r="AR110" s="33"/>
      <c r="AW110" s="33"/>
      <c r="BB110" s="37"/>
      <c r="BG110" s="33"/>
      <c r="BI110" s="30">
        <v>107</v>
      </c>
      <c r="BJ110" s="38" t="s">
        <v>130</v>
      </c>
      <c r="BK110" s="140">
        <v>6</v>
      </c>
      <c r="BL110" s="33">
        <f t="shared" si="32"/>
        <v>1209.9866666666667</v>
      </c>
      <c r="BM110" s="144">
        <v>7259.92</v>
      </c>
    </row>
    <row r="111" spans="2:66" x14ac:dyDescent="0.35">
      <c r="D111" s="33"/>
      <c r="I111" s="33"/>
      <c r="M111" s="125"/>
      <c r="N111" s="33"/>
      <c r="R111" s="125"/>
      <c r="S111" s="33"/>
      <c r="W111" s="125"/>
      <c r="X111" s="33"/>
      <c r="AB111" s="125"/>
      <c r="AC111" s="33"/>
      <c r="AH111" s="38"/>
      <c r="AQ111" s="39"/>
      <c r="AR111" s="33"/>
      <c r="AW111" s="33"/>
      <c r="BB111" s="37"/>
      <c r="BG111" s="33"/>
      <c r="BI111" s="30">
        <v>108</v>
      </c>
      <c r="BJ111" s="38" t="s">
        <v>158</v>
      </c>
      <c r="BK111" s="140">
        <v>6</v>
      </c>
      <c r="BL111" s="33">
        <f t="shared" si="32"/>
        <v>1548</v>
      </c>
      <c r="BM111" s="144">
        <v>9288</v>
      </c>
    </row>
    <row r="112" spans="2:66" x14ac:dyDescent="0.35">
      <c r="D112" s="33"/>
      <c r="I112" s="33"/>
      <c r="M112" s="125"/>
      <c r="N112" s="33"/>
      <c r="R112" s="125"/>
      <c r="S112" s="33"/>
      <c r="W112" s="125"/>
      <c r="X112" s="33"/>
      <c r="AB112" s="125"/>
      <c r="AC112" s="33"/>
      <c r="AH112" s="38"/>
      <c r="AQ112" s="39"/>
      <c r="AR112" s="33"/>
      <c r="AW112" s="33"/>
      <c r="BB112" s="37"/>
      <c r="BG112" s="33"/>
      <c r="BI112" s="30">
        <v>109</v>
      </c>
      <c r="BJ112" s="38" t="s">
        <v>81</v>
      </c>
      <c r="BK112" s="131">
        <v>5</v>
      </c>
      <c r="BL112" s="33">
        <f t="shared" si="32"/>
        <v>1969.1419999999998</v>
      </c>
      <c r="BM112" s="144">
        <v>9845.7099999999991</v>
      </c>
    </row>
    <row r="113" spans="4:65" x14ac:dyDescent="0.35">
      <c r="D113" s="33"/>
      <c r="I113" s="33"/>
      <c r="M113" s="125"/>
      <c r="N113" s="33"/>
      <c r="R113" s="125"/>
      <c r="S113" s="33"/>
      <c r="W113" s="125"/>
      <c r="X113" s="33"/>
      <c r="AB113" s="125"/>
      <c r="AC113" s="33"/>
      <c r="AH113" s="38"/>
      <c r="AR113" s="33"/>
      <c r="AW113" s="33"/>
      <c r="BG113" s="33"/>
      <c r="BI113" s="30">
        <v>110</v>
      </c>
      <c r="BJ113" s="38" t="s">
        <v>137</v>
      </c>
      <c r="BK113" s="141">
        <v>5</v>
      </c>
      <c r="BL113" s="33">
        <f t="shared" si="32"/>
        <v>1840.3759999999997</v>
      </c>
      <c r="BM113" s="119">
        <v>9201.8799999999992</v>
      </c>
    </row>
    <row r="114" spans="4:65" x14ac:dyDescent="0.35">
      <c r="D114" s="33"/>
      <c r="I114" s="33"/>
      <c r="M114" s="125"/>
      <c r="N114" s="33"/>
      <c r="R114" s="125"/>
      <c r="S114" s="33"/>
      <c r="W114" s="125"/>
      <c r="X114" s="33"/>
      <c r="AB114" s="125"/>
      <c r="AC114" s="33"/>
      <c r="AH114" s="38"/>
      <c r="AR114" s="33"/>
      <c r="AW114" s="33"/>
      <c r="BG114" s="33"/>
      <c r="BI114" s="30">
        <v>111</v>
      </c>
      <c r="BJ114" s="31" t="s">
        <v>129</v>
      </c>
      <c r="BK114" s="141">
        <v>5</v>
      </c>
      <c r="BL114" s="33">
        <f t="shared" si="32"/>
        <v>1407.1399999999999</v>
      </c>
      <c r="BM114" s="119">
        <v>7035.7</v>
      </c>
    </row>
    <row r="115" spans="4:65" x14ac:dyDescent="0.35">
      <c r="D115" s="33"/>
      <c r="I115" s="33"/>
      <c r="M115" s="125"/>
      <c r="N115" s="33"/>
      <c r="R115" s="125"/>
      <c r="S115" s="33"/>
      <c r="W115" s="125"/>
      <c r="X115" s="33"/>
      <c r="AB115" s="125"/>
      <c r="AC115" s="33"/>
      <c r="AH115" s="38"/>
      <c r="AR115" s="33"/>
      <c r="AW115" s="33"/>
      <c r="BG115" s="33"/>
      <c r="BI115" s="30">
        <v>112</v>
      </c>
      <c r="BJ115" s="38" t="s">
        <v>138</v>
      </c>
      <c r="BK115" s="140">
        <v>5</v>
      </c>
      <c r="BL115" s="33">
        <f t="shared" si="32"/>
        <v>1713.5040000000001</v>
      </c>
      <c r="BM115" s="144">
        <v>8567.52</v>
      </c>
    </row>
    <row r="116" spans="4:65" x14ac:dyDescent="0.35">
      <c r="D116" s="33"/>
      <c r="I116" s="33"/>
      <c r="M116" s="125"/>
      <c r="N116" s="33"/>
      <c r="R116" s="125"/>
      <c r="S116" s="33"/>
      <c r="W116" s="125"/>
      <c r="X116" s="33"/>
      <c r="AB116" s="125"/>
      <c r="AC116" s="33"/>
      <c r="AH116" s="38"/>
      <c r="AR116" s="33"/>
      <c r="AW116" s="33"/>
      <c r="BG116" s="33"/>
      <c r="BI116" s="30">
        <v>113</v>
      </c>
      <c r="BJ116" s="38" t="s">
        <v>146</v>
      </c>
      <c r="BK116" s="141">
        <v>4</v>
      </c>
      <c r="BL116" s="33">
        <f t="shared" si="32"/>
        <v>1465.57</v>
      </c>
      <c r="BM116" s="144">
        <v>5862.28</v>
      </c>
    </row>
    <row r="117" spans="4:65" x14ac:dyDescent="0.35">
      <c r="D117" s="33"/>
      <c r="I117" s="33"/>
      <c r="M117" s="125"/>
      <c r="N117" s="33"/>
      <c r="R117" s="125"/>
      <c r="S117" s="33"/>
      <c r="W117" s="125"/>
      <c r="X117" s="33"/>
      <c r="AB117" s="125"/>
      <c r="AC117" s="33"/>
      <c r="AH117" s="38"/>
      <c r="AR117" s="33"/>
      <c r="AW117" s="33"/>
      <c r="BG117" s="33"/>
      <c r="BI117" s="30">
        <v>114</v>
      </c>
      <c r="BJ117" s="38" t="s">
        <v>132</v>
      </c>
      <c r="BK117" s="141">
        <v>4</v>
      </c>
      <c r="BL117" s="33">
        <f t="shared" si="32"/>
        <v>1390.615</v>
      </c>
      <c r="BM117" s="144">
        <v>5562.46</v>
      </c>
    </row>
    <row r="118" spans="4:65" x14ac:dyDescent="0.35">
      <c r="D118" s="33"/>
      <c r="I118" s="33"/>
      <c r="M118" s="125"/>
      <c r="N118" s="33"/>
      <c r="R118" s="125"/>
      <c r="S118" s="33"/>
      <c r="W118" s="125"/>
      <c r="X118" s="33"/>
      <c r="AB118" s="125"/>
      <c r="AC118" s="33"/>
      <c r="AH118" s="38"/>
      <c r="AR118" s="33"/>
      <c r="AW118" s="33"/>
      <c r="BG118" s="33"/>
      <c r="BI118" s="30">
        <v>115</v>
      </c>
      <c r="BJ118" s="38" t="s">
        <v>145</v>
      </c>
      <c r="BK118" s="141">
        <v>3</v>
      </c>
      <c r="BL118" s="33">
        <f t="shared" si="32"/>
        <v>1827.5833333333333</v>
      </c>
      <c r="BM118" s="144">
        <v>5482.75</v>
      </c>
    </row>
    <row r="119" spans="4:65" x14ac:dyDescent="0.35">
      <c r="D119" s="33"/>
      <c r="I119" s="33"/>
      <c r="M119" s="125"/>
      <c r="N119" s="33"/>
      <c r="R119" s="125"/>
      <c r="S119" s="33"/>
      <c r="W119" s="125"/>
      <c r="X119" s="33"/>
      <c r="AB119" s="125"/>
      <c r="AC119" s="33"/>
      <c r="AH119" s="38"/>
      <c r="AR119" s="33"/>
      <c r="AW119" s="33"/>
      <c r="BG119" s="33"/>
      <c r="BI119" s="30">
        <v>116</v>
      </c>
      <c r="BJ119" s="38" t="s">
        <v>64</v>
      </c>
      <c r="BK119" s="141">
        <v>3</v>
      </c>
      <c r="BL119" s="33">
        <f t="shared" si="32"/>
        <v>1578.8999999999999</v>
      </c>
      <c r="BM119" s="144">
        <v>4736.7</v>
      </c>
    </row>
    <row r="120" spans="4:65" x14ac:dyDescent="0.35">
      <c r="D120" s="33"/>
      <c r="I120" s="33"/>
      <c r="M120" s="125"/>
      <c r="N120" s="33"/>
      <c r="R120" s="125"/>
      <c r="S120" s="33"/>
      <c r="W120" s="125"/>
      <c r="X120" s="33"/>
      <c r="AB120" s="125"/>
      <c r="AC120" s="33"/>
      <c r="AH120" s="38"/>
      <c r="AR120" s="33"/>
      <c r="AW120" s="33"/>
      <c r="BG120" s="33"/>
      <c r="BI120" s="30">
        <v>117</v>
      </c>
      <c r="BJ120" s="38" t="s">
        <v>121</v>
      </c>
      <c r="BK120" s="141">
        <v>3</v>
      </c>
      <c r="BL120" s="33">
        <f t="shared" si="32"/>
        <v>1254.04</v>
      </c>
      <c r="BM120" s="144">
        <v>3762.12</v>
      </c>
    </row>
    <row r="121" spans="4:65" x14ac:dyDescent="0.35">
      <c r="D121" s="33"/>
      <c r="I121" s="33"/>
      <c r="M121" s="125"/>
      <c r="N121" s="33"/>
      <c r="R121" s="125"/>
      <c r="S121" s="33"/>
      <c r="W121" s="125"/>
      <c r="X121" s="33"/>
      <c r="AB121" s="125"/>
      <c r="AC121" s="33"/>
      <c r="AH121" s="38"/>
      <c r="AR121" s="33"/>
      <c r="AW121" s="33"/>
      <c r="BG121" s="33"/>
      <c r="BI121" s="30">
        <v>118</v>
      </c>
      <c r="BJ121" s="38" t="s">
        <v>151</v>
      </c>
      <c r="BK121" s="141">
        <v>3</v>
      </c>
      <c r="BL121" s="33">
        <f t="shared" si="32"/>
        <v>1019.54</v>
      </c>
      <c r="BM121" s="144">
        <v>3058.62</v>
      </c>
    </row>
    <row r="122" spans="4:65" x14ac:dyDescent="0.35">
      <c r="D122" s="33"/>
      <c r="I122" s="33"/>
      <c r="M122" s="125"/>
      <c r="N122" s="33"/>
      <c r="R122" s="125"/>
      <c r="S122" s="33"/>
      <c r="W122" s="125"/>
      <c r="X122" s="33"/>
      <c r="AB122" s="125"/>
      <c r="AC122" s="33"/>
      <c r="AH122" s="38"/>
      <c r="AR122" s="33"/>
      <c r="BG122" s="33"/>
      <c r="BI122" s="30">
        <v>119</v>
      </c>
      <c r="BJ122" s="38" t="s">
        <v>152</v>
      </c>
      <c r="BK122" s="141">
        <v>3</v>
      </c>
      <c r="BL122" s="33">
        <f t="shared" si="32"/>
        <v>1494</v>
      </c>
      <c r="BM122" s="144">
        <v>4482</v>
      </c>
    </row>
    <row r="123" spans="4:65" x14ac:dyDescent="0.35">
      <c r="D123" s="33"/>
      <c r="I123" s="33"/>
      <c r="M123" s="125"/>
      <c r="N123" s="33"/>
      <c r="R123" s="125"/>
      <c r="S123" s="33"/>
      <c r="W123" s="125"/>
      <c r="X123" s="33"/>
      <c r="AB123" s="125"/>
      <c r="AC123" s="33"/>
      <c r="AH123" s="38"/>
      <c r="AR123" s="33"/>
      <c r="BG123" s="33"/>
      <c r="BI123" s="30">
        <v>120</v>
      </c>
      <c r="BJ123" s="38" t="s">
        <v>119</v>
      </c>
      <c r="BK123" s="140">
        <v>3</v>
      </c>
      <c r="BL123" s="33">
        <f t="shared" si="32"/>
        <v>1613.6599999999999</v>
      </c>
      <c r="BM123" s="144">
        <v>4840.9799999999996</v>
      </c>
    </row>
    <row r="124" spans="4:65" x14ac:dyDescent="0.35">
      <c r="D124" s="33"/>
      <c r="I124" s="33"/>
      <c r="M124" s="125"/>
      <c r="N124" s="33"/>
      <c r="R124" s="125"/>
      <c r="S124" s="33"/>
      <c r="W124" s="125"/>
      <c r="X124" s="33"/>
      <c r="AB124" s="125"/>
      <c r="AC124" s="33"/>
      <c r="AH124" s="38"/>
      <c r="AR124" s="33"/>
      <c r="BG124" s="33"/>
      <c r="BI124" s="30">
        <v>121</v>
      </c>
      <c r="BJ124" s="38" t="s">
        <v>156</v>
      </c>
      <c r="BK124" s="140">
        <v>3</v>
      </c>
      <c r="BL124" s="33">
        <f t="shared" si="32"/>
        <v>1152</v>
      </c>
      <c r="BM124" s="144">
        <v>3456</v>
      </c>
    </row>
    <row r="125" spans="4:65" x14ac:dyDescent="0.35">
      <c r="D125" s="33"/>
      <c r="I125" s="33"/>
      <c r="M125" s="125"/>
      <c r="N125" s="33"/>
      <c r="R125" s="125"/>
      <c r="S125" s="38"/>
      <c r="W125" s="125"/>
      <c r="X125" s="33"/>
      <c r="AB125" s="125"/>
      <c r="AC125" s="33"/>
      <c r="AH125" s="38"/>
      <c r="AR125" s="33"/>
      <c r="BG125" s="33"/>
      <c r="BI125" s="30">
        <v>122</v>
      </c>
      <c r="BJ125" s="38" t="s">
        <v>157</v>
      </c>
      <c r="BK125" s="140">
        <v>3</v>
      </c>
      <c r="BL125" s="33">
        <f t="shared" si="32"/>
        <v>2023.1899999999998</v>
      </c>
      <c r="BM125" s="144">
        <v>6069.57</v>
      </c>
    </row>
    <row r="126" spans="4:65" x14ac:dyDescent="0.35">
      <c r="D126" s="33"/>
      <c r="I126" s="33"/>
      <c r="M126" s="125"/>
      <c r="N126" s="33"/>
      <c r="R126" s="125"/>
      <c r="S126" s="38"/>
      <c r="W126" s="125"/>
      <c r="X126" s="33"/>
      <c r="AB126" s="125"/>
      <c r="AC126" s="38"/>
      <c r="AH126" s="38"/>
      <c r="AR126" s="33"/>
      <c r="BG126" s="33"/>
      <c r="BI126" s="30">
        <v>123</v>
      </c>
      <c r="BJ126" s="38" t="s">
        <v>131</v>
      </c>
      <c r="BK126" s="141">
        <v>2</v>
      </c>
      <c r="BL126" s="33">
        <f t="shared" si="32"/>
        <v>0</v>
      </c>
      <c r="BM126" s="144">
        <v>0</v>
      </c>
    </row>
    <row r="127" spans="4:65" x14ac:dyDescent="0.35">
      <c r="D127" s="33"/>
      <c r="I127" s="33"/>
      <c r="M127" s="125"/>
      <c r="N127" s="33"/>
      <c r="R127" s="125"/>
      <c r="S127" s="38"/>
      <c r="W127" s="125"/>
      <c r="X127" s="38"/>
      <c r="AC127" s="38"/>
      <c r="AH127" s="38"/>
      <c r="AR127" s="33"/>
      <c r="BG127" s="33"/>
      <c r="BI127" s="30">
        <v>124</v>
      </c>
      <c r="BJ127" s="31" t="s">
        <v>140</v>
      </c>
      <c r="BK127" s="141">
        <v>2</v>
      </c>
      <c r="BL127" s="33">
        <f t="shared" si="32"/>
        <v>2025.19</v>
      </c>
      <c r="BM127" s="119">
        <v>4050.38</v>
      </c>
    </row>
    <row r="128" spans="4:65" x14ac:dyDescent="0.35">
      <c r="D128" s="38"/>
      <c r="I128" s="33"/>
      <c r="N128" s="38"/>
      <c r="S128" s="38"/>
      <c r="W128" s="125"/>
      <c r="X128" s="38"/>
      <c r="AC128" s="38"/>
      <c r="AH128" s="38"/>
      <c r="BG128" s="33"/>
      <c r="BI128" s="30">
        <v>125</v>
      </c>
      <c r="BJ128" s="31" t="s">
        <v>69</v>
      </c>
      <c r="BK128" s="141">
        <v>2</v>
      </c>
      <c r="BL128" s="33">
        <f t="shared" si="32"/>
        <v>1274.43</v>
      </c>
      <c r="BM128" s="119">
        <v>2548.86</v>
      </c>
    </row>
    <row r="129" spans="4:65" x14ac:dyDescent="0.35">
      <c r="D129" s="38"/>
      <c r="I129" s="33"/>
      <c r="N129" s="38"/>
      <c r="S129" s="38"/>
      <c r="X129" s="38"/>
      <c r="AC129" s="38"/>
      <c r="AH129" s="38"/>
      <c r="BG129" s="33"/>
      <c r="BI129" s="30">
        <v>126</v>
      </c>
      <c r="BJ129" s="38" t="s">
        <v>141</v>
      </c>
      <c r="BK129" s="141">
        <v>2</v>
      </c>
      <c r="BL129" s="33">
        <f t="shared" si="32"/>
        <v>2115.04</v>
      </c>
      <c r="BM129" s="144">
        <v>4230.08</v>
      </c>
    </row>
    <row r="130" spans="4:65" x14ac:dyDescent="0.35">
      <c r="D130" s="38"/>
      <c r="I130" s="33"/>
      <c r="N130" s="38"/>
      <c r="R130" s="125"/>
      <c r="S130" s="38"/>
      <c r="X130" s="38"/>
      <c r="AB130" s="125"/>
      <c r="AC130" s="38"/>
      <c r="AH130" s="38"/>
      <c r="BG130" s="33"/>
      <c r="BI130" s="30">
        <v>127</v>
      </c>
      <c r="BJ130" s="38" t="s">
        <v>143</v>
      </c>
      <c r="BK130" s="140">
        <v>2</v>
      </c>
      <c r="BL130" s="33">
        <f t="shared" si="32"/>
        <v>1539.84</v>
      </c>
      <c r="BM130" s="144">
        <v>3079.68</v>
      </c>
    </row>
    <row r="131" spans="4:65" x14ac:dyDescent="0.35">
      <c r="D131" s="38"/>
      <c r="I131" s="33"/>
      <c r="N131" s="38"/>
      <c r="S131" s="38"/>
      <c r="X131" s="38"/>
      <c r="AC131" s="38"/>
      <c r="AH131" s="38"/>
      <c r="BG131" s="33"/>
      <c r="BI131" s="30">
        <v>128</v>
      </c>
      <c r="BJ131" s="38" t="s">
        <v>155</v>
      </c>
      <c r="BK131" s="140">
        <v>2</v>
      </c>
      <c r="BL131" s="33">
        <f t="shared" si="32"/>
        <v>917.59</v>
      </c>
      <c r="BM131" s="144">
        <v>1835.18</v>
      </c>
    </row>
    <row r="132" spans="4:65" x14ac:dyDescent="0.35">
      <c r="D132" s="38"/>
      <c r="I132" s="33"/>
      <c r="N132" s="38"/>
      <c r="S132" s="38"/>
      <c r="X132" s="38"/>
      <c r="AC132" s="38"/>
      <c r="AH132" s="38"/>
      <c r="BI132" s="30">
        <v>129</v>
      </c>
      <c r="BJ132" s="38" t="s">
        <v>160</v>
      </c>
      <c r="BK132" s="140">
        <v>2</v>
      </c>
      <c r="BL132" s="33">
        <f t="shared" si="32"/>
        <v>1231.6500000000001</v>
      </c>
      <c r="BM132" s="144">
        <v>2463.3000000000002</v>
      </c>
    </row>
    <row r="133" spans="4:65" x14ac:dyDescent="0.35">
      <c r="D133" s="38"/>
      <c r="I133" s="33"/>
      <c r="N133" s="38"/>
      <c r="S133" s="38"/>
      <c r="X133" s="38"/>
      <c r="AC133" s="38"/>
      <c r="AH133" s="38"/>
      <c r="BI133" s="30">
        <v>130</v>
      </c>
      <c r="BJ133" s="31" t="s">
        <v>114</v>
      </c>
      <c r="BK133" s="141">
        <v>1</v>
      </c>
      <c r="BL133" s="33">
        <f t="shared" si="32"/>
        <v>1062.02</v>
      </c>
      <c r="BM133" s="119">
        <v>1062.02</v>
      </c>
    </row>
    <row r="134" spans="4:65" x14ac:dyDescent="0.35">
      <c r="D134" s="38"/>
      <c r="I134" s="33"/>
      <c r="N134" s="38"/>
      <c r="R134" s="125"/>
      <c r="S134" s="38"/>
      <c r="X134" s="38"/>
      <c r="AC134" s="38"/>
      <c r="AH134" s="38"/>
      <c r="BI134" s="30">
        <v>131</v>
      </c>
      <c r="BJ134" s="38" t="s">
        <v>147</v>
      </c>
      <c r="BK134" s="141">
        <v>1</v>
      </c>
      <c r="BL134" s="33">
        <f t="shared" ref="BL134:BL135" si="35">BM134/BK134</f>
        <v>1800</v>
      </c>
      <c r="BM134" s="144">
        <v>1800</v>
      </c>
    </row>
    <row r="135" spans="4:65" x14ac:dyDescent="0.35">
      <c r="D135" s="38"/>
      <c r="I135" s="33"/>
      <c r="N135" s="38"/>
      <c r="S135" s="38"/>
      <c r="W135" s="125"/>
      <c r="X135" s="38"/>
      <c r="AB135" s="125"/>
      <c r="AC135" s="38"/>
      <c r="AH135" s="38"/>
      <c r="BI135" s="30">
        <v>132</v>
      </c>
      <c r="BJ135" s="38" t="s">
        <v>154</v>
      </c>
      <c r="BK135" s="140">
        <v>1</v>
      </c>
      <c r="BL135" s="33">
        <f t="shared" si="35"/>
        <v>1558.28</v>
      </c>
      <c r="BM135" s="144">
        <v>1558.28</v>
      </c>
    </row>
    <row r="136" spans="4:65" x14ac:dyDescent="0.35">
      <c r="D136" s="38"/>
      <c r="I136" s="33"/>
      <c r="N136" s="38"/>
      <c r="S136" s="38"/>
      <c r="X136" s="38"/>
      <c r="AC136" s="38"/>
      <c r="AH136" s="38"/>
      <c r="BI136" s="30">
        <v>133</v>
      </c>
      <c r="BL136" s="38"/>
    </row>
    <row r="137" spans="4:65" x14ac:dyDescent="0.35">
      <c r="D137" s="38"/>
      <c r="I137" s="38"/>
      <c r="N137" s="38"/>
      <c r="S137" s="38"/>
      <c r="X137" s="38"/>
      <c r="AC137" s="38"/>
      <c r="AH137" s="38"/>
      <c r="BL137" s="38"/>
    </row>
    <row r="138" spans="4:65" x14ac:dyDescent="0.35">
      <c r="D138" s="38"/>
      <c r="I138" s="38"/>
      <c r="N138" s="38"/>
      <c r="S138" s="38"/>
      <c r="X138" s="38"/>
      <c r="AC138" s="38"/>
      <c r="AH138" s="38"/>
      <c r="BL138" s="38"/>
    </row>
    <row r="139" spans="4:65" x14ac:dyDescent="0.35">
      <c r="D139" s="38"/>
      <c r="I139" s="38"/>
      <c r="N139" s="38"/>
      <c r="S139" s="38"/>
      <c r="X139" s="38"/>
      <c r="AC139" s="38"/>
      <c r="AH139" s="38"/>
      <c r="BL139" s="38"/>
    </row>
    <row r="140" spans="4:65" x14ac:dyDescent="0.35">
      <c r="D140" s="38"/>
      <c r="I140" s="38"/>
      <c r="N140" s="38"/>
      <c r="S140" s="38"/>
      <c r="X140" s="38"/>
      <c r="AC140" s="38"/>
      <c r="AH140" s="38"/>
      <c r="BL140" s="38"/>
    </row>
    <row r="141" spans="4:65" x14ac:dyDescent="0.35">
      <c r="D141" s="38"/>
      <c r="I141" s="38"/>
      <c r="N141" s="38"/>
      <c r="S141" s="38"/>
      <c r="X141" s="38"/>
      <c r="AC141" s="38"/>
      <c r="AH141" s="38"/>
      <c r="BL141" s="38"/>
    </row>
    <row r="142" spans="4:65" x14ac:dyDescent="0.35">
      <c r="D142" s="38"/>
      <c r="I142" s="38"/>
      <c r="N142" s="38"/>
      <c r="S142" s="38"/>
      <c r="X142" s="38"/>
      <c r="AC142" s="38"/>
      <c r="AH142" s="38"/>
      <c r="BL142" s="38"/>
    </row>
    <row r="143" spans="4:65" x14ac:dyDescent="0.35">
      <c r="D143" s="38"/>
      <c r="I143" s="38"/>
      <c r="N143" s="38"/>
      <c r="S143" s="38"/>
      <c r="X143" s="38"/>
      <c r="AC143" s="38"/>
      <c r="AH143" s="38"/>
      <c r="BL143" s="38"/>
    </row>
    <row r="144" spans="4:65" x14ac:dyDescent="0.35">
      <c r="D144" s="38"/>
      <c r="I144" s="38"/>
      <c r="N144" s="38"/>
      <c r="S144" s="38"/>
      <c r="X144" s="38"/>
      <c r="AC144" s="38"/>
      <c r="AH144" s="38"/>
      <c r="BL144" s="38"/>
    </row>
    <row r="145" spans="4:64" x14ac:dyDescent="0.35">
      <c r="D145" s="38"/>
      <c r="I145" s="38"/>
      <c r="N145" s="38"/>
      <c r="S145" s="38"/>
      <c r="X145" s="38"/>
      <c r="AC145" s="38"/>
      <c r="AH145" s="38"/>
      <c r="BL145" s="38"/>
    </row>
    <row r="146" spans="4:64" x14ac:dyDescent="0.35">
      <c r="D146" s="38"/>
      <c r="I146" s="38"/>
      <c r="N146" s="38"/>
      <c r="S146" s="38"/>
      <c r="X146" s="38"/>
      <c r="AC146" s="38"/>
      <c r="AH146" s="38"/>
      <c r="BL146" s="38"/>
    </row>
    <row r="147" spans="4:64" x14ac:dyDescent="0.35">
      <c r="D147" s="38"/>
      <c r="I147" s="38"/>
      <c r="N147" s="38"/>
      <c r="S147" s="38"/>
      <c r="X147" s="38"/>
      <c r="AC147" s="38"/>
      <c r="AH147" s="38"/>
      <c r="BL147" s="38"/>
    </row>
    <row r="148" spans="4:64" x14ac:dyDescent="0.35">
      <c r="D148" s="38"/>
      <c r="I148" s="38"/>
      <c r="N148" s="38"/>
      <c r="S148" s="38"/>
      <c r="X148" s="38"/>
      <c r="AC148" s="38"/>
      <c r="AH148" s="38"/>
      <c r="BL148" s="38"/>
    </row>
    <row r="149" spans="4:64" x14ac:dyDescent="0.35">
      <c r="D149" s="38"/>
      <c r="I149" s="38"/>
      <c r="N149" s="38"/>
      <c r="S149" s="38"/>
      <c r="X149" s="38"/>
      <c r="AC149" s="38"/>
      <c r="AH149" s="38"/>
      <c r="BL149" s="38"/>
    </row>
    <row r="150" spans="4:64" x14ac:dyDescent="0.35">
      <c r="D150" s="38"/>
      <c r="I150" s="38"/>
      <c r="N150" s="38"/>
      <c r="S150" s="38"/>
      <c r="X150" s="38"/>
      <c r="AC150" s="38"/>
      <c r="AH150" s="38"/>
      <c r="BL150" s="38"/>
    </row>
    <row r="151" spans="4:64" x14ac:dyDescent="0.35">
      <c r="D151" s="38"/>
      <c r="I151" s="38"/>
      <c r="N151" s="38"/>
      <c r="S151" s="38"/>
      <c r="X151" s="38"/>
      <c r="AC151" s="38"/>
      <c r="AH151" s="38"/>
      <c r="BL151" s="38"/>
    </row>
    <row r="152" spans="4:64" x14ac:dyDescent="0.35">
      <c r="D152" s="38"/>
      <c r="I152" s="38"/>
      <c r="N152" s="38"/>
      <c r="S152" s="38"/>
      <c r="X152" s="38"/>
      <c r="AC152" s="38"/>
      <c r="AH152" s="38"/>
      <c r="BL152" s="38"/>
    </row>
    <row r="153" spans="4:64" x14ac:dyDescent="0.35">
      <c r="D153" s="38"/>
      <c r="I153" s="38"/>
      <c r="N153" s="38"/>
      <c r="S153" s="38"/>
      <c r="X153" s="38"/>
      <c r="AC153" s="38"/>
      <c r="AH153" s="38"/>
      <c r="BL153" s="38"/>
    </row>
    <row r="154" spans="4:64" x14ac:dyDescent="0.35">
      <c r="D154" s="38"/>
      <c r="I154" s="38"/>
      <c r="N154" s="38"/>
      <c r="S154" s="38"/>
      <c r="X154" s="38"/>
      <c r="AC154" s="38"/>
      <c r="AH154" s="38"/>
      <c r="BL154" s="38"/>
    </row>
    <row r="155" spans="4:64" x14ac:dyDescent="0.35">
      <c r="D155" s="38"/>
      <c r="I155" s="38"/>
      <c r="N155" s="38"/>
      <c r="S155" s="38"/>
      <c r="X155" s="38"/>
      <c r="AC155" s="38"/>
      <c r="AH155" s="38"/>
      <c r="BL155" s="38"/>
    </row>
    <row r="156" spans="4:64" x14ac:dyDescent="0.35">
      <c r="D156" s="38"/>
      <c r="I156" s="38"/>
      <c r="N156" s="38"/>
      <c r="S156" s="38"/>
      <c r="X156" s="38"/>
      <c r="AC156" s="38"/>
      <c r="AH156" s="38"/>
      <c r="BL156" s="38"/>
    </row>
    <row r="157" spans="4:64" x14ac:dyDescent="0.35">
      <c r="D157" s="38"/>
      <c r="I157" s="38"/>
      <c r="N157" s="38"/>
      <c r="S157" s="38"/>
      <c r="X157" s="38"/>
      <c r="AC157" s="38"/>
      <c r="AH157" s="38"/>
      <c r="BL157" s="38"/>
    </row>
    <row r="158" spans="4:64" x14ac:dyDescent="0.35">
      <c r="D158" s="38"/>
      <c r="I158" s="38"/>
      <c r="N158" s="38"/>
      <c r="S158" s="38"/>
      <c r="X158" s="38"/>
      <c r="AC158" s="38"/>
      <c r="AH158" s="38"/>
      <c r="BL158" s="38"/>
    </row>
    <row r="159" spans="4:64" x14ac:dyDescent="0.35">
      <c r="D159" s="38"/>
      <c r="I159" s="38"/>
      <c r="N159" s="38"/>
      <c r="S159" s="38"/>
      <c r="X159" s="38"/>
      <c r="AC159" s="38"/>
      <c r="AH159" s="38"/>
      <c r="BL159" s="38"/>
    </row>
    <row r="160" spans="4:64" x14ac:dyDescent="0.35">
      <c r="D160" s="38"/>
      <c r="I160" s="38"/>
      <c r="N160" s="38"/>
      <c r="S160" s="38"/>
      <c r="X160" s="38"/>
      <c r="AC160" s="38"/>
      <c r="AH160" s="38"/>
      <c r="BL160" s="38"/>
    </row>
    <row r="161" spans="4:64" x14ac:dyDescent="0.35">
      <c r="D161" s="38"/>
      <c r="I161" s="38"/>
      <c r="N161" s="38"/>
      <c r="S161" s="38"/>
      <c r="X161" s="38"/>
      <c r="AC161" s="38"/>
      <c r="AH161" s="38"/>
      <c r="BL161" s="38"/>
    </row>
    <row r="162" spans="4:64" x14ac:dyDescent="0.35">
      <c r="D162" s="38"/>
      <c r="I162" s="38"/>
      <c r="N162" s="38"/>
      <c r="S162" s="38"/>
      <c r="X162" s="38"/>
      <c r="AC162" s="38"/>
      <c r="AH162" s="38"/>
      <c r="BL162" s="38"/>
    </row>
    <row r="163" spans="4:64" x14ac:dyDescent="0.35">
      <c r="D163" s="38"/>
      <c r="I163" s="38"/>
      <c r="N163" s="38"/>
      <c r="S163" s="38"/>
      <c r="X163" s="38"/>
      <c r="AC163" s="38"/>
      <c r="AH163" s="38"/>
      <c r="BL163" s="38"/>
    </row>
    <row r="164" spans="4:64" x14ac:dyDescent="0.35">
      <c r="D164" s="38"/>
      <c r="I164" s="38"/>
      <c r="N164" s="38"/>
      <c r="S164" s="38"/>
      <c r="X164" s="38"/>
      <c r="AC164" s="38"/>
      <c r="AH164" s="38"/>
      <c r="BL164" s="38"/>
    </row>
    <row r="165" spans="4:64" x14ac:dyDescent="0.35">
      <c r="D165" s="38"/>
      <c r="I165" s="38"/>
      <c r="N165" s="38"/>
      <c r="S165" s="38"/>
      <c r="X165" s="38"/>
      <c r="AC165" s="38"/>
      <c r="AH165" s="38"/>
      <c r="BL165" s="38"/>
    </row>
    <row r="166" spans="4:64" x14ac:dyDescent="0.35">
      <c r="D166" s="38"/>
      <c r="I166" s="38"/>
      <c r="N166" s="38"/>
      <c r="S166" s="38"/>
      <c r="X166" s="38"/>
      <c r="AC166" s="38"/>
      <c r="AH166" s="38"/>
      <c r="BL166" s="38"/>
    </row>
    <row r="167" spans="4:64" x14ac:dyDescent="0.35">
      <c r="D167" s="38"/>
      <c r="I167" s="38"/>
      <c r="N167" s="38"/>
      <c r="S167" s="38"/>
      <c r="X167" s="38"/>
      <c r="AC167" s="38"/>
      <c r="AH167" s="38"/>
      <c r="BL167" s="38"/>
    </row>
    <row r="168" spans="4:64" x14ac:dyDescent="0.35">
      <c r="D168" s="38"/>
      <c r="I168" s="38"/>
      <c r="N168" s="38"/>
      <c r="S168" s="38"/>
      <c r="X168" s="38"/>
      <c r="AC168" s="38"/>
      <c r="AH168" s="38"/>
      <c r="BL168" s="38"/>
    </row>
    <row r="169" spans="4:64" x14ac:dyDescent="0.35">
      <c r="D169" s="38"/>
      <c r="I169" s="38"/>
      <c r="N169" s="38"/>
      <c r="S169" s="38"/>
      <c r="X169" s="38"/>
      <c r="AC169" s="38"/>
      <c r="AH169" s="38"/>
      <c r="BL169" s="38"/>
    </row>
    <row r="170" spans="4:64" x14ac:dyDescent="0.35">
      <c r="D170" s="38"/>
      <c r="I170" s="38"/>
      <c r="N170" s="38"/>
      <c r="S170" s="38"/>
      <c r="X170" s="38"/>
      <c r="AC170" s="38"/>
      <c r="AH170" s="38"/>
      <c r="BL170" s="38"/>
    </row>
    <row r="171" spans="4:64" x14ac:dyDescent="0.35">
      <c r="D171" s="38"/>
      <c r="I171" s="38"/>
      <c r="N171" s="38"/>
      <c r="S171" s="38"/>
      <c r="X171" s="38"/>
      <c r="AC171" s="38"/>
      <c r="AH171" s="38"/>
      <c r="BL171" s="38"/>
    </row>
    <row r="172" spans="4:64" x14ac:dyDescent="0.35">
      <c r="D172" s="38"/>
      <c r="I172" s="38"/>
      <c r="N172" s="38"/>
      <c r="S172" s="38"/>
      <c r="X172" s="38"/>
      <c r="AC172" s="38"/>
      <c r="AH172" s="38"/>
      <c r="BL172" s="38"/>
    </row>
    <row r="173" spans="4:64" x14ac:dyDescent="0.35">
      <c r="D173" s="38"/>
      <c r="I173" s="38"/>
      <c r="N173" s="38"/>
      <c r="S173" s="38"/>
      <c r="X173" s="38"/>
      <c r="AC173" s="38"/>
      <c r="AH173" s="38"/>
      <c r="BL173" s="38"/>
    </row>
    <row r="174" spans="4:64" x14ac:dyDescent="0.35">
      <c r="D174" s="38"/>
      <c r="I174" s="38"/>
      <c r="N174" s="38"/>
      <c r="S174" s="38"/>
      <c r="X174" s="38"/>
      <c r="AC174" s="38"/>
      <c r="AH174" s="38"/>
      <c r="BL174" s="38"/>
    </row>
    <row r="175" spans="4:64" x14ac:dyDescent="0.35">
      <c r="D175" s="38"/>
      <c r="I175" s="38"/>
      <c r="N175" s="38"/>
      <c r="S175" s="38"/>
      <c r="X175" s="38"/>
      <c r="AC175" s="38"/>
      <c r="AH175" s="38"/>
      <c r="BL175" s="38"/>
    </row>
    <row r="176" spans="4:64" x14ac:dyDescent="0.35">
      <c r="D176" s="38"/>
      <c r="I176" s="38"/>
      <c r="N176" s="38"/>
      <c r="S176" s="38"/>
      <c r="X176" s="38"/>
      <c r="AC176" s="38"/>
      <c r="AH176" s="38"/>
      <c r="BL176" s="38"/>
    </row>
    <row r="177" spans="4:64" x14ac:dyDescent="0.35">
      <c r="D177" s="38"/>
      <c r="I177" s="38"/>
      <c r="N177" s="38"/>
      <c r="S177" s="38"/>
      <c r="X177" s="38"/>
      <c r="AC177" s="38"/>
      <c r="AH177" s="38"/>
      <c r="BL177" s="38"/>
    </row>
    <row r="178" spans="4:64" x14ac:dyDescent="0.35">
      <c r="D178" s="38"/>
      <c r="I178" s="38"/>
      <c r="N178" s="38"/>
      <c r="S178" s="38"/>
      <c r="X178" s="38"/>
      <c r="AC178" s="38"/>
      <c r="AH178" s="38"/>
      <c r="BL178" s="38"/>
    </row>
    <row r="179" spans="4:64" x14ac:dyDescent="0.35">
      <c r="D179" s="38"/>
      <c r="I179" s="38"/>
      <c r="N179" s="38"/>
      <c r="S179" s="38"/>
      <c r="X179" s="38"/>
      <c r="AC179" s="38"/>
      <c r="AH179" s="38"/>
      <c r="BL179" s="38"/>
    </row>
    <row r="180" spans="4:64" x14ac:dyDescent="0.35">
      <c r="D180" s="38"/>
      <c r="I180" s="38"/>
      <c r="N180" s="38"/>
      <c r="S180" s="38"/>
      <c r="X180" s="38"/>
      <c r="AC180" s="38"/>
      <c r="AH180" s="38"/>
      <c r="BL180" s="38"/>
    </row>
    <row r="181" spans="4:64" x14ac:dyDescent="0.35">
      <c r="D181" s="38"/>
      <c r="I181" s="38"/>
      <c r="N181" s="38"/>
      <c r="S181" s="38"/>
      <c r="X181" s="38"/>
      <c r="AC181" s="38"/>
      <c r="AH181" s="38"/>
      <c r="BL181" s="38"/>
    </row>
    <row r="182" spans="4:64" x14ac:dyDescent="0.35">
      <c r="D182" s="38"/>
      <c r="I182" s="38"/>
      <c r="N182" s="38"/>
      <c r="S182" s="38"/>
      <c r="X182" s="38"/>
      <c r="AC182" s="38"/>
      <c r="AH182" s="38"/>
      <c r="BL182" s="38"/>
    </row>
    <row r="183" spans="4:64" x14ac:dyDescent="0.35">
      <c r="D183" s="38"/>
      <c r="I183" s="38"/>
      <c r="N183" s="38"/>
      <c r="S183" s="38"/>
      <c r="X183" s="38"/>
      <c r="AC183" s="38"/>
      <c r="AH183" s="38"/>
      <c r="BL183" s="38"/>
    </row>
    <row r="184" spans="4:64" x14ac:dyDescent="0.35">
      <c r="D184" s="38"/>
      <c r="I184" s="38"/>
      <c r="N184" s="38"/>
      <c r="S184" s="38"/>
      <c r="X184" s="38"/>
      <c r="AC184" s="38"/>
      <c r="AH184" s="38"/>
      <c r="BL184" s="38"/>
    </row>
    <row r="185" spans="4:64" x14ac:dyDescent="0.35">
      <c r="D185" s="38"/>
      <c r="I185" s="38"/>
      <c r="N185" s="38"/>
      <c r="S185" s="38"/>
      <c r="X185" s="38"/>
      <c r="AC185" s="38"/>
      <c r="AH185" s="38"/>
      <c r="BL185" s="38"/>
    </row>
    <row r="186" spans="4:64" x14ac:dyDescent="0.35">
      <c r="D186" s="38"/>
      <c r="I186" s="38"/>
      <c r="N186" s="38"/>
      <c r="S186" s="38"/>
      <c r="X186" s="38"/>
      <c r="AC186" s="38"/>
      <c r="AH186" s="38"/>
      <c r="BL186" s="38"/>
    </row>
    <row r="187" spans="4:64" x14ac:dyDescent="0.35">
      <c r="D187" s="38"/>
      <c r="I187" s="38"/>
      <c r="N187" s="38"/>
      <c r="S187" s="38"/>
      <c r="X187" s="38"/>
      <c r="AC187" s="38"/>
      <c r="AH187" s="38"/>
      <c r="BL187" s="38"/>
    </row>
    <row r="188" spans="4:64" x14ac:dyDescent="0.35">
      <c r="D188" s="38"/>
      <c r="I188" s="38"/>
      <c r="N188" s="38"/>
      <c r="S188" s="38"/>
      <c r="X188" s="38"/>
      <c r="AC188" s="38"/>
      <c r="AH188" s="38"/>
      <c r="BL188" s="38"/>
    </row>
    <row r="189" spans="4:64" x14ac:dyDescent="0.35">
      <c r="D189" s="38"/>
      <c r="I189" s="38"/>
      <c r="N189" s="38"/>
      <c r="S189" s="38"/>
      <c r="X189" s="38"/>
      <c r="AC189" s="38"/>
      <c r="AH189" s="38"/>
      <c r="BL189" s="38"/>
    </row>
    <row r="190" spans="4:64" x14ac:dyDescent="0.35">
      <c r="D190" s="38"/>
      <c r="I190" s="38"/>
      <c r="N190" s="38"/>
      <c r="S190" s="38"/>
      <c r="X190" s="38"/>
      <c r="AC190" s="38"/>
      <c r="AH190" s="38"/>
      <c r="BL190" s="38"/>
    </row>
    <row r="191" spans="4:64" x14ac:dyDescent="0.35">
      <c r="D191" s="38"/>
      <c r="I191" s="38"/>
      <c r="N191" s="38"/>
      <c r="S191" s="38"/>
      <c r="X191" s="38"/>
      <c r="AC191" s="38"/>
      <c r="AH191" s="38"/>
      <c r="BL191" s="38"/>
    </row>
    <row r="192" spans="4:64" x14ac:dyDescent="0.35">
      <c r="D192" s="38"/>
      <c r="I192" s="38"/>
      <c r="N192" s="38"/>
      <c r="S192" s="38"/>
      <c r="X192" s="38"/>
      <c r="AC192" s="38"/>
      <c r="AH192" s="38"/>
      <c r="BL192" s="38"/>
    </row>
    <row r="193" spans="4:64" x14ac:dyDescent="0.35">
      <c r="D193" s="38"/>
      <c r="I193" s="38"/>
      <c r="N193" s="38"/>
      <c r="S193" s="38"/>
      <c r="X193" s="38"/>
      <c r="AC193" s="38"/>
      <c r="AH193" s="38"/>
      <c r="BL193" s="38"/>
    </row>
    <row r="194" spans="4:64" x14ac:dyDescent="0.35">
      <c r="D194" s="38"/>
      <c r="I194" s="38"/>
      <c r="N194" s="38"/>
      <c r="S194" s="38"/>
      <c r="X194" s="38"/>
      <c r="AC194" s="38"/>
      <c r="AH194" s="38"/>
      <c r="BL194" s="38"/>
    </row>
    <row r="195" spans="4:64" x14ac:dyDescent="0.35">
      <c r="D195" s="38"/>
      <c r="I195" s="38"/>
      <c r="N195" s="38"/>
      <c r="S195" s="38"/>
      <c r="X195" s="38"/>
      <c r="AC195" s="38"/>
      <c r="AH195" s="38"/>
      <c r="BL195" s="38"/>
    </row>
    <row r="196" spans="4:64" x14ac:dyDescent="0.35">
      <c r="D196" s="38"/>
      <c r="I196" s="38"/>
      <c r="N196" s="38"/>
      <c r="S196" s="38"/>
      <c r="X196" s="38"/>
      <c r="AC196" s="38"/>
      <c r="AH196" s="38"/>
      <c r="BL196" s="38"/>
    </row>
    <row r="197" spans="4:64" x14ac:dyDescent="0.35">
      <c r="D197" s="38"/>
      <c r="I197" s="38"/>
      <c r="N197" s="38"/>
      <c r="S197" s="38"/>
      <c r="X197" s="38"/>
      <c r="AC197" s="38"/>
      <c r="AH197" s="38"/>
      <c r="BL197" s="38"/>
    </row>
    <row r="198" spans="4:64" x14ac:dyDescent="0.35">
      <c r="D198" s="38"/>
      <c r="I198" s="38"/>
      <c r="N198" s="38"/>
      <c r="S198" s="38"/>
      <c r="X198" s="38"/>
      <c r="AC198" s="38"/>
      <c r="AH198" s="38"/>
      <c r="BL198" s="38"/>
    </row>
    <row r="199" spans="4:64" x14ac:dyDescent="0.35">
      <c r="D199" s="38"/>
      <c r="I199" s="38"/>
      <c r="N199" s="38"/>
      <c r="S199" s="38"/>
      <c r="X199" s="38"/>
      <c r="AC199" s="38"/>
      <c r="AH199" s="38"/>
      <c r="BL199" s="38"/>
    </row>
    <row r="200" spans="4:64" x14ac:dyDescent="0.35">
      <c r="D200" s="38"/>
      <c r="I200" s="38"/>
      <c r="N200" s="38"/>
      <c r="S200" s="38"/>
      <c r="X200" s="38"/>
      <c r="AC200" s="38"/>
      <c r="AH200" s="38"/>
      <c r="BL200" s="38"/>
    </row>
    <row r="201" spans="4:64" x14ac:dyDescent="0.35">
      <c r="D201" s="38"/>
      <c r="I201" s="38"/>
      <c r="N201" s="38"/>
      <c r="S201" s="38"/>
      <c r="X201" s="38"/>
      <c r="AC201" s="38"/>
      <c r="AH201" s="38"/>
      <c r="BL201" s="38"/>
    </row>
    <row r="202" spans="4:64" x14ac:dyDescent="0.35">
      <c r="D202" s="38"/>
      <c r="I202" s="38"/>
      <c r="N202" s="38"/>
      <c r="S202" s="38"/>
      <c r="X202" s="38"/>
      <c r="AC202" s="38"/>
      <c r="AH202" s="38"/>
      <c r="BL202" s="38"/>
    </row>
    <row r="203" spans="4:64" x14ac:dyDescent="0.35">
      <c r="D203" s="38"/>
      <c r="I203" s="38"/>
      <c r="N203" s="38"/>
      <c r="S203" s="38"/>
      <c r="X203" s="38"/>
      <c r="AC203" s="38"/>
      <c r="AH203" s="38"/>
      <c r="BL203" s="38"/>
    </row>
    <row r="204" spans="4:64" x14ac:dyDescent="0.35">
      <c r="D204" s="38"/>
      <c r="I204" s="38"/>
      <c r="N204" s="38"/>
      <c r="S204" s="38"/>
      <c r="X204" s="38"/>
      <c r="AC204" s="38"/>
      <c r="AH204" s="38"/>
      <c r="BL204" s="38"/>
    </row>
    <row r="205" spans="4:64" x14ac:dyDescent="0.35">
      <c r="D205" s="38"/>
      <c r="I205" s="38"/>
      <c r="N205" s="38"/>
      <c r="S205" s="38"/>
      <c r="X205" s="38"/>
      <c r="AC205" s="38"/>
      <c r="AH205" s="38"/>
      <c r="BL205" s="38"/>
    </row>
    <row r="206" spans="4:64" x14ac:dyDescent="0.35">
      <c r="D206" s="38"/>
      <c r="I206" s="38"/>
      <c r="N206" s="38"/>
      <c r="S206" s="38"/>
      <c r="X206" s="38"/>
      <c r="AC206" s="38"/>
      <c r="AH206" s="38"/>
      <c r="BL206" s="38"/>
    </row>
    <row r="207" spans="4:64" x14ac:dyDescent="0.35">
      <c r="D207" s="38"/>
      <c r="I207" s="38"/>
      <c r="N207" s="38"/>
      <c r="S207" s="38"/>
      <c r="X207" s="38"/>
      <c r="AC207" s="38"/>
      <c r="AH207" s="38"/>
      <c r="BL207" s="38"/>
    </row>
    <row r="208" spans="4:64" x14ac:dyDescent="0.35">
      <c r="D208" s="38"/>
      <c r="I208" s="38"/>
      <c r="N208" s="38"/>
      <c r="S208" s="38"/>
      <c r="X208" s="38"/>
      <c r="AC208" s="38"/>
      <c r="AH208" s="38"/>
      <c r="BL208" s="38"/>
    </row>
    <row r="209" spans="4:64" x14ac:dyDescent="0.35">
      <c r="D209" s="38"/>
      <c r="I209" s="38"/>
      <c r="N209" s="38"/>
      <c r="S209" s="38"/>
      <c r="X209" s="38"/>
      <c r="AC209" s="38"/>
      <c r="AH209" s="38"/>
      <c r="BL209" s="38"/>
    </row>
    <row r="210" spans="4:64" x14ac:dyDescent="0.35">
      <c r="D210" s="38"/>
      <c r="I210" s="38"/>
      <c r="N210" s="38"/>
      <c r="S210" s="38"/>
      <c r="X210" s="38"/>
      <c r="AC210" s="38"/>
      <c r="AH210" s="38"/>
      <c r="BL210" s="38"/>
    </row>
    <row r="211" spans="4:64" x14ac:dyDescent="0.35">
      <c r="D211" s="38"/>
      <c r="I211" s="38"/>
      <c r="N211" s="38"/>
      <c r="S211" s="38"/>
      <c r="X211" s="38"/>
      <c r="AC211" s="38"/>
      <c r="AH211" s="38"/>
      <c r="BL211" s="38"/>
    </row>
    <row r="212" spans="4:64" x14ac:dyDescent="0.35">
      <c r="D212" s="38"/>
      <c r="I212" s="38"/>
      <c r="N212" s="38"/>
      <c r="S212" s="38"/>
      <c r="X212" s="38"/>
      <c r="AC212" s="38"/>
      <c r="AH212" s="38"/>
      <c r="BL212" s="38"/>
    </row>
    <row r="213" spans="4:64" x14ac:dyDescent="0.35">
      <c r="D213" s="38"/>
      <c r="I213" s="38"/>
      <c r="N213" s="38"/>
      <c r="S213" s="38"/>
      <c r="X213" s="38"/>
      <c r="AC213" s="38"/>
      <c r="AH213" s="38"/>
      <c r="BL213" s="38"/>
    </row>
    <row r="214" spans="4:64" x14ac:dyDescent="0.35">
      <c r="D214" s="38"/>
      <c r="I214" s="38"/>
      <c r="N214" s="38"/>
      <c r="S214" s="38"/>
      <c r="X214" s="38"/>
      <c r="AC214" s="38"/>
      <c r="AH214" s="38"/>
      <c r="BL214" s="38"/>
    </row>
    <row r="215" spans="4:64" x14ac:dyDescent="0.35">
      <c r="D215" s="38"/>
      <c r="I215" s="38"/>
      <c r="N215" s="38"/>
      <c r="S215" s="38"/>
      <c r="X215" s="38"/>
      <c r="AC215" s="38"/>
      <c r="AH215" s="38"/>
      <c r="BL215" s="38"/>
    </row>
    <row r="216" spans="4:64" x14ac:dyDescent="0.35">
      <c r="D216" s="38"/>
      <c r="I216" s="38"/>
      <c r="N216" s="38"/>
      <c r="S216" s="38"/>
      <c r="X216" s="38"/>
      <c r="AC216" s="38"/>
      <c r="AH216" s="38"/>
      <c r="BL216" s="38"/>
    </row>
    <row r="217" spans="4:64" x14ac:dyDescent="0.35">
      <c r="D217" s="38"/>
      <c r="I217" s="38"/>
      <c r="N217" s="38"/>
      <c r="S217" s="38"/>
      <c r="X217" s="38"/>
      <c r="AC217" s="38"/>
      <c r="AH217" s="38"/>
      <c r="BL217" s="38"/>
    </row>
    <row r="218" spans="4:64" x14ac:dyDescent="0.35">
      <c r="D218" s="38"/>
      <c r="I218" s="38"/>
      <c r="N218" s="38"/>
      <c r="S218" s="38"/>
      <c r="X218" s="38"/>
      <c r="AC218" s="38"/>
      <c r="AH218" s="38"/>
      <c r="BL218" s="38"/>
    </row>
    <row r="219" spans="4:64" x14ac:dyDescent="0.35">
      <c r="D219" s="38"/>
      <c r="I219" s="38"/>
      <c r="N219" s="38"/>
      <c r="S219" s="38"/>
      <c r="X219" s="38"/>
      <c r="AC219" s="38"/>
      <c r="AH219" s="38"/>
      <c r="BL219" s="38"/>
    </row>
    <row r="220" spans="4:64" x14ac:dyDescent="0.35">
      <c r="D220" s="38"/>
      <c r="I220" s="38"/>
      <c r="N220" s="38"/>
      <c r="S220" s="38"/>
      <c r="X220" s="38"/>
      <c r="AC220" s="38"/>
      <c r="AH220" s="38"/>
      <c r="BL220" s="38"/>
    </row>
    <row r="221" spans="4:64" x14ac:dyDescent="0.35">
      <c r="D221" s="38"/>
      <c r="I221" s="38"/>
      <c r="N221" s="38"/>
      <c r="S221" s="38"/>
      <c r="X221" s="38"/>
      <c r="AC221" s="38"/>
      <c r="AH221" s="38"/>
      <c r="BL221" s="38"/>
    </row>
    <row r="222" spans="4:64" x14ac:dyDescent="0.35">
      <c r="D222" s="38"/>
      <c r="I222" s="38"/>
      <c r="N222" s="38"/>
      <c r="S222" s="38"/>
      <c r="X222" s="38"/>
      <c r="AC222" s="38"/>
      <c r="AH222" s="38"/>
      <c r="BL222" s="38"/>
    </row>
    <row r="223" spans="4:64" x14ac:dyDescent="0.35">
      <c r="D223" s="38"/>
      <c r="I223" s="38"/>
      <c r="N223" s="38"/>
      <c r="S223" s="38"/>
      <c r="X223" s="38"/>
      <c r="AC223" s="38"/>
      <c r="AH223" s="38"/>
      <c r="BL223" s="38"/>
    </row>
    <row r="224" spans="4:64" x14ac:dyDescent="0.35">
      <c r="D224" s="38"/>
      <c r="I224" s="38"/>
      <c r="N224" s="38"/>
      <c r="S224" s="38"/>
      <c r="X224" s="38"/>
      <c r="AC224" s="38"/>
      <c r="AH224" s="38"/>
      <c r="BL224" s="38"/>
    </row>
    <row r="225" spans="4:64" x14ac:dyDescent="0.35">
      <c r="D225" s="38"/>
      <c r="I225" s="38"/>
      <c r="N225" s="38"/>
      <c r="S225" s="38"/>
      <c r="X225" s="38"/>
      <c r="AC225" s="38"/>
      <c r="AH225" s="38"/>
      <c r="BL225" s="38"/>
    </row>
    <row r="226" spans="4:64" x14ac:dyDescent="0.35">
      <c r="D226" s="38"/>
      <c r="I226" s="38"/>
      <c r="N226" s="38"/>
      <c r="S226" s="38"/>
      <c r="X226" s="38"/>
      <c r="AC226" s="38"/>
      <c r="AH226" s="38"/>
      <c r="BL226" s="38"/>
    </row>
    <row r="227" spans="4:64" x14ac:dyDescent="0.35">
      <c r="D227" s="38"/>
      <c r="I227" s="38"/>
      <c r="N227" s="38"/>
      <c r="S227" s="38"/>
      <c r="X227" s="38"/>
      <c r="AC227" s="38"/>
      <c r="AH227" s="38"/>
      <c r="BL227" s="38"/>
    </row>
    <row r="228" spans="4:64" x14ac:dyDescent="0.35">
      <c r="D228" s="38"/>
      <c r="I228" s="38"/>
      <c r="N228" s="38"/>
      <c r="S228" s="38"/>
      <c r="X228" s="38"/>
      <c r="AC228" s="38"/>
      <c r="AH228" s="38"/>
      <c r="BL228" s="38"/>
    </row>
    <row r="229" spans="4:64" x14ac:dyDescent="0.35">
      <c r="D229" s="38"/>
      <c r="I229" s="38"/>
      <c r="N229" s="38"/>
      <c r="S229" s="38"/>
      <c r="X229" s="38"/>
      <c r="AC229" s="38"/>
      <c r="AH229" s="38"/>
      <c r="BL229" s="38"/>
    </row>
    <row r="230" spans="4:64" x14ac:dyDescent="0.35">
      <c r="D230" s="38"/>
      <c r="I230" s="38"/>
      <c r="N230" s="38"/>
      <c r="S230" s="38"/>
      <c r="X230" s="38"/>
      <c r="AC230" s="38"/>
      <c r="AH230" s="38"/>
      <c r="BL230" s="38"/>
    </row>
    <row r="231" spans="4:64" x14ac:dyDescent="0.35">
      <c r="D231" s="38"/>
      <c r="I231" s="38"/>
      <c r="N231" s="38"/>
      <c r="S231" s="38"/>
      <c r="X231" s="38"/>
      <c r="AC231" s="38"/>
      <c r="AH231" s="38"/>
      <c r="BL231" s="38"/>
    </row>
    <row r="232" spans="4:64" x14ac:dyDescent="0.35">
      <c r="D232" s="38"/>
      <c r="I232" s="38"/>
      <c r="N232" s="38"/>
      <c r="S232" s="38"/>
      <c r="X232" s="38"/>
      <c r="AC232" s="38"/>
      <c r="AH232" s="38"/>
      <c r="BL232" s="38"/>
    </row>
    <row r="233" spans="4:64" x14ac:dyDescent="0.35">
      <c r="D233" s="38"/>
      <c r="I233" s="38"/>
      <c r="N233" s="38"/>
      <c r="S233" s="38"/>
      <c r="X233" s="38"/>
      <c r="AC233" s="38"/>
      <c r="AH233" s="38"/>
      <c r="BL233" s="38"/>
    </row>
    <row r="234" spans="4:64" x14ac:dyDescent="0.35">
      <c r="D234" s="38"/>
      <c r="I234" s="38"/>
      <c r="N234" s="38"/>
      <c r="S234" s="38"/>
      <c r="X234" s="38"/>
      <c r="AC234" s="38"/>
      <c r="AH234" s="38"/>
      <c r="BL234" s="38"/>
    </row>
    <row r="235" spans="4:64" x14ac:dyDescent="0.35">
      <c r="D235" s="38"/>
      <c r="I235" s="38"/>
      <c r="N235" s="38"/>
      <c r="S235" s="38"/>
      <c r="X235" s="38"/>
      <c r="AC235" s="38"/>
      <c r="AH235" s="38"/>
      <c r="BL235" s="38"/>
    </row>
    <row r="236" spans="4:64" x14ac:dyDescent="0.35">
      <c r="D236" s="38"/>
      <c r="I236" s="38"/>
      <c r="N236" s="38"/>
      <c r="S236" s="38"/>
      <c r="X236" s="38"/>
      <c r="AC236" s="38"/>
      <c r="AH236" s="38"/>
      <c r="BL236" s="38"/>
    </row>
    <row r="237" spans="4:64" x14ac:dyDescent="0.35">
      <c r="D237" s="38"/>
      <c r="I237" s="38"/>
      <c r="N237" s="38"/>
      <c r="S237" s="38"/>
      <c r="X237" s="38"/>
      <c r="AC237" s="38"/>
      <c r="AH237" s="38"/>
      <c r="BL237" s="38"/>
    </row>
    <row r="238" spans="4:64" x14ac:dyDescent="0.35">
      <c r="D238" s="38"/>
      <c r="I238" s="38"/>
      <c r="N238" s="38"/>
      <c r="S238" s="38"/>
      <c r="X238" s="38"/>
      <c r="AC238" s="38"/>
      <c r="AH238" s="38"/>
      <c r="BL238" s="38"/>
    </row>
    <row r="239" spans="4:64" x14ac:dyDescent="0.35">
      <c r="D239" s="38"/>
      <c r="I239" s="38"/>
      <c r="N239" s="38"/>
      <c r="S239" s="38"/>
      <c r="X239" s="38"/>
      <c r="AC239" s="38"/>
      <c r="AH239" s="38"/>
      <c r="BL239" s="38"/>
    </row>
    <row r="240" spans="4:64" x14ac:dyDescent="0.35">
      <c r="D240" s="38"/>
      <c r="I240" s="38"/>
      <c r="N240" s="38"/>
      <c r="S240" s="38"/>
      <c r="X240" s="38"/>
      <c r="AC240" s="38"/>
      <c r="AH240" s="38"/>
      <c r="BL240" s="38"/>
    </row>
    <row r="241" spans="4:64" x14ac:dyDescent="0.35">
      <c r="D241" s="38"/>
      <c r="I241" s="38"/>
      <c r="N241" s="38"/>
      <c r="S241" s="38"/>
      <c r="X241" s="38"/>
      <c r="AC241" s="38"/>
      <c r="AH241" s="38"/>
      <c r="BL241" s="38"/>
    </row>
    <row r="242" spans="4:64" x14ac:dyDescent="0.35">
      <c r="D242" s="38"/>
      <c r="I242" s="38"/>
      <c r="N242" s="38"/>
      <c r="S242" s="38"/>
      <c r="X242" s="38"/>
      <c r="AC242" s="38"/>
      <c r="AH242" s="38"/>
      <c r="BL242" s="38"/>
    </row>
    <row r="243" spans="4:64" x14ac:dyDescent="0.35">
      <c r="D243" s="38"/>
      <c r="I243" s="38"/>
      <c r="N243" s="38"/>
      <c r="S243" s="38"/>
      <c r="X243" s="38"/>
      <c r="AC243" s="38"/>
      <c r="AH243" s="38"/>
      <c r="BL243" s="38"/>
    </row>
    <row r="244" spans="4:64" x14ac:dyDescent="0.35">
      <c r="D244" s="38"/>
      <c r="I244" s="38"/>
      <c r="N244" s="38"/>
      <c r="S244" s="38"/>
      <c r="X244" s="38"/>
      <c r="AC244" s="38"/>
      <c r="AH244" s="38"/>
      <c r="BL244" s="38"/>
    </row>
    <row r="245" spans="4:64" x14ac:dyDescent="0.35">
      <c r="D245" s="38"/>
      <c r="I245" s="38"/>
      <c r="N245" s="38"/>
      <c r="S245" s="38"/>
      <c r="X245" s="38"/>
      <c r="AC245" s="38"/>
      <c r="AH245" s="38"/>
      <c r="BL245" s="38"/>
    </row>
    <row r="246" spans="4:64" x14ac:dyDescent="0.35">
      <c r="D246" s="38"/>
      <c r="I246" s="38"/>
      <c r="N246" s="38"/>
      <c r="S246" s="38"/>
      <c r="X246" s="38"/>
      <c r="AC246" s="38"/>
      <c r="AH246" s="38"/>
      <c r="BL246" s="38"/>
    </row>
    <row r="247" spans="4:64" x14ac:dyDescent="0.35">
      <c r="D247" s="38"/>
      <c r="I247" s="38"/>
      <c r="N247" s="38"/>
      <c r="S247" s="38"/>
      <c r="X247" s="38"/>
      <c r="AC247" s="38"/>
      <c r="AH247" s="38"/>
      <c r="BL247" s="38"/>
    </row>
    <row r="248" spans="4:64" x14ac:dyDescent="0.35">
      <c r="D248" s="38"/>
      <c r="I248" s="38"/>
      <c r="N248" s="38"/>
      <c r="S248" s="38"/>
      <c r="X248" s="38"/>
      <c r="AC248" s="38"/>
      <c r="AH248" s="38"/>
      <c r="BL248" s="38"/>
    </row>
    <row r="249" spans="4:64" x14ac:dyDescent="0.35">
      <c r="D249" s="38"/>
      <c r="I249" s="38"/>
      <c r="N249" s="38"/>
      <c r="S249" s="38"/>
      <c r="X249" s="38"/>
      <c r="AC249" s="38"/>
      <c r="AH249" s="38"/>
      <c r="BL249" s="38"/>
    </row>
    <row r="250" spans="4:64" x14ac:dyDescent="0.35">
      <c r="D250" s="38"/>
      <c r="I250" s="38"/>
      <c r="N250" s="38"/>
      <c r="S250" s="38"/>
      <c r="X250" s="38"/>
      <c r="AC250" s="38"/>
      <c r="AH250" s="38"/>
      <c r="BL250" s="38"/>
    </row>
    <row r="251" spans="4:64" x14ac:dyDescent="0.35">
      <c r="D251" s="38"/>
      <c r="I251" s="38"/>
      <c r="N251" s="38"/>
      <c r="S251" s="38"/>
      <c r="X251" s="38"/>
      <c r="AC251" s="38"/>
      <c r="AH251" s="38"/>
      <c r="BL251" s="38"/>
    </row>
    <row r="252" spans="4:64" x14ac:dyDescent="0.35">
      <c r="D252" s="38"/>
      <c r="I252" s="38"/>
      <c r="N252" s="38"/>
      <c r="S252" s="38"/>
      <c r="X252" s="38"/>
      <c r="AC252" s="38"/>
      <c r="AH252" s="38"/>
      <c r="BL252" s="38"/>
    </row>
    <row r="253" spans="4:64" x14ac:dyDescent="0.35">
      <c r="D253" s="38"/>
      <c r="I253" s="38"/>
      <c r="N253" s="38"/>
      <c r="S253" s="38"/>
      <c r="X253" s="38"/>
      <c r="AC253" s="38"/>
      <c r="AH253" s="38"/>
      <c r="BL253" s="38"/>
    </row>
    <row r="254" spans="4:64" x14ac:dyDescent="0.35">
      <c r="D254" s="38"/>
      <c r="I254" s="38"/>
      <c r="N254" s="38"/>
      <c r="S254" s="38"/>
      <c r="X254" s="38"/>
      <c r="AC254" s="38"/>
      <c r="AH254" s="38"/>
      <c r="BL254" s="38"/>
    </row>
    <row r="255" spans="4:64" x14ac:dyDescent="0.35">
      <c r="D255" s="38"/>
      <c r="I255" s="38"/>
      <c r="N255" s="38"/>
      <c r="S255" s="38"/>
      <c r="X255" s="38"/>
      <c r="AC255" s="38"/>
      <c r="AH255" s="38"/>
      <c r="BL255" s="38"/>
    </row>
    <row r="256" spans="4:64" x14ac:dyDescent="0.35">
      <c r="D256" s="38"/>
      <c r="I256" s="38"/>
      <c r="N256" s="38"/>
      <c r="S256" s="38"/>
      <c r="X256" s="38"/>
      <c r="AC256" s="38"/>
      <c r="AH256" s="38"/>
      <c r="BL256" s="38"/>
    </row>
    <row r="257" spans="4:64" x14ac:dyDescent="0.35">
      <c r="D257" s="38"/>
      <c r="I257" s="38"/>
      <c r="N257" s="38"/>
      <c r="S257" s="38"/>
      <c r="X257" s="38"/>
      <c r="AC257" s="38"/>
      <c r="AH257" s="38"/>
      <c r="BL257" s="38"/>
    </row>
    <row r="258" spans="4:64" x14ac:dyDescent="0.35">
      <c r="D258" s="38"/>
      <c r="I258" s="38"/>
      <c r="N258" s="38"/>
      <c r="S258" s="38"/>
      <c r="X258" s="38"/>
      <c r="AC258" s="38"/>
      <c r="AH258" s="38"/>
      <c r="BL258" s="38"/>
    </row>
    <row r="259" spans="4:64" x14ac:dyDescent="0.35">
      <c r="D259" s="38"/>
      <c r="I259" s="38"/>
      <c r="N259" s="38"/>
      <c r="S259" s="38"/>
      <c r="X259" s="38"/>
      <c r="AC259" s="38"/>
      <c r="AH259" s="38"/>
      <c r="BL259" s="38"/>
    </row>
    <row r="260" spans="4:64" x14ac:dyDescent="0.35">
      <c r="D260" s="38"/>
      <c r="I260" s="38"/>
      <c r="N260" s="38"/>
      <c r="S260" s="38"/>
      <c r="X260" s="38"/>
      <c r="AC260" s="38"/>
      <c r="AH260" s="38"/>
      <c r="BL260" s="38"/>
    </row>
    <row r="261" spans="4:64" x14ac:dyDescent="0.35">
      <c r="D261" s="38"/>
      <c r="I261" s="38"/>
      <c r="N261" s="38"/>
      <c r="S261" s="38"/>
      <c r="X261" s="38"/>
      <c r="AC261" s="38"/>
      <c r="AH261" s="38"/>
      <c r="BL261" s="38"/>
    </row>
    <row r="262" spans="4:64" x14ac:dyDescent="0.35">
      <c r="D262" s="38"/>
      <c r="I262" s="38"/>
      <c r="N262" s="38"/>
      <c r="S262" s="38"/>
      <c r="X262" s="38"/>
      <c r="AC262" s="38"/>
      <c r="AH262" s="38"/>
      <c r="BL262" s="38"/>
    </row>
    <row r="263" spans="4:64" x14ac:dyDescent="0.35">
      <c r="D263" s="38"/>
      <c r="I263" s="38"/>
      <c r="N263" s="38"/>
      <c r="S263" s="38"/>
      <c r="X263" s="38"/>
      <c r="AC263" s="38"/>
      <c r="AH263" s="38"/>
      <c r="BL263" s="38"/>
    </row>
    <row r="264" spans="4:64" x14ac:dyDescent="0.35">
      <c r="D264" s="38"/>
      <c r="I264" s="38"/>
      <c r="N264" s="38"/>
      <c r="S264" s="38"/>
      <c r="X264" s="38"/>
      <c r="AC264" s="38"/>
      <c r="AH264" s="38"/>
      <c r="BL264" s="38"/>
    </row>
    <row r="265" spans="4:64" ht="15" thickBot="1" x14ac:dyDescent="0.4">
      <c r="D265" s="38"/>
      <c r="I265" s="38"/>
      <c r="N265" s="38"/>
      <c r="S265" s="38"/>
      <c r="X265" s="48"/>
      <c r="AC265" s="48"/>
      <c r="AH265" s="48"/>
      <c r="BL265" s="38"/>
    </row>
    <row r="266" spans="4:64" x14ac:dyDescent="0.35">
      <c r="D266" s="38"/>
      <c r="I266" s="38"/>
      <c r="N266" s="38"/>
      <c r="S266" s="38"/>
      <c r="BL266" s="38"/>
    </row>
    <row r="267" spans="4:64" x14ac:dyDescent="0.35">
      <c r="D267" s="38"/>
      <c r="I267" s="38"/>
      <c r="N267" s="38"/>
      <c r="S267" s="38"/>
      <c r="BL267" s="38"/>
    </row>
    <row r="268" spans="4:64" x14ac:dyDescent="0.35">
      <c r="D268" s="38"/>
      <c r="I268" s="38"/>
      <c r="N268" s="38"/>
      <c r="S268" s="38"/>
      <c r="BL268" s="38"/>
    </row>
    <row r="269" spans="4:64" x14ac:dyDescent="0.35">
      <c r="D269" s="38"/>
      <c r="I269" s="38"/>
      <c r="N269" s="38"/>
      <c r="S269" s="38"/>
      <c r="BL269" s="38"/>
    </row>
    <row r="270" spans="4:64" x14ac:dyDescent="0.35">
      <c r="D270" s="38"/>
      <c r="I270" s="38"/>
      <c r="N270" s="38"/>
      <c r="S270" s="38"/>
      <c r="BL270" s="38"/>
    </row>
    <row r="271" spans="4:64" x14ac:dyDescent="0.35">
      <c r="D271" s="38"/>
      <c r="I271" s="38"/>
      <c r="N271" s="38"/>
      <c r="S271" s="38"/>
      <c r="BL271" s="38"/>
    </row>
    <row r="272" spans="4:64" x14ac:dyDescent="0.35">
      <c r="D272" s="38"/>
      <c r="I272" s="38"/>
      <c r="N272" s="38"/>
      <c r="S272" s="38"/>
      <c r="BL272" s="38"/>
    </row>
    <row r="273" spans="4:64" x14ac:dyDescent="0.35">
      <c r="D273" s="38"/>
      <c r="I273" s="38"/>
      <c r="N273" s="38"/>
      <c r="S273" s="38"/>
      <c r="BL273" s="38"/>
    </row>
    <row r="274" spans="4:64" x14ac:dyDescent="0.35">
      <c r="D274" s="38"/>
      <c r="I274" s="38"/>
      <c r="N274" s="38"/>
      <c r="S274" s="38"/>
      <c r="BL274" s="38"/>
    </row>
    <row r="275" spans="4:64" x14ac:dyDescent="0.35">
      <c r="D275" s="38"/>
      <c r="I275" s="38"/>
      <c r="N275" s="38"/>
      <c r="S275" s="38"/>
      <c r="BL275" s="38"/>
    </row>
    <row r="276" spans="4:64" x14ac:dyDescent="0.35">
      <c r="D276" s="38"/>
      <c r="I276" s="38"/>
      <c r="N276" s="38"/>
      <c r="S276" s="38"/>
      <c r="BL276" s="38"/>
    </row>
    <row r="277" spans="4:64" x14ac:dyDescent="0.35">
      <c r="D277" s="38"/>
      <c r="I277" s="38"/>
      <c r="N277" s="38"/>
      <c r="S277" s="38"/>
      <c r="BL277" s="38"/>
    </row>
    <row r="278" spans="4:64" x14ac:dyDescent="0.35">
      <c r="D278" s="38"/>
      <c r="I278" s="38"/>
      <c r="N278" s="38"/>
      <c r="S278" s="38"/>
      <c r="BL278" s="38"/>
    </row>
    <row r="279" spans="4:64" x14ac:dyDescent="0.35">
      <c r="D279" s="38"/>
      <c r="I279" s="38"/>
      <c r="N279" s="38"/>
      <c r="S279" s="38"/>
      <c r="BL279" s="38"/>
    </row>
    <row r="280" spans="4:64" x14ac:dyDescent="0.35">
      <c r="D280" s="38"/>
      <c r="I280" s="38"/>
      <c r="N280" s="38"/>
      <c r="S280" s="38"/>
      <c r="BL280" s="38"/>
    </row>
    <row r="281" spans="4:64" x14ac:dyDescent="0.35">
      <c r="D281" s="38"/>
      <c r="I281" s="38"/>
      <c r="N281" s="38"/>
      <c r="S281" s="38"/>
      <c r="BL281" s="38"/>
    </row>
    <row r="282" spans="4:64" x14ac:dyDescent="0.35">
      <c r="D282" s="38"/>
      <c r="I282" s="38"/>
      <c r="N282" s="38"/>
      <c r="S282" s="38"/>
      <c r="BL282" s="38"/>
    </row>
    <row r="283" spans="4:64" x14ac:dyDescent="0.35">
      <c r="D283" s="38"/>
      <c r="I283" s="38"/>
      <c r="N283" s="38"/>
      <c r="S283" s="38"/>
      <c r="BL283" s="38"/>
    </row>
    <row r="284" spans="4:64" x14ac:dyDescent="0.35">
      <c r="D284" s="38"/>
      <c r="I284" s="38"/>
      <c r="N284" s="38"/>
      <c r="S284" s="38"/>
      <c r="BL284" s="38"/>
    </row>
    <row r="285" spans="4:64" x14ac:dyDescent="0.35">
      <c r="D285" s="38"/>
      <c r="I285" s="38"/>
      <c r="N285" s="38"/>
      <c r="S285" s="38"/>
      <c r="BL285" s="38"/>
    </row>
    <row r="286" spans="4:64" x14ac:dyDescent="0.35">
      <c r="D286" s="38"/>
      <c r="I286" s="38"/>
      <c r="N286" s="38"/>
      <c r="S286" s="38"/>
      <c r="BL286" s="38"/>
    </row>
    <row r="287" spans="4:64" x14ac:dyDescent="0.35">
      <c r="D287" s="38"/>
      <c r="I287" s="38"/>
      <c r="N287" s="38"/>
      <c r="S287" s="38"/>
      <c r="BL287" s="38"/>
    </row>
    <row r="288" spans="4:64" x14ac:dyDescent="0.35">
      <c r="D288" s="38"/>
      <c r="I288" s="38"/>
      <c r="N288" s="38"/>
      <c r="S288" s="38"/>
      <c r="BL288" s="38"/>
    </row>
    <row r="289" spans="4:64" x14ac:dyDescent="0.35">
      <c r="D289" s="38"/>
      <c r="I289" s="38"/>
      <c r="N289" s="38"/>
      <c r="S289" s="38"/>
      <c r="BL289" s="38"/>
    </row>
    <row r="290" spans="4:64" x14ac:dyDescent="0.35">
      <c r="D290" s="38"/>
      <c r="I290" s="38"/>
      <c r="N290" s="38"/>
      <c r="S290" s="38"/>
      <c r="BL290" s="38"/>
    </row>
    <row r="291" spans="4:64" x14ac:dyDescent="0.35">
      <c r="D291" s="38"/>
      <c r="I291" s="38"/>
      <c r="N291" s="38"/>
      <c r="S291" s="38"/>
      <c r="BL291" s="38"/>
    </row>
    <row r="292" spans="4:64" x14ac:dyDescent="0.35">
      <c r="D292" s="38"/>
      <c r="I292" s="38"/>
      <c r="N292" s="38"/>
      <c r="S292" s="38"/>
      <c r="BL292" s="38"/>
    </row>
    <row r="293" spans="4:64" x14ac:dyDescent="0.35">
      <c r="D293" s="38"/>
      <c r="I293" s="38"/>
      <c r="N293" s="38"/>
      <c r="S293" s="38"/>
      <c r="BL293" s="38"/>
    </row>
    <row r="294" spans="4:64" x14ac:dyDescent="0.35">
      <c r="D294" s="38"/>
      <c r="I294" s="38"/>
      <c r="N294" s="38"/>
      <c r="S294" s="38"/>
      <c r="BL294" s="38"/>
    </row>
    <row r="295" spans="4:64" x14ac:dyDescent="0.35">
      <c r="D295" s="38"/>
      <c r="I295" s="38"/>
      <c r="N295" s="38"/>
      <c r="S295" s="38"/>
      <c r="BL295" s="38"/>
    </row>
    <row r="296" spans="4:64" x14ac:dyDescent="0.35">
      <c r="D296" s="38"/>
      <c r="I296" s="38"/>
      <c r="N296" s="38"/>
      <c r="S296" s="38"/>
      <c r="BL296" s="38"/>
    </row>
    <row r="297" spans="4:64" x14ac:dyDescent="0.35">
      <c r="D297" s="38"/>
      <c r="I297" s="38"/>
      <c r="N297" s="38"/>
      <c r="S297" s="38"/>
      <c r="BL297" s="38"/>
    </row>
    <row r="298" spans="4:64" x14ac:dyDescent="0.35">
      <c r="D298" s="38"/>
      <c r="I298" s="38"/>
      <c r="N298" s="38"/>
      <c r="S298" s="38"/>
      <c r="BL298" s="38"/>
    </row>
    <row r="299" spans="4:64" x14ac:dyDescent="0.35">
      <c r="D299" s="38"/>
      <c r="I299" s="38"/>
      <c r="N299" s="38"/>
      <c r="S299" s="38"/>
      <c r="BL299" s="38"/>
    </row>
    <row r="300" spans="4:64" x14ac:dyDescent="0.35">
      <c r="D300" s="38"/>
      <c r="I300" s="38"/>
      <c r="N300" s="38"/>
      <c r="S300" s="38"/>
      <c r="BL300" s="38"/>
    </row>
    <row r="301" spans="4:64" x14ac:dyDescent="0.35">
      <c r="D301" s="38"/>
      <c r="I301" s="38"/>
      <c r="N301" s="38"/>
      <c r="S301" s="38"/>
      <c r="BL301" s="38"/>
    </row>
    <row r="302" spans="4:64" x14ac:dyDescent="0.35">
      <c r="D302" s="38"/>
      <c r="I302" s="38"/>
      <c r="N302" s="38"/>
      <c r="S302" s="38"/>
      <c r="BL302" s="38"/>
    </row>
    <row r="303" spans="4:64" x14ac:dyDescent="0.35">
      <c r="D303" s="38"/>
      <c r="I303" s="38"/>
      <c r="N303" s="38"/>
      <c r="S303" s="38"/>
      <c r="BL303" s="38"/>
    </row>
    <row r="304" spans="4:64" x14ac:dyDescent="0.35">
      <c r="D304" s="38"/>
      <c r="I304" s="38"/>
      <c r="N304" s="38"/>
      <c r="S304" s="38"/>
      <c r="BL304" s="38"/>
    </row>
    <row r="305" spans="4:64" x14ac:dyDescent="0.35">
      <c r="D305" s="38"/>
      <c r="I305" s="38"/>
      <c r="N305" s="38"/>
      <c r="S305" s="38"/>
      <c r="BL305" s="38"/>
    </row>
    <row r="306" spans="4:64" x14ac:dyDescent="0.35">
      <c r="D306" s="38"/>
      <c r="I306" s="38"/>
      <c r="N306" s="38"/>
      <c r="S306" s="38"/>
      <c r="BL306" s="38"/>
    </row>
    <row r="307" spans="4:64" x14ac:dyDescent="0.35">
      <c r="D307" s="38"/>
      <c r="I307" s="38"/>
      <c r="N307" s="38"/>
      <c r="S307" s="38"/>
      <c r="BL307" s="38"/>
    </row>
    <row r="308" spans="4:64" x14ac:dyDescent="0.35">
      <c r="D308" s="38"/>
      <c r="I308" s="38"/>
      <c r="N308" s="38"/>
      <c r="S308" s="38"/>
      <c r="BL308" s="38"/>
    </row>
    <row r="309" spans="4:64" x14ac:dyDescent="0.35">
      <c r="D309" s="38"/>
      <c r="I309" s="38"/>
      <c r="N309" s="38"/>
      <c r="S309" s="38"/>
      <c r="BL309" s="38"/>
    </row>
    <row r="310" spans="4:64" x14ac:dyDescent="0.35">
      <c r="D310" s="38"/>
      <c r="I310" s="38"/>
      <c r="N310" s="38"/>
      <c r="S310" s="38"/>
      <c r="BL310" s="38"/>
    </row>
    <row r="311" spans="4:64" x14ac:dyDescent="0.35">
      <c r="D311" s="38"/>
      <c r="I311" s="38"/>
      <c r="N311" s="38"/>
      <c r="S311" s="38"/>
      <c r="BL311" s="38"/>
    </row>
    <row r="312" spans="4:64" x14ac:dyDescent="0.35">
      <c r="D312" s="38"/>
      <c r="I312" s="38"/>
      <c r="N312" s="38"/>
      <c r="S312" s="38"/>
      <c r="BL312" s="38"/>
    </row>
    <row r="313" spans="4:64" x14ac:dyDescent="0.35">
      <c r="D313" s="38"/>
      <c r="I313" s="38"/>
      <c r="N313" s="38"/>
      <c r="S313" s="38"/>
      <c r="BL313" s="38"/>
    </row>
    <row r="314" spans="4:64" x14ac:dyDescent="0.35">
      <c r="D314" s="38"/>
      <c r="I314" s="38"/>
      <c r="N314" s="38"/>
      <c r="S314" s="38"/>
      <c r="BL314" s="38"/>
    </row>
    <row r="315" spans="4:64" x14ac:dyDescent="0.35">
      <c r="D315" s="38"/>
      <c r="I315" s="38"/>
      <c r="N315" s="38"/>
      <c r="S315" s="38"/>
      <c r="BL315" s="38"/>
    </row>
    <row r="316" spans="4:64" x14ac:dyDescent="0.35">
      <c r="D316" s="38"/>
      <c r="I316" s="38"/>
      <c r="N316" s="38"/>
      <c r="S316" s="38"/>
      <c r="BL316" s="38"/>
    </row>
    <row r="317" spans="4:64" x14ac:dyDescent="0.35">
      <c r="D317" s="38"/>
      <c r="I317" s="38"/>
      <c r="N317" s="38"/>
      <c r="S317" s="38"/>
      <c r="BL317" s="38"/>
    </row>
    <row r="318" spans="4:64" x14ac:dyDescent="0.35">
      <c r="D318" s="38"/>
      <c r="I318" s="38"/>
      <c r="N318" s="38"/>
      <c r="S318" s="38"/>
      <c r="BL318" s="38"/>
    </row>
    <row r="319" spans="4:64" x14ac:dyDescent="0.35">
      <c r="D319" s="38"/>
      <c r="I319" s="38"/>
      <c r="N319" s="38"/>
      <c r="S319" s="38"/>
      <c r="BL319" s="38"/>
    </row>
    <row r="320" spans="4:64" x14ac:dyDescent="0.35">
      <c r="D320" s="38"/>
      <c r="I320" s="38"/>
      <c r="N320" s="38"/>
      <c r="S320" s="38"/>
      <c r="BL320" s="38"/>
    </row>
    <row r="321" spans="4:64" x14ac:dyDescent="0.35">
      <c r="D321" s="38"/>
      <c r="I321" s="38"/>
      <c r="N321" s="38"/>
      <c r="S321" s="38"/>
      <c r="BL321" s="38"/>
    </row>
    <row r="322" spans="4:64" x14ac:dyDescent="0.35">
      <c r="D322" s="38"/>
      <c r="I322" s="38"/>
      <c r="N322" s="38"/>
      <c r="S322" s="38"/>
      <c r="BL322" s="38"/>
    </row>
    <row r="323" spans="4:64" x14ac:dyDescent="0.35">
      <c r="D323" s="38"/>
      <c r="I323" s="38"/>
      <c r="N323" s="38"/>
      <c r="S323" s="38"/>
      <c r="BL323" s="38"/>
    </row>
    <row r="324" spans="4:64" x14ac:dyDescent="0.35">
      <c r="D324" s="38"/>
      <c r="I324" s="38"/>
      <c r="N324" s="38"/>
      <c r="S324" s="38"/>
      <c r="BL324" s="38"/>
    </row>
    <row r="325" spans="4:64" x14ac:dyDescent="0.35">
      <c r="D325" s="38"/>
      <c r="I325" s="38"/>
      <c r="N325" s="38"/>
      <c r="S325" s="38"/>
      <c r="BL325" s="38"/>
    </row>
    <row r="326" spans="4:64" x14ac:dyDescent="0.35">
      <c r="D326" s="38"/>
      <c r="I326" s="38"/>
      <c r="N326" s="38"/>
      <c r="S326" s="38"/>
      <c r="BL326" s="38"/>
    </row>
    <row r="327" spans="4:64" x14ac:dyDescent="0.35">
      <c r="D327" s="38"/>
      <c r="I327" s="38"/>
      <c r="N327" s="38"/>
      <c r="S327" s="38"/>
      <c r="BL327" s="38"/>
    </row>
    <row r="328" spans="4:64" x14ac:dyDescent="0.35">
      <c r="D328" s="38"/>
      <c r="I328" s="38"/>
      <c r="N328" s="38"/>
      <c r="S328" s="38"/>
      <c r="BL328" s="38"/>
    </row>
    <row r="329" spans="4:64" x14ac:dyDescent="0.35">
      <c r="D329" s="38"/>
      <c r="I329" s="38"/>
      <c r="N329" s="38"/>
      <c r="S329" s="38"/>
      <c r="BL329" s="38"/>
    </row>
    <row r="330" spans="4:64" x14ac:dyDescent="0.35">
      <c r="D330" s="38"/>
      <c r="I330" s="38"/>
      <c r="N330" s="38"/>
      <c r="S330" s="38"/>
      <c r="BL330" s="38"/>
    </row>
    <row r="331" spans="4:64" ht="15" thickBot="1" x14ac:dyDescent="0.4">
      <c r="D331" s="48"/>
      <c r="I331" s="48"/>
      <c r="N331" s="48"/>
      <c r="S331" s="48"/>
      <c r="BL331" s="38"/>
    </row>
    <row r="332" spans="4:64" ht="15" thickBot="1" x14ac:dyDescent="0.4">
      <c r="BL332" s="48"/>
    </row>
  </sheetData>
  <autoFilter ref="Q2:T2" xr:uid="{DE99C648-C9E9-4904-B0AA-5016F3BF4A27}">
    <sortState xmlns:xlrd2="http://schemas.microsoft.com/office/spreadsheetml/2017/richdata2" ref="Q3:T136">
      <sortCondition descending="1" ref="R2"/>
    </sortState>
  </autoFilter>
  <mergeCells count="13">
    <mergeCell ref="BK1:BM1"/>
    <mergeCell ref="AG1:AI1"/>
    <mergeCell ref="AL1:AN1"/>
    <mergeCell ref="AQ1:AS1"/>
    <mergeCell ref="AV1:AX1"/>
    <mergeCell ref="BA1:BC1"/>
    <mergeCell ref="BF1:BH1"/>
    <mergeCell ref="AB1:AD1"/>
    <mergeCell ref="C1:E1"/>
    <mergeCell ref="H1:J1"/>
    <mergeCell ref="M1:O1"/>
    <mergeCell ref="R1:T1"/>
    <mergeCell ref="W1:Y1"/>
  </mergeCells>
  <pageMargins left="0.7" right="0.7" top="0.75" bottom="0.75" header="0.3" footer="0.3"/>
  <pageSetup paperSize="9" orientation="portrait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F36957-1B87-4A9F-875C-27FA2ECADC11}">
  <dimension ref="A1:BQ333"/>
  <sheetViews>
    <sheetView zoomScale="90" zoomScaleNormal="90" workbookViewId="0">
      <selection activeCell="T38" sqref="T38"/>
    </sheetView>
  </sheetViews>
  <sheetFormatPr defaultColWidth="9.1796875" defaultRowHeight="14.5" x14ac:dyDescent="0.35"/>
  <cols>
    <col min="1" max="1" width="9.1796875" style="30" customWidth="1"/>
    <col min="2" max="2" width="13.1796875" style="38" customWidth="1"/>
    <col min="3" max="3" width="9.1796875" style="38" customWidth="1"/>
    <col min="4" max="4" width="9.1796875" style="2" customWidth="1"/>
    <col min="5" max="5" width="13.1796875" style="38" customWidth="1"/>
    <col min="6" max="6" width="9.1796875" style="34" customWidth="1"/>
    <col min="7" max="7" width="16.54296875" style="38" customWidth="1"/>
    <col min="8" max="8" width="9.1796875" style="38" customWidth="1"/>
    <col min="9" max="9" width="9.1796875" style="2" customWidth="1"/>
    <col min="10" max="10" width="13.1796875" style="38" customWidth="1"/>
    <col min="11" max="11" width="9.1796875" style="30" customWidth="1"/>
    <col min="12" max="12" width="16.54296875" style="38" customWidth="1"/>
    <col min="13" max="14" width="9.1796875" style="2" customWidth="1"/>
    <col min="15" max="15" width="12.1796875" style="38" customWidth="1"/>
    <col min="16" max="16" width="9.1796875" style="30" customWidth="1"/>
    <col min="17" max="17" width="16.54296875" style="38" customWidth="1"/>
    <col min="18" max="19" width="9.1796875" style="2" customWidth="1"/>
    <col min="20" max="20" width="12" style="38" customWidth="1"/>
    <col min="21" max="21" width="9.1796875" style="30" customWidth="1"/>
    <col min="22" max="22" width="16.54296875" style="38" customWidth="1"/>
    <col min="23" max="24" width="9.1796875" style="2" customWidth="1"/>
    <col min="25" max="25" width="14.453125" style="38" customWidth="1"/>
    <col min="26" max="26" width="9.1796875" style="30" customWidth="1"/>
    <col min="27" max="27" width="16.54296875" style="38" customWidth="1"/>
    <col min="28" max="29" width="9.1796875" style="2" customWidth="1"/>
    <col min="30" max="30" width="13.453125" style="38" customWidth="1"/>
    <col min="31" max="31" width="9.1796875" style="30" hidden="1" customWidth="1"/>
    <col min="32" max="32" width="16.54296875" style="38" hidden="1" customWidth="1"/>
    <col min="33" max="34" width="9.1796875" style="2" hidden="1" customWidth="1"/>
    <col min="35" max="35" width="13.1796875" style="38" hidden="1" customWidth="1"/>
    <col min="36" max="36" width="9.1796875" style="30" hidden="1" customWidth="1"/>
    <col min="37" max="37" width="16.54296875" style="38" hidden="1" customWidth="1"/>
    <col min="38" max="39" width="9.1796875" style="2" hidden="1" customWidth="1"/>
    <col min="40" max="40" width="12.81640625" style="38" hidden="1" customWidth="1"/>
    <col min="41" max="41" width="9.1796875" style="30" hidden="1" customWidth="1"/>
    <col min="42" max="42" width="16.54296875" style="38" hidden="1" customWidth="1"/>
    <col min="43" max="44" width="9.1796875" style="2" hidden="1" customWidth="1"/>
    <col min="45" max="45" width="13" style="38" hidden="1" customWidth="1"/>
    <col min="46" max="46" width="9.1796875" style="30" hidden="1" customWidth="1"/>
    <col min="47" max="47" width="16.54296875" style="38" hidden="1" customWidth="1"/>
    <col min="48" max="49" width="9.1796875" style="2" hidden="1" customWidth="1"/>
    <col min="50" max="50" width="14.453125" style="38" hidden="1" customWidth="1"/>
    <col min="51" max="51" width="9.1796875" style="30" hidden="1" customWidth="1"/>
    <col min="52" max="52" width="16.54296875" style="38" hidden="1" customWidth="1"/>
    <col min="53" max="54" width="9.1796875" style="2" hidden="1" customWidth="1"/>
    <col min="55" max="55" width="13.54296875" style="38" hidden="1" customWidth="1"/>
    <col min="56" max="56" width="9.1796875" style="30" hidden="1" customWidth="1"/>
    <col min="57" max="57" width="16.54296875" style="38" hidden="1" customWidth="1"/>
    <col min="58" max="59" width="9.1796875" style="2" hidden="1" customWidth="1"/>
    <col min="60" max="60" width="13.81640625" style="38" hidden="1" customWidth="1"/>
    <col min="61" max="61" width="9.1796875" style="30"/>
    <col min="62" max="62" width="16.54296875" style="38" bestFit="1" customWidth="1"/>
    <col min="63" max="63" width="9.54296875" style="49" bestFit="1" customWidth="1"/>
    <col min="64" max="64" width="9.1796875" style="2" customWidth="1"/>
    <col min="65" max="65" width="16.1796875" style="40" customWidth="1"/>
    <col min="66" max="66" width="8.1796875" style="112" customWidth="1"/>
    <col min="67" max="67" width="14.1796875" style="2" customWidth="1"/>
    <col min="68" max="68" width="13" style="2" customWidth="1"/>
    <col min="69" max="16384" width="9.1796875" style="2"/>
  </cols>
  <sheetData>
    <row r="1" spans="1:69" ht="15" thickBot="1" x14ac:dyDescent="0.4">
      <c r="A1" s="6"/>
      <c r="B1" s="7">
        <v>46023</v>
      </c>
      <c r="C1" s="145"/>
      <c r="D1" s="145"/>
      <c r="E1" s="145"/>
      <c r="F1" s="8"/>
      <c r="G1" s="7">
        <v>46054</v>
      </c>
      <c r="H1" s="145"/>
      <c r="I1" s="145"/>
      <c r="J1" s="145"/>
      <c r="K1" s="9"/>
      <c r="L1" s="7">
        <v>46082</v>
      </c>
      <c r="M1" s="145"/>
      <c r="N1" s="145"/>
      <c r="O1" s="145"/>
      <c r="P1" s="9"/>
      <c r="Q1" s="7">
        <v>46113</v>
      </c>
      <c r="R1" s="146"/>
      <c r="S1" s="146"/>
      <c r="T1" s="146"/>
      <c r="U1" s="9"/>
      <c r="V1" s="7">
        <v>46143</v>
      </c>
      <c r="W1" s="146"/>
      <c r="X1" s="146"/>
      <c r="Y1" s="146"/>
      <c r="Z1" s="9"/>
      <c r="AA1" s="10">
        <v>46174</v>
      </c>
      <c r="AB1" s="145"/>
      <c r="AC1" s="145"/>
      <c r="AD1" s="145"/>
      <c r="AE1" s="9"/>
      <c r="AF1" s="10">
        <v>46204</v>
      </c>
      <c r="AG1" s="145"/>
      <c r="AH1" s="145"/>
      <c r="AI1" s="145"/>
      <c r="AJ1" s="9"/>
      <c r="AK1" s="10">
        <v>46235</v>
      </c>
      <c r="AL1" s="145"/>
      <c r="AM1" s="145"/>
      <c r="AN1" s="145"/>
      <c r="AO1" s="9"/>
      <c r="AP1" s="10">
        <v>46266</v>
      </c>
      <c r="AQ1" s="149"/>
      <c r="AR1" s="150"/>
      <c r="AS1" s="151"/>
      <c r="AT1" s="9"/>
      <c r="AU1" s="10">
        <v>46296</v>
      </c>
      <c r="AV1" s="145"/>
      <c r="AW1" s="145"/>
      <c r="AX1" s="145"/>
      <c r="AY1" s="9"/>
      <c r="AZ1" s="10">
        <v>46327</v>
      </c>
      <c r="BA1" s="149"/>
      <c r="BB1" s="150"/>
      <c r="BC1" s="151"/>
      <c r="BD1" s="9"/>
      <c r="BE1" s="10">
        <v>46357</v>
      </c>
      <c r="BF1" s="145"/>
      <c r="BG1" s="145"/>
      <c r="BH1" s="145"/>
      <c r="BI1" s="9"/>
      <c r="BJ1" s="104" t="s">
        <v>36</v>
      </c>
      <c r="BK1" s="147"/>
      <c r="BL1" s="147"/>
      <c r="BM1" s="148"/>
      <c r="BN1" s="11"/>
    </row>
    <row r="2" spans="1:69" ht="15" thickBot="1" x14ac:dyDescent="0.4">
      <c r="A2" s="12"/>
      <c r="B2" s="13" t="s">
        <v>2</v>
      </c>
      <c r="C2" s="14" t="s">
        <v>3</v>
      </c>
      <c r="D2" s="15" t="s">
        <v>0</v>
      </c>
      <c r="E2" s="14" t="s">
        <v>4</v>
      </c>
      <c r="F2" s="16"/>
      <c r="G2" s="13" t="s">
        <v>2</v>
      </c>
      <c r="H2" s="14" t="s">
        <v>3</v>
      </c>
      <c r="I2" s="15" t="s">
        <v>0</v>
      </c>
      <c r="J2" s="14" t="s">
        <v>4</v>
      </c>
      <c r="K2" s="17"/>
      <c r="L2" s="13" t="s">
        <v>2</v>
      </c>
      <c r="M2" s="18" t="s">
        <v>3</v>
      </c>
      <c r="N2" s="15" t="s">
        <v>0</v>
      </c>
      <c r="O2" s="14" t="s">
        <v>4</v>
      </c>
      <c r="P2" s="17"/>
      <c r="Q2" s="13" t="s">
        <v>2</v>
      </c>
      <c r="R2" s="19" t="s">
        <v>3</v>
      </c>
      <c r="S2" s="15" t="s">
        <v>0</v>
      </c>
      <c r="T2" s="15" t="s">
        <v>4</v>
      </c>
      <c r="U2" s="20"/>
      <c r="V2" s="13" t="s">
        <v>2</v>
      </c>
      <c r="W2" s="19" t="s">
        <v>3</v>
      </c>
      <c r="X2" s="15" t="s">
        <v>0</v>
      </c>
      <c r="Y2" s="15" t="s">
        <v>4</v>
      </c>
      <c r="Z2" s="20"/>
      <c r="AA2" s="13" t="s">
        <v>2</v>
      </c>
      <c r="AB2" s="18" t="s">
        <v>3</v>
      </c>
      <c r="AC2" s="15" t="s">
        <v>0</v>
      </c>
      <c r="AD2" s="14" t="s">
        <v>4</v>
      </c>
      <c r="AE2" s="20"/>
      <c r="AF2" s="13" t="s">
        <v>2</v>
      </c>
      <c r="AG2" s="18" t="s">
        <v>3</v>
      </c>
      <c r="AH2" s="15" t="s">
        <v>0</v>
      </c>
      <c r="AI2" s="14" t="s">
        <v>4</v>
      </c>
      <c r="AJ2" s="20"/>
      <c r="AK2" s="13" t="s">
        <v>2</v>
      </c>
      <c r="AL2" s="18" t="s">
        <v>3</v>
      </c>
      <c r="AM2" s="15" t="s">
        <v>0</v>
      </c>
      <c r="AN2" s="14" t="s">
        <v>4</v>
      </c>
      <c r="AO2" s="20"/>
      <c r="AP2" s="13" t="s">
        <v>2</v>
      </c>
      <c r="AQ2" s="18" t="s">
        <v>3</v>
      </c>
      <c r="AR2" s="15" t="s">
        <v>0</v>
      </c>
      <c r="AS2" s="14" t="s">
        <v>4</v>
      </c>
      <c r="AT2" s="20"/>
      <c r="AU2" s="13" t="s">
        <v>2</v>
      </c>
      <c r="AV2" s="18" t="s">
        <v>3</v>
      </c>
      <c r="AW2" s="15" t="s">
        <v>0</v>
      </c>
      <c r="AX2" s="14" t="s">
        <v>4</v>
      </c>
      <c r="AY2" s="20"/>
      <c r="AZ2" s="13" t="s">
        <v>2</v>
      </c>
      <c r="BA2" s="18" t="s">
        <v>3</v>
      </c>
      <c r="BB2" s="15" t="s">
        <v>0</v>
      </c>
      <c r="BC2" s="14" t="s">
        <v>4</v>
      </c>
      <c r="BD2" s="20"/>
      <c r="BE2" s="13" t="s">
        <v>2</v>
      </c>
      <c r="BF2" s="18" t="s">
        <v>3</v>
      </c>
      <c r="BG2" s="15" t="s">
        <v>0</v>
      </c>
      <c r="BH2" s="14" t="s">
        <v>4</v>
      </c>
      <c r="BI2" s="20"/>
      <c r="BJ2" s="105" t="s">
        <v>2</v>
      </c>
      <c r="BK2" s="106" t="s">
        <v>3</v>
      </c>
      <c r="BL2" s="21" t="s">
        <v>0</v>
      </c>
      <c r="BM2" s="107" t="s">
        <v>4</v>
      </c>
      <c r="BN2" s="108"/>
    </row>
    <row r="3" spans="1:69" ht="15" thickBot="1" x14ac:dyDescent="0.4">
      <c r="A3" s="22"/>
      <c r="B3" s="23" t="s">
        <v>5</v>
      </c>
      <c r="C3" s="24">
        <v>5665</v>
      </c>
      <c r="D3" s="24">
        <f>E3/C3</f>
        <v>1558.6275728155338</v>
      </c>
      <c r="E3" s="24">
        <v>8829625.1999999993</v>
      </c>
      <c r="F3" s="25"/>
      <c r="G3" s="23" t="s">
        <v>5</v>
      </c>
      <c r="H3" s="24">
        <v>4976</v>
      </c>
      <c r="I3" s="24">
        <f>J3/H3</f>
        <v>1614.6791217845657</v>
      </c>
      <c r="J3" s="24">
        <v>8034643.3099999996</v>
      </c>
      <c r="K3" s="26"/>
      <c r="L3" s="23" t="s">
        <v>5</v>
      </c>
      <c r="M3" s="27">
        <v>4551</v>
      </c>
      <c r="N3" s="24">
        <f>O3/M3</f>
        <v>1400.4001296418371</v>
      </c>
      <c r="O3" s="24">
        <v>6373220.9900000002</v>
      </c>
      <c r="P3" s="26"/>
      <c r="Q3" s="23" t="s">
        <v>5</v>
      </c>
      <c r="R3" s="27">
        <f>[10]Segment!G377</f>
        <v>2997</v>
      </c>
      <c r="S3" s="24">
        <f t="shared" ref="S3:S65" si="0">T3/R3</f>
        <v>1434.2254220887557</v>
      </c>
      <c r="T3" s="24">
        <f>[10]Segment!X377</f>
        <v>4298373.5900000008</v>
      </c>
      <c r="U3" s="26"/>
      <c r="V3" s="23" t="s">
        <v>5</v>
      </c>
      <c r="W3" s="28">
        <v>4517</v>
      </c>
      <c r="X3" s="24">
        <f t="shared" ref="X3" si="1">Y3/W3</f>
        <v>1182.3423024131062</v>
      </c>
      <c r="Y3" s="29">
        <v>5340640.1800000006</v>
      </c>
      <c r="Z3" s="26"/>
      <c r="AA3" s="23" t="s">
        <v>5</v>
      </c>
      <c r="AB3" s="28">
        <v>4088</v>
      </c>
      <c r="AC3" s="24">
        <f>AD3/AB3</f>
        <v>1086.8126345401174</v>
      </c>
      <c r="AD3" s="29">
        <v>4442890.05</v>
      </c>
      <c r="AE3" s="26"/>
      <c r="AF3" s="23" t="s">
        <v>5</v>
      </c>
      <c r="AG3" s="28">
        <v>0</v>
      </c>
      <c r="AH3" s="24" t="e">
        <v>#DIV/0!</v>
      </c>
      <c r="AI3" s="29">
        <v>0</v>
      </c>
      <c r="AJ3" s="26"/>
      <c r="AK3" s="23" t="s">
        <v>5</v>
      </c>
      <c r="AL3" s="28">
        <v>0</v>
      </c>
      <c r="AM3" s="24" t="e">
        <v>#DIV/0!</v>
      </c>
      <c r="AN3" s="29">
        <v>0</v>
      </c>
      <c r="AO3" s="26"/>
      <c r="AP3" s="23" t="s">
        <v>5</v>
      </c>
      <c r="AQ3" s="28">
        <v>0</v>
      </c>
      <c r="AR3" s="24" t="e">
        <v>#DIV/0!</v>
      </c>
      <c r="AS3" s="29">
        <v>0</v>
      </c>
      <c r="AT3" s="26"/>
      <c r="AU3" s="23" t="s">
        <v>5</v>
      </c>
      <c r="AV3" s="28">
        <v>0</v>
      </c>
      <c r="AW3" s="24" t="e">
        <v>#DIV/0!</v>
      </c>
      <c r="AX3" s="29">
        <v>0</v>
      </c>
      <c r="AY3" s="26"/>
      <c r="AZ3" s="23" t="s">
        <v>5</v>
      </c>
      <c r="BA3" s="28">
        <v>0</v>
      </c>
      <c r="BB3" s="24" t="e">
        <v>#DIV/0!</v>
      </c>
      <c r="BC3" s="29">
        <v>0</v>
      </c>
      <c r="BD3" s="26"/>
      <c r="BE3" s="23" t="s">
        <v>5</v>
      </c>
      <c r="BF3" s="28">
        <v>0</v>
      </c>
      <c r="BG3" s="24" t="e">
        <v>#DIV/0!</v>
      </c>
      <c r="BH3" s="29">
        <v>0</v>
      </c>
      <c r="BI3" s="26"/>
      <c r="BJ3" s="23" t="s">
        <v>5</v>
      </c>
      <c r="BK3" s="109">
        <v>27831</v>
      </c>
      <c r="BL3" s="24">
        <f>BM3/BK3</f>
        <v>1372.5510215227623</v>
      </c>
      <c r="BM3" s="109">
        <v>38199467.479999997</v>
      </c>
      <c r="BN3" s="110"/>
    </row>
    <row r="4" spans="1:69" x14ac:dyDescent="0.35">
      <c r="A4" s="30">
        <v>1</v>
      </c>
      <c r="B4" s="31" t="s">
        <v>6</v>
      </c>
      <c r="C4" s="32">
        <v>808</v>
      </c>
      <c r="D4" s="33">
        <f>E4/C4</f>
        <v>1513.9071287128713</v>
      </c>
      <c r="E4" s="32">
        <v>1223236.96</v>
      </c>
      <c r="F4" s="34">
        <v>1</v>
      </c>
      <c r="G4" s="31" t="s">
        <v>6</v>
      </c>
      <c r="H4" s="35">
        <v>803</v>
      </c>
      <c r="I4" s="33">
        <f>J4/H4</f>
        <v>1519.9250560398507</v>
      </c>
      <c r="J4" s="35">
        <v>1220499.82</v>
      </c>
      <c r="K4" s="30">
        <v>1</v>
      </c>
      <c r="L4" s="31" t="s">
        <v>6</v>
      </c>
      <c r="M4" s="36">
        <v>754</v>
      </c>
      <c r="N4" s="33">
        <f>O4/M4</f>
        <v>1336.9197347480106</v>
      </c>
      <c r="O4" s="35">
        <v>1008037.48</v>
      </c>
      <c r="P4" s="30">
        <v>1</v>
      </c>
      <c r="Q4" s="31" t="s">
        <v>6</v>
      </c>
      <c r="R4" s="37">
        <v>654</v>
      </c>
      <c r="S4" s="33">
        <f t="shared" si="0"/>
        <v>1374.4140366972476</v>
      </c>
      <c r="T4" s="33">
        <v>898866.78</v>
      </c>
      <c r="U4" s="30">
        <v>1</v>
      </c>
      <c r="V4" s="31" t="s">
        <v>6</v>
      </c>
      <c r="W4" s="37">
        <v>1010</v>
      </c>
      <c r="X4" s="33">
        <f t="shared" ref="X4:X58" si="2">Y4/W4</f>
        <v>1136.6781386138614</v>
      </c>
      <c r="Y4" s="33">
        <v>1148044.92</v>
      </c>
      <c r="Z4" s="30">
        <v>1</v>
      </c>
      <c r="AA4" s="31" t="s">
        <v>6</v>
      </c>
      <c r="AB4" s="37">
        <v>1098</v>
      </c>
      <c r="AC4" s="33">
        <f t="shared" ref="AC4:AC62" si="3">AD4/AB4</f>
        <v>1028.8271766848816</v>
      </c>
      <c r="AD4" s="33">
        <v>1129652.24</v>
      </c>
      <c r="AE4" s="30">
        <v>1</v>
      </c>
      <c r="AF4" s="31"/>
      <c r="AG4" s="37"/>
      <c r="AH4" s="33" t="e">
        <f t="shared" ref="AH4:AH64" si="4">AI4/AG4</f>
        <v>#DIV/0!</v>
      </c>
      <c r="AI4" s="33"/>
      <c r="AJ4" s="30">
        <v>1</v>
      </c>
      <c r="AL4" s="39"/>
      <c r="AM4" s="33" t="e">
        <f t="shared" ref="AM4:AM62" si="5">AN4/AL4</f>
        <v>#DIV/0!</v>
      </c>
      <c r="AO4" s="30">
        <v>1</v>
      </c>
      <c r="AP4" s="31"/>
      <c r="AQ4" s="39"/>
      <c r="AR4" s="33" t="e">
        <f t="shared" ref="AR4:AR58" si="6">AS4/AQ4</f>
        <v>#DIV/0!</v>
      </c>
      <c r="AS4" s="40"/>
      <c r="AT4" s="30">
        <v>1</v>
      </c>
      <c r="AU4" s="31"/>
      <c r="AV4" s="37"/>
      <c r="AW4" s="33" t="e">
        <f t="shared" ref="AW4:AW63" si="7">AX4/AV4</f>
        <v>#DIV/0!</v>
      </c>
      <c r="AX4" s="33"/>
      <c r="AY4" s="30">
        <v>1</v>
      </c>
      <c r="AZ4" s="31"/>
      <c r="BA4" s="37"/>
      <c r="BB4" s="33" t="e">
        <f t="shared" ref="BB4:BB66" si="8">BC4/BA4</f>
        <v>#DIV/0!</v>
      </c>
      <c r="BC4" s="33"/>
      <c r="BD4" s="30">
        <v>1</v>
      </c>
      <c r="BE4" s="31"/>
      <c r="BF4" s="37"/>
      <c r="BG4" s="33" t="e">
        <f t="shared" ref="BG4:BG66" si="9">BH4/BF4</f>
        <v>#DIV/0!</v>
      </c>
      <c r="BH4" s="33"/>
      <c r="BI4" s="30">
        <v>1</v>
      </c>
      <c r="BJ4" s="38" t="s">
        <v>6</v>
      </c>
      <c r="BK4">
        <v>6141</v>
      </c>
      <c r="BL4" s="33">
        <f t="shared" ref="BL4:BL67" si="10">BM4/BK4</f>
        <v>1275.0972968571893</v>
      </c>
      <c r="BM4" s="40">
        <v>7830372.5</v>
      </c>
      <c r="BN4" s="111">
        <f>BK4/BK3</f>
        <v>0.22065322841435808</v>
      </c>
      <c r="BP4" s="42"/>
    </row>
    <row r="5" spans="1:69" x14ac:dyDescent="0.35">
      <c r="A5" s="30">
        <v>2</v>
      </c>
      <c r="B5" s="38" t="s">
        <v>10</v>
      </c>
      <c r="C5" s="32">
        <v>521</v>
      </c>
      <c r="D5" s="33">
        <f t="shared" ref="D5:D68" si="11">E5/C5</f>
        <v>1450.4053166986564</v>
      </c>
      <c r="E5" s="32">
        <v>755661.17</v>
      </c>
      <c r="F5" s="34">
        <v>2</v>
      </c>
      <c r="G5" s="31" t="s">
        <v>10</v>
      </c>
      <c r="H5" s="35">
        <v>439</v>
      </c>
      <c r="I5" s="33">
        <f t="shared" ref="I5:I68" si="12">J5/H5</f>
        <v>1552.8503189066059</v>
      </c>
      <c r="J5" s="35">
        <v>681701.29</v>
      </c>
      <c r="K5" s="30">
        <v>2</v>
      </c>
      <c r="L5" s="31" t="s">
        <v>10</v>
      </c>
      <c r="M5" s="36">
        <v>561</v>
      </c>
      <c r="N5" s="33">
        <f t="shared" ref="N5:N68" si="13">O5/M5</f>
        <v>1363.8314260249556</v>
      </c>
      <c r="O5" s="35">
        <v>765109.43</v>
      </c>
      <c r="P5" s="30">
        <v>2</v>
      </c>
      <c r="Q5" s="31" t="s">
        <v>7</v>
      </c>
      <c r="R5" s="37">
        <v>368</v>
      </c>
      <c r="S5" s="33">
        <f t="shared" si="0"/>
        <v>1355.8120108695653</v>
      </c>
      <c r="T5" s="33">
        <v>498938.82</v>
      </c>
      <c r="U5" s="30">
        <v>2</v>
      </c>
      <c r="V5" s="31" t="s">
        <v>7</v>
      </c>
      <c r="W5" s="37">
        <v>898</v>
      </c>
      <c r="X5" s="33">
        <f t="shared" si="2"/>
        <v>1121.1949331848552</v>
      </c>
      <c r="Y5" s="33">
        <v>1006833.05</v>
      </c>
      <c r="Z5" s="30">
        <v>2</v>
      </c>
      <c r="AA5" s="31" t="s">
        <v>7</v>
      </c>
      <c r="AB5" s="37">
        <v>568</v>
      </c>
      <c r="AC5" s="33">
        <f t="shared" si="3"/>
        <v>1056.1569894366198</v>
      </c>
      <c r="AD5" s="33">
        <v>599897.17000000004</v>
      </c>
      <c r="AE5" s="30">
        <v>2</v>
      </c>
      <c r="AF5" s="31"/>
      <c r="AG5" s="37"/>
      <c r="AH5" s="33" t="e">
        <f t="shared" si="4"/>
        <v>#DIV/0!</v>
      </c>
      <c r="AI5" s="33"/>
      <c r="AJ5" s="30">
        <v>2</v>
      </c>
      <c r="AL5" s="39"/>
      <c r="AM5" s="33" t="e">
        <f t="shared" si="5"/>
        <v>#DIV/0!</v>
      </c>
      <c r="AO5" s="30">
        <v>2</v>
      </c>
      <c r="AP5" s="31"/>
      <c r="AQ5" s="39"/>
      <c r="AR5" s="33" t="e">
        <f t="shared" si="6"/>
        <v>#DIV/0!</v>
      </c>
      <c r="AS5" s="40"/>
      <c r="AT5" s="30">
        <v>2</v>
      </c>
      <c r="AU5" s="31"/>
      <c r="AV5" s="37"/>
      <c r="AW5" s="33" t="e">
        <f t="shared" si="7"/>
        <v>#DIV/0!</v>
      </c>
      <c r="AX5" s="33"/>
      <c r="AY5" s="30">
        <v>2</v>
      </c>
      <c r="AZ5" s="31"/>
      <c r="BA5" s="37"/>
      <c r="BB5" s="33" t="e">
        <f t="shared" si="8"/>
        <v>#DIV/0!</v>
      </c>
      <c r="BC5" s="33"/>
      <c r="BD5" s="30">
        <v>2</v>
      </c>
      <c r="BE5" s="31"/>
      <c r="BF5" s="37"/>
      <c r="BG5" s="33" t="e">
        <f t="shared" si="9"/>
        <v>#DIV/0!</v>
      </c>
      <c r="BH5" s="33"/>
      <c r="BI5" s="30">
        <v>2</v>
      </c>
      <c r="BJ5" s="38" t="s">
        <v>7</v>
      </c>
      <c r="BK5">
        <v>3034</v>
      </c>
      <c r="BL5" s="33">
        <f t="shared" si="10"/>
        <v>1227.145346077785</v>
      </c>
      <c r="BM5" s="40">
        <v>3723158.98</v>
      </c>
      <c r="BN5" s="111">
        <f t="shared" ref="BN5:BN68" si="14">BK5/$BK$3</f>
        <v>0.10901512701663613</v>
      </c>
      <c r="BO5" s="3"/>
      <c r="BP5" s="42"/>
    </row>
    <row r="6" spans="1:69" x14ac:dyDescent="0.35">
      <c r="A6" s="30">
        <v>3</v>
      </c>
      <c r="B6" s="31" t="s">
        <v>12</v>
      </c>
      <c r="C6" s="32">
        <v>518</v>
      </c>
      <c r="D6" s="33">
        <f t="shared" si="11"/>
        <v>1777.5969305019305</v>
      </c>
      <c r="E6" s="32">
        <v>920795.21</v>
      </c>
      <c r="F6" s="34">
        <v>3</v>
      </c>
      <c r="G6" s="31" t="s">
        <v>9</v>
      </c>
      <c r="H6" s="35">
        <v>387</v>
      </c>
      <c r="I6" s="33">
        <f t="shared" si="12"/>
        <v>1582.7825064599483</v>
      </c>
      <c r="J6" s="35">
        <v>612536.82999999996</v>
      </c>
      <c r="K6" s="30">
        <v>3</v>
      </c>
      <c r="L6" s="31" t="s">
        <v>9</v>
      </c>
      <c r="M6" s="36">
        <v>397</v>
      </c>
      <c r="N6" s="33">
        <f t="shared" si="13"/>
        <v>1397.086952141058</v>
      </c>
      <c r="O6" s="35">
        <v>554643.52</v>
      </c>
      <c r="P6" s="30">
        <v>3</v>
      </c>
      <c r="Q6" s="31" t="s">
        <v>9</v>
      </c>
      <c r="R6" s="37">
        <v>265</v>
      </c>
      <c r="S6" s="33">
        <f t="shared" si="0"/>
        <v>1382.5519245283019</v>
      </c>
      <c r="T6" s="33">
        <v>366376.26</v>
      </c>
      <c r="U6" s="30">
        <v>3</v>
      </c>
      <c r="V6" s="31" t="s">
        <v>9</v>
      </c>
      <c r="W6" s="37">
        <v>402</v>
      </c>
      <c r="X6" s="33">
        <f t="shared" si="2"/>
        <v>1193.7497761194029</v>
      </c>
      <c r="Y6" s="33">
        <v>479887.41</v>
      </c>
      <c r="Z6" s="30">
        <v>3</v>
      </c>
      <c r="AA6" s="31" t="s">
        <v>8</v>
      </c>
      <c r="AB6" s="37">
        <v>319</v>
      </c>
      <c r="AC6" s="33">
        <f t="shared" si="3"/>
        <v>1056.323855799373</v>
      </c>
      <c r="AD6" s="33">
        <v>336967.31</v>
      </c>
      <c r="AE6" s="30">
        <v>3</v>
      </c>
      <c r="AF6" s="31"/>
      <c r="AG6" s="37"/>
      <c r="AH6" s="33" t="e">
        <f t="shared" si="4"/>
        <v>#DIV/0!</v>
      </c>
      <c r="AI6" s="33"/>
      <c r="AJ6" s="30">
        <v>3</v>
      </c>
      <c r="AL6" s="39"/>
      <c r="AM6" s="33" t="e">
        <f t="shared" si="5"/>
        <v>#DIV/0!</v>
      </c>
      <c r="AO6" s="30">
        <v>3</v>
      </c>
      <c r="AP6" s="31"/>
      <c r="AQ6" s="39"/>
      <c r="AR6" s="33" t="e">
        <f t="shared" si="6"/>
        <v>#DIV/0!</v>
      </c>
      <c r="AS6" s="40"/>
      <c r="AT6" s="30">
        <v>3</v>
      </c>
      <c r="AU6" s="31"/>
      <c r="AV6" s="37"/>
      <c r="AW6" s="33" t="e">
        <f t="shared" si="7"/>
        <v>#DIV/0!</v>
      </c>
      <c r="AX6" s="33"/>
      <c r="AY6" s="30">
        <v>3</v>
      </c>
      <c r="AZ6" s="31"/>
      <c r="BA6" s="37"/>
      <c r="BB6" s="33" t="e">
        <f t="shared" si="8"/>
        <v>#DIV/0!</v>
      </c>
      <c r="BC6" s="33"/>
      <c r="BD6" s="30">
        <v>3</v>
      </c>
      <c r="BE6" s="31"/>
      <c r="BF6" s="37"/>
      <c r="BG6" s="33" t="e">
        <f t="shared" si="9"/>
        <v>#DIV/0!</v>
      </c>
      <c r="BH6" s="33"/>
      <c r="BI6" s="30">
        <v>3</v>
      </c>
      <c r="BJ6" s="31" t="s">
        <v>10</v>
      </c>
      <c r="BK6">
        <v>2336</v>
      </c>
      <c r="BL6" s="33">
        <f t="shared" si="10"/>
        <v>1331.2450470890412</v>
      </c>
      <c r="BM6" s="41">
        <v>3109788.43</v>
      </c>
      <c r="BN6" s="111">
        <f t="shared" si="14"/>
        <v>8.393518019474687E-2</v>
      </c>
      <c r="BQ6" s="42"/>
    </row>
    <row r="7" spans="1:69" x14ac:dyDescent="0.35">
      <c r="A7" s="30">
        <v>4</v>
      </c>
      <c r="B7" s="31" t="s">
        <v>7</v>
      </c>
      <c r="C7" s="32">
        <v>439</v>
      </c>
      <c r="D7" s="33">
        <f t="shared" si="11"/>
        <v>1440.2051252847382</v>
      </c>
      <c r="E7" s="32">
        <v>632250.05000000005</v>
      </c>
      <c r="F7" s="34">
        <v>4</v>
      </c>
      <c r="G7" s="31" t="s">
        <v>12</v>
      </c>
      <c r="H7" s="35">
        <v>356</v>
      </c>
      <c r="I7" s="33">
        <f t="shared" si="12"/>
        <v>1709.7435112359549</v>
      </c>
      <c r="J7" s="35">
        <v>608668.68999999994</v>
      </c>
      <c r="K7" s="30">
        <v>4</v>
      </c>
      <c r="L7" s="31" t="s">
        <v>12</v>
      </c>
      <c r="M7" s="36">
        <v>346</v>
      </c>
      <c r="N7" s="33">
        <f t="shared" si="13"/>
        <v>1401.2660115606936</v>
      </c>
      <c r="O7" s="35">
        <v>484838.04</v>
      </c>
      <c r="P7" s="30">
        <v>4</v>
      </c>
      <c r="Q7" s="31" t="s">
        <v>10</v>
      </c>
      <c r="R7" s="37">
        <v>221</v>
      </c>
      <c r="S7" s="33">
        <f t="shared" si="0"/>
        <v>1377.2747511312216</v>
      </c>
      <c r="T7" s="33">
        <v>304377.71999999997</v>
      </c>
      <c r="U7" s="30">
        <v>4</v>
      </c>
      <c r="V7" s="31" t="s">
        <v>10</v>
      </c>
      <c r="W7" s="37">
        <v>381</v>
      </c>
      <c r="X7" s="33">
        <f t="shared" si="2"/>
        <v>1202.535564304462</v>
      </c>
      <c r="Y7" s="33">
        <v>458166.05</v>
      </c>
      <c r="Z7" s="30">
        <v>4</v>
      </c>
      <c r="AA7" s="31" t="s">
        <v>9</v>
      </c>
      <c r="AB7" s="37">
        <v>308</v>
      </c>
      <c r="AC7" s="33">
        <f t="shared" si="3"/>
        <v>1075.5249675324676</v>
      </c>
      <c r="AD7" s="33">
        <v>331261.69</v>
      </c>
      <c r="AE7" s="30">
        <v>4</v>
      </c>
      <c r="AF7" s="31"/>
      <c r="AG7" s="37"/>
      <c r="AH7" s="33" t="e">
        <f t="shared" si="4"/>
        <v>#DIV/0!</v>
      </c>
      <c r="AI7" s="33"/>
      <c r="AJ7" s="30">
        <v>4</v>
      </c>
      <c r="AL7" s="39"/>
      <c r="AM7" s="33" t="e">
        <f t="shared" si="5"/>
        <v>#DIV/0!</v>
      </c>
      <c r="AO7" s="30">
        <v>4</v>
      </c>
      <c r="AP7" s="31"/>
      <c r="AQ7" s="39"/>
      <c r="AR7" s="33" t="e">
        <f t="shared" si="6"/>
        <v>#DIV/0!</v>
      </c>
      <c r="AS7" s="40"/>
      <c r="AT7" s="30">
        <v>4</v>
      </c>
      <c r="AU7" s="31"/>
      <c r="AV7" s="37"/>
      <c r="AW7" s="33" t="e">
        <f t="shared" si="7"/>
        <v>#DIV/0!</v>
      </c>
      <c r="AX7" s="33"/>
      <c r="AY7" s="30">
        <v>4</v>
      </c>
      <c r="AZ7" s="31"/>
      <c r="BA7" s="37"/>
      <c r="BB7" s="33" t="e">
        <f t="shared" si="8"/>
        <v>#DIV/0!</v>
      </c>
      <c r="BC7" s="33"/>
      <c r="BD7" s="30">
        <v>4</v>
      </c>
      <c r="BE7" s="31"/>
      <c r="BF7" s="44"/>
      <c r="BG7" s="33" t="e">
        <f t="shared" si="9"/>
        <v>#DIV/0!</v>
      </c>
      <c r="BH7" s="43"/>
      <c r="BI7" s="30">
        <v>4</v>
      </c>
      <c r="BJ7" s="31" t="s">
        <v>9</v>
      </c>
      <c r="BK7">
        <v>2114</v>
      </c>
      <c r="BL7" s="33">
        <f t="shared" si="10"/>
        <v>1334.5122280037842</v>
      </c>
      <c r="BM7" s="41">
        <v>2821158.85</v>
      </c>
      <c r="BN7" s="111">
        <f t="shared" si="14"/>
        <v>7.5958463583773492E-2</v>
      </c>
      <c r="BQ7" s="42"/>
    </row>
    <row r="8" spans="1:69" x14ac:dyDescent="0.35">
      <c r="A8" s="30">
        <v>5</v>
      </c>
      <c r="B8" s="31" t="s">
        <v>9</v>
      </c>
      <c r="C8" s="32">
        <v>432</v>
      </c>
      <c r="D8" s="33">
        <f t="shared" si="11"/>
        <v>1569.5265277777778</v>
      </c>
      <c r="E8" s="32">
        <v>678035.46</v>
      </c>
      <c r="F8" s="34">
        <v>5</v>
      </c>
      <c r="G8" s="31" t="s">
        <v>8</v>
      </c>
      <c r="H8" s="35">
        <v>251</v>
      </c>
      <c r="I8" s="33">
        <f t="shared" si="12"/>
        <v>1526.1974103585658</v>
      </c>
      <c r="J8" s="35">
        <v>383075.55</v>
      </c>
      <c r="K8" s="30">
        <v>5</v>
      </c>
      <c r="L8" s="31" t="s">
        <v>8</v>
      </c>
      <c r="M8" s="36">
        <v>305</v>
      </c>
      <c r="N8" s="33">
        <f t="shared" si="13"/>
        <v>1314.8811803278688</v>
      </c>
      <c r="O8" s="35">
        <v>401038.76</v>
      </c>
      <c r="P8" s="30">
        <v>5</v>
      </c>
      <c r="Q8" s="31" t="s">
        <v>11</v>
      </c>
      <c r="R8" s="37">
        <v>179</v>
      </c>
      <c r="S8" s="33">
        <f t="shared" si="0"/>
        <v>1349.2079888268156</v>
      </c>
      <c r="T8" s="33">
        <v>241508.23</v>
      </c>
      <c r="U8" s="30">
        <v>5</v>
      </c>
      <c r="V8" s="31" t="s">
        <v>8</v>
      </c>
      <c r="W8" s="37">
        <v>262</v>
      </c>
      <c r="X8" s="33">
        <f t="shared" si="2"/>
        <v>1276.9366412213742</v>
      </c>
      <c r="Y8" s="33">
        <v>334557.40000000002</v>
      </c>
      <c r="Z8" s="30">
        <v>5</v>
      </c>
      <c r="AA8" s="31" t="s">
        <v>10</v>
      </c>
      <c r="AB8" s="37">
        <v>262</v>
      </c>
      <c r="AC8" s="33">
        <f t="shared" si="3"/>
        <v>1062.8133587786258</v>
      </c>
      <c r="AD8" s="33">
        <v>278457.09999999998</v>
      </c>
      <c r="AE8" s="30">
        <v>5</v>
      </c>
      <c r="AF8" s="31"/>
      <c r="AG8" s="37"/>
      <c r="AH8" s="33" t="e">
        <f t="shared" si="4"/>
        <v>#DIV/0!</v>
      </c>
      <c r="AI8" s="33"/>
      <c r="AJ8" s="30">
        <v>5</v>
      </c>
      <c r="AL8" s="39"/>
      <c r="AM8" s="33" t="e">
        <f t="shared" si="5"/>
        <v>#DIV/0!</v>
      </c>
      <c r="AO8" s="30">
        <v>5</v>
      </c>
      <c r="AP8" s="31"/>
      <c r="AQ8" s="39"/>
      <c r="AR8" s="33" t="e">
        <f t="shared" si="6"/>
        <v>#DIV/0!</v>
      </c>
      <c r="AS8" s="40"/>
      <c r="AT8" s="30">
        <v>5</v>
      </c>
      <c r="AU8" s="31"/>
      <c r="AV8" s="37"/>
      <c r="AW8" s="33" t="e">
        <f t="shared" si="7"/>
        <v>#DIV/0!</v>
      </c>
      <c r="AX8" s="33"/>
      <c r="AY8" s="30">
        <v>5</v>
      </c>
      <c r="AZ8" s="31"/>
      <c r="BA8" s="37"/>
      <c r="BB8" s="33" t="e">
        <f t="shared" si="8"/>
        <v>#DIV/0!</v>
      </c>
      <c r="BC8" s="33"/>
      <c r="BD8" s="30">
        <v>5</v>
      </c>
      <c r="BE8" s="31"/>
      <c r="BF8" s="37"/>
      <c r="BG8" s="33" t="e">
        <f t="shared" si="9"/>
        <v>#DIV/0!</v>
      </c>
      <c r="BH8" s="33"/>
      <c r="BI8" s="30">
        <v>5</v>
      </c>
      <c r="BJ8" s="38" t="s">
        <v>11</v>
      </c>
      <c r="BK8">
        <v>1524</v>
      </c>
      <c r="BL8" s="33">
        <f t="shared" si="10"/>
        <v>1333.4799803149606</v>
      </c>
      <c r="BM8" s="40">
        <v>2032223.49</v>
      </c>
      <c r="BN8" s="111">
        <f t="shared" si="14"/>
        <v>5.4759081599655063E-2</v>
      </c>
    </row>
    <row r="9" spans="1:69" x14ac:dyDescent="0.35">
      <c r="A9" s="30">
        <v>6</v>
      </c>
      <c r="B9" s="31" t="s">
        <v>11</v>
      </c>
      <c r="C9" s="32">
        <v>258</v>
      </c>
      <c r="D9" s="33">
        <f t="shared" si="11"/>
        <v>1455.0156976744186</v>
      </c>
      <c r="E9" s="32">
        <v>375394.05</v>
      </c>
      <c r="F9" s="34">
        <v>6</v>
      </c>
      <c r="G9" s="31" t="s">
        <v>17</v>
      </c>
      <c r="H9" s="35">
        <v>243</v>
      </c>
      <c r="I9" s="33">
        <f t="shared" si="12"/>
        <v>1555.8862139917694</v>
      </c>
      <c r="J9" s="35">
        <v>378080.35</v>
      </c>
      <c r="K9" s="30">
        <v>6</v>
      </c>
      <c r="L9" s="31" t="s">
        <v>17</v>
      </c>
      <c r="M9" s="36">
        <v>211</v>
      </c>
      <c r="N9" s="33">
        <f t="shared" si="13"/>
        <v>1411.3933649289099</v>
      </c>
      <c r="O9" s="35">
        <v>297804</v>
      </c>
      <c r="P9" s="30">
        <v>6</v>
      </c>
      <c r="Q9" s="31" t="s">
        <v>8</v>
      </c>
      <c r="R9" s="37">
        <v>162</v>
      </c>
      <c r="S9" s="33">
        <f t="shared" si="0"/>
        <v>1381.5583950617283</v>
      </c>
      <c r="T9" s="33">
        <v>223812.46</v>
      </c>
      <c r="U9" s="30">
        <v>6</v>
      </c>
      <c r="V9" s="31" t="s">
        <v>11</v>
      </c>
      <c r="W9" s="37">
        <v>186</v>
      </c>
      <c r="X9" s="33">
        <f t="shared" si="2"/>
        <v>1218.6230107526883</v>
      </c>
      <c r="Y9" s="33">
        <v>226663.88</v>
      </c>
      <c r="Z9" s="30">
        <v>6</v>
      </c>
      <c r="AA9" s="31" t="s">
        <v>11</v>
      </c>
      <c r="AB9" s="37">
        <v>221</v>
      </c>
      <c r="AC9" s="33">
        <f t="shared" si="3"/>
        <v>1097.9331674208145</v>
      </c>
      <c r="AD9" s="33">
        <v>242643.23</v>
      </c>
      <c r="AE9" s="30">
        <v>6</v>
      </c>
      <c r="AF9" s="31"/>
      <c r="AG9" s="37"/>
      <c r="AH9" s="33" t="e">
        <f t="shared" si="4"/>
        <v>#DIV/0!</v>
      </c>
      <c r="AI9" s="33"/>
      <c r="AJ9" s="30">
        <v>6</v>
      </c>
      <c r="AL9" s="39"/>
      <c r="AM9" s="33" t="e">
        <f t="shared" si="5"/>
        <v>#DIV/0!</v>
      </c>
      <c r="AO9" s="30">
        <v>6</v>
      </c>
      <c r="AP9" s="31"/>
      <c r="AQ9" s="39"/>
      <c r="AR9" s="33" t="e">
        <f t="shared" si="6"/>
        <v>#DIV/0!</v>
      </c>
      <c r="AS9" s="40"/>
      <c r="AT9" s="30">
        <v>6</v>
      </c>
      <c r="AU9" s="31"/>
      <c r="AV9" s="37"/>
      <c r="AW9" s="33" t="e">
        <f t="shared" si="7"/>
        <v>#DIV/0!</v>
      </c>
      <c r="AX9" s="33"/>
      <c r="AY9" s="30">
        <v>6</v>
      </c>
      <c r="AZ9" s="31"/>
      <c r="BA9" s="37"/>
      <c r="BB9" s="33" t="e">
        <f t="shared" si="8"/>
        <v>#DIV/0!</v>
      </c>
      <c r="BC9" s="33"/>
      <c r="BD9" s="30">
        <v>6</v>
      </c>
      <c r="BE9" s="31"/>
      <c r="BF9" s="44"/>
      <c r="BG9" s="33" t="e">
        <f t="shared" si="9"/>
        <v>#DIV/0!</v>
      </c>
      <c r="BH9" s="43"/>
      <c r="BI9" s="30">
        <v>6</v>
      </c>
      <c r="BJ9" s="31" t="s">
        <v>8</v>
      </c>
      <c r="BK9">
        <v>1462</v>
      </c>
      <c r="BL9" s="33">
        <f t="shared" si="10"/>
        <v>1298.4200820793433</v>
      </c>
      <c r="BM9" s="41">
        <v>1898290.16</v>
      </c>
      <c r="BN9" s="111">
        <f t="shared" si="14"/>
        <v>5.2531349933527365E-2</v>
      </c>
      <c r="BO9" s="42"/>
    </row>
    <row r="10" spans="1:69" x14ac:dyDescent="0.35">
      <c r="A10" s="30">
        <v>7</v>
      </c>
      <c r="B10" s="38" t="s">
        <v>25</v>
      </c>
      <c r="C10" s="32">
        <v>253</v>
      </c>
      <c r="D10" s="33">
        <f t="shared" si="11"/>
        <v>1647.9119762845849</v>
      </c>
      <c r="E10" s="32">
        <v>416921.73</v>
      </c>
      <c r="F10" s="34">
        <v>7</v>
      </c>
      <c r="G10" s="31" t="s">
        <v>16</v>
      </c>
      <c r="H10" s="35">
        <v>223</v>
      </c>
      <c r="I10" s="33">
        <f t="shared" si="12"/>
        <v>1541.9426905829596</v>
      </c>
      <c r="J10" s="35">
        <v>343853.22</v>
      </c>
      <c r="K10" s="30">
        <v>7</v>
      </c>
      <c r="L10" s="31" t="s">
        <v>11</v>
      </c>
      <c r="M10" s="36">
        <v>182</v>
      </c>
      <c r="N10" s="33">
        <f t="shared" si="13"/>
        <v>1357.0067582417582</v>
      </c>
      <c r="O10" s="35">
        <v>246975.23</v>
      </c>
      <c r="P10" s="30">
        <v>7</v>
      </c>
      <c r="Q10" s="31" t="s">
        <v>16</v>
      </c>
      <c r="R10" s="37">
        <v>140</v>
      </c>
      <c r="S10" s="33">
        <f t="shared" si="0"/>
        <v>1390.3992857142857</v>
      </c>
      <c r="T10" s="33">
        <v>194655.9</v>
      </c>
      <c r="U10" s="30">
        <v>7</v>
      </c>
      <c r="V10" s="31" t="s">
        <v>16</v>
      </c>
      <c r="W10" s="37">
        <v>144</v>
      </c>
      <c r="X10" s="33">
        <f t="shared" si="2"/>
        <v>1285.8270138888888</v>
      </c>
      <c r="Y10" s="33">
        <v>185159.09</v>
      </c>
      <c r="Z10" s="30">
        <v>7</v>
      </c>
      <c r="AA10" s="31" t="s">
        <v>12</v>
      </c>
      <c r="AB10" s="37">
        <v>173</v>
      </c>
      <c r="AC10" s="33">
        <f t="shared" si="3"/>
        <v>1119.6201156069365</v>
      </c>
      <c r="AD10" s="33">
        <v>193694.28</v>
      </c>
      <c r="AE10" s="30">
        <v>7</v>
      </c>
      <c r="AF10" s="31"/>
      <c r="AG10" s="37"/>
      <c r="AH10" s="33" t="e">
        <f t="shared" si="4"/>
        <v>#DIV/0!</v>
      </c>
      <c r="AI10" s="33"/>
      <c r="AJ10" s="30">
        <v>7</v>
      </c>
      <c r="AL10" s="39"/>
      <c r="AM10" s="33" t="e">
        <f t="shared" si="5"/>
        <v>#DIV/0!</v>
      </c>
      <c r="AO10" s="30">
        <v>7</v>
      </c>
      <c r="AP10" s="31"/>
      <c r="AQ10" s="39"/>
      <c r="AR10" s="33" t="e">
        <f t="shared" si="6"/>
        <v>#DIV/0!</v>
      </c>
      <c r="AS10" s="40"/>
      <c r="AT10" s="30">
        <v>7</v>
      </c>
      <c r="AU10" s="31"/>
      <c r="AV10" s="37"/>
      <c r="AW10" s="33" t="e">
        <f t="shared" si="7"/>
        <v>#DIV/0!</v>
      </c>
      <c r="AX10" s="33"/>
      <c r="AY10" s="30">
        <v>7</v>
      </c>
      <c r="AZ10" s="31"/>
      <c r="BA10" s="37"/>
      <c r="BB10" s="33" t="e">
        <f t="shared" si="8"/>
        <v>#DIV/0!</v>
      </c>
      <c r="BC10" s="33"/>
      <c r="BD10" s="30">
        <v>7</v>
      </c>
      <c r="BE10" s="31"/>
      <c r="BF10" s="37"/>
      <c r="BG10" s="33" t="e">
        <f t="shared" si="9"/>
        <v>#DIV/0!</v>
      </c>
      <c r="BH10" s="33"/>
      <c r="BI10" s="30">
        <v>7</v>
      </c>
      <c r="BJ10" s="31" t="s">
        <v>30</v>
      </c>
      <c r="BK10">
        <v>1440</v>
      </c>
      <c r="BL10" s="33">
        <f t="shared" si="10"/>
        <v>1605.6017638888889</v>
      </c>
      <c r="BM10" s="41">
        <v>2312066.54</v>
      </c>
      <c r="BN10" s="111">
        <f t="shared" si="14"/>
        <v>5.1740864503611081E-2</v>
      </c>
    </row>
    <row r="11" spans="1:69" x14ac:dyDescent="0.35">
      <c r="A11" s="30">
        <v>8</v>
      </c>
      <c r="B11" s="31" t="s">
        <v>17</v>
      </c>
      <c r="C11" s="32">
        <v>250</v>
      </c>
      <c r="D11" s="33">
        <f t="shared" si="11"/>
        <v>1709.28748</v>
      </c>
      <c r="E11" s="32">
        <v>427321.87</v>
      </c>
      <c r="F11" s="34">
        <v>8</v>
      </c>
      <c r="G11" s="31" t="s">
        <v>19</v>
      </c>
      <c r="H11" s="35">
        <v>194</v>
      </c>
      <c r="I11" s="33">
        <f t="shared" si="12"/>
        <v>1580.7691752577318</v>
      </c>
      <c r="J11" s="35">
        <v>306669.21999999997</v>
      </c>
      <c r="K11" s="30">
        <v>8</v>
      </c>
      <c r="L11" s="31" t="s">
        <v>16</v>
      </c>
      <c r="M11" s="36">
        <v>154</v>
      </c>
      <c r="N11" s="33">
        <f t="shared" si="13"/>
        <v>1422.8034415584416</v>
      </c>
      <c r="O11" s="35">
        <v>219111.73</v>
      </c>
      <c r="P11" s="30">
        <v>8</v>
      </c>
      <c r="Q11" s="31" t="s">
        <v>12</v>
      </c>
      <c r="R11" s="37">
        <v>102</v>
      </c>
      <c r="S11" s="33">
        <f t="shared" si="0"/>
        <v>1616.0603921568627</v>
      </c>
      <c r="T11" s="33">
        <v>164838.16</v>
      </c>
      <c r="U11" s="30">
        <v>8</v>
      </c>
      <c r="V11" s="31" t="s">
        <v>12</v>
      </c>
      <c r="W11" s="37">
        <v>135</v>
      </c>
      <c r="X11" s="33">
        <f t="shared" si="2"/>
        <v>1294.5838518518519</v>
      </c>
      <c r="Y11" s="33">
        <v>174768.82</v>
      </c>
      <c r="Z11" s="30">
        <v>8</v>
      </c>
      <c r="AA11" s="31" t="s">
        <v>13</v>
      </c>
      <c r="AB11" s="37">
        <v>126</v>
      </c>
      <c r="AC11" s="33">
        <f t="shared" si="3"/>
        <v>1051.5874603174602</v>
      </c>
      <c r="AD11" s="33">
        <v>132500.01999999999</v>
      </c>
      <c r="AE11" s="30">
        <v>8</v>
      </c>
      <c r="AF11" s="31"/>
      <c r="AG11" s="37"/>
      <c r="AH11" s="33" t="e">
        <f t="shared" si="4"/>
        <v>#DIV/0!</v>
      </c>
      <c r="AI11" s="33"/>
      <c r="AJ11" s="30">
        <v>8</v>
      </c>
      <c r="AL11" s="39"/>
      <c r="AM11" s="33" t="e">
        <f t="shared" si="5"/>
        <v>#DIV/0!</v>
      </c>
      <c r="AO11" s="30">
        <v>8</v>
      </c>
      <c r="AP11" s="31"/>
      <c r="AQ11" s="39"/>
      <c r="AR11" s="33" t="e">
        <f t="shared" si="6"/>
        <v>#DIV/0!</v>
      </c>
      <c r="AS11" s="40"/>
      <c r="AT11" s="30">
        <v>8</v>
      </c>
      <c r="AU11" s="31"/>
      <c r="AV11" s="37"/>
      <c r="AW11" s="33" t="e">
        <f t="shared" si="7"/>
        <v>#DIV/0!</v>
      </c>
      <c r="AX11" s="33"/>
      <c r="AY11" s="30">
        <v>8</v>
      </c>
      <c r="AZ11" s="31"/>
      <c r="BA11" s="37"/>
      <c r="BB11" s="33" t="e">
        <f t="shared" si="8"/>
        <v>#DIV/0!</v>
      </c>
      <c r="BC11" s="33"/>
      <c r="BD11" s="30">
        <v>8</v>
      </c>
      <c r="BE11" s="31"/>
      <c r="BF11" s="37"/>
      <c r="BG11" s="33" t="e">
        <f t="shared" si="9"/>
        <v>#DIV/0!</v>
      </c>
      <c r="BH11" s="33"/>
      <c r="BI11" s="30">
        <v>8</v>
      </c>
      <c r="BJ11" s="38" t="s">
        <v>16</v>
      </c>
      <c r="BK11">
        <v>1038</v>
      </c>
      <c r="BL11" s="33">
        <f t="shared" si="10"/>
        <v>1389.3850096339113</v>
      </c>
      <c r="BM11" s="40">
        <v>1442181.64</v>
      </c>
      <c r="BN11" s="111">
        <f t="shared" si="14"/>
        <v>3.7296539829686323E-2</v>
      </c>
    </row>
    <row r="12" spans="1:69" x14ac:dyDescent="0.35">
      <c r="A12" s="30">
        <v>9</v>
      </c>
      <c r="B12" s="31" t="s">
        <v>8</v>
      </c>
      <c r="C12" s="32">
        <v>214</v>
      </c>
      <c r="D12" s="33">
        <f t="shared" si="11"/>
        <v>1479.1902803738317</v>
      </c>
      <c r="E12" s="32">
        <v>316546.71999999997</v>
      </c>
      <c r="F12" s="34">
        <v>9</v>
      </c>
      <c r="G12" s="31" t="s">
        <v>11</v>
      </c>
      <c r="H12" s="35">
        <v>183</v>
      </c>
      <c r="I12" s="33">
        <f t="shared" si="12"/>
        <v>1482.0933879781421</v>
      </c>
      <c r="J12" s="35">
        <v>271223.09000000003</v>
      </c>
      <c r="K12" s="30">
        <v>9</v>
      </c>
      <c r="L12" s="31" t="s">
        <v>15</v>
      </c>
      <c r="M12" s="36">
        <v>154</v>
      </c>
      <c r="N12" s="33">
        <f t="shared" si="13"/>
        <v>1522.2512337662338</v>
      </c>
      <c r="O12" s="35">
        <v>234426.69</v>
      </c>
      <c r="P12" s="30">
        <v>9</v>
      </c>
      <c r="Q12" s="31" t="s">
        <v>17</v>
      </c>
      <c r="R12" s="37">
        <v>82</v>
      </c>
      <c r="S12" s="33">
        <f t="shared" si="0"/>
        <v>1492.9912195121951</v>
      </c>
      <c r="T12" s="33">
        <v>122425.28</v>
      </c>
      <c r="U12" s="30">
        <v>9</v>
      </c>
      <c r="V12" s="31" t="s">
        <v>37</v>
      </c>
      <c r="W12" s="37">
        <v>113</v>
      </c>
      <c r="X12" s="33">
        <f t="shared" si="2"/>
        <v>1176.2458407079646</v>
      </c>
      <c r="Y12" s="33">
        <v>132915.78</v>
      </c>
      <c r="Z12" s="30">
        <v>9</v>
      </c>
      <c r="AA12" s="31" t="s">
        <v>14</v>
      </c>
      <c r="AB12" s="37">
        <v>118</v>
      </c>
      <c r="AC12" s="33">
        <f t="shared" si="3"/>
        <v>1019.4616101694916</v>
      </c>
      <c r="AD12" s="33">
        <v>120296.47</v>
      </c>
      <c r="AE12" s="30">
        <v>9</v>
      </c>
      <c r="AF12" s="31"/>
      <c r="AG12" s="37"/>
      <c r="AH12" s="33" t="e">
        <f t="shared" si="4"/>
        <v>#DIV/0!</v>
      </c>
      <c r="AI12" s="33"/>
      <c r="AJ12" s="30">
        <v>9</v>
      </c>
      <c r="AL12" s="39"/>
      <c r="AM12" s="33" t="e">
        <f t="shared" si="5"/>
        <v>#DIV/0!</v>
      </c>
      <c r="AO12" s="30">
        <v>9</v>
      </c>
      <c r="AP12" s="31"/>
      <c r="AQ12" s="39"/>
      <c r="AR12" s="33" t="e">
        <f t="shared" si="6"/>
        <v>#DIV/0!</v>
      </c>
      <c r="AS12" s="40"/>
      <c r="AT12" s="30">
        <v>9</v>
      </c>
      <c r="AU12" s="31"/>
      <c r="AV12" s="37"/>
      <c r="AW12" s="33" t="e">
        <f t="shared" si="7"/>
        <v>#DIV/0!</v>
      </c>
      <c r="AX12" s="33"/>
      <c r="AY12" s="30">
        <v>9</v>
      </c>
      <c r="AZ12" s="31"/>
      <c r="BA12" s="37"/>
      <c r="BB12" s="33" t="e">
        <f t="shared" si="8"/>
        <v>#DIV/0!</v>
      </c>
      <c r="BC12" s="33"/>
      <c r="BD12" s="30">
        <v>9</v>
      </c>
      <c r="BE12" s="31"/>
      <c r="BF12" s="37"/>
      <c r="BG12" s="33" t="e">
        <f t="shared" si="9"/>
        <v>#DIV/0!</v>
      </c>
      <c r="BH12" s="33"/>
      <c r="BI12" s="30">
        <v>9</v>
      </c>
      <c r="BJ12" s="38" t="s">
        <v>31</v>
      </c>
      <c r="BK12">
        <v>810</v>
      </c>
      <c r="BL12" s="33">
        <f t="shared" si="10"/>
        <v>1508.0674814814813</v>
      </c>
      <c r="BM12" s="40">
        <v>1221534.6599999999</v>
      </c>
      <c r="BN12" s="111">
        <f t="shared" si="14"/>
        <v>2.9104236283281234E-2</v>
      </c>
    </row>
    <row r="13" spans="1:69" x14ac:dyDescent="0.35">
      <c r="A13" s="30">
        <v>10</v>
      </c>
      <c r="B13" s="31" t="s">
        <v>16</v>
      </c>
      <c r="C13" s="32">
        <v>191</v>
      </c>
      <c r="D13" s="33">
        <f t="shared" si="11"/>
        <v>1507.6681151832461</v>
      </c>
      <c r="E13" s="32">
        <v>287964.61</v>
      </c>
      <c r="F13" s="34">
        <v>10</v>
      </c>
      <c r="G13" s="31" t="s">
        <v>25</v>
      </c>
      <c r="H13" s="35">
        <v>178</v>
      </c>
      <c r="I13" s="33">
        <f t="shared" si="12"/>
        <v>1709.8666853932584</v>
      </c>
      <c r="J13" s="35">
        <v>304356.27</v>
      </c>
      <c r="K13" s="30">
        <v>10</v>
      </c>
      <c r="L13" s="31" t="s">
        <v>19</v>
      </c>
      <c r="M13" s="36">
        <v>153</v>
      </c>
      <c r="N13" s="33">
        <f t="shared" si="13"/>
        <v>1376.2327450980392</v>
      </c>
      <c r="O13" s="35">
        <v>210563.61</v>
      </c>
      <c r="P13" s="30">
        <v>10</v>
      </c>
      <c r="Q13" s="31" t="s">
        <v>14</v>
      </c>
      <c r="R13" s="44">
        <v>79</v>
      </c>
      <c r="S13" s="33">
        <f t="shared" si="0"/>
        <v>1391.9343037974684</v>
      </c>
      <c r="T13" s="33">
        <v>109962.81</v>
      </c>
      <c r="U13" s="30">
        <v>10</v>
      </c>
      <c r="V13" s="31" t="s">
        <v>14</v>
      </c>
      <c r="W13" s="37">
        <v>111</v>
      </c>
      <c r="X13" s="33">
        <f t="shared" si="2"/>
        <v>1182.9107207207207</v>
      </c>
      <c r="Y13" s="33">
        <v>131303.09</v>
      </c>
      <c r="Z13" s="30">
        <v>10</v>
      </c>
      <c r="AA13" s="31" t="s">
        <v>15</v>
      </c>
      <c r="AB13" s="37">
        <v>104</v>
      </c>
      <c r="AC13" s="33">
        <f t="shared" si="3"/>
        <v>1100.2604807692308</v>
      </c>
      <c r="AD13" s="33">
        <v>114427.09</v>
      </c>
      <c r="AE13" s="30">
        <v>10</v>
      </c>
      <c r="AF13" s="31"/>
      <c r="AG13" s="37"/>
      <c r="AH13" s="33" t="e">
        <f t="shared" si="4"/>
        <v>#DIV/0!</v>
      </c>
      <c r="AI13" s="33"/>
      <c r="AJ13" s="30">
        <v>10</v>
      </c>
      <c r="AL13" s="39"/>
      <c r="AM13" s="33" t="e">
        <f t="shared" si="5"/>
        <v>#DIV/0!</v>
      </c>
      <c r="AO13" s="30">
        <v>10</v>
      </c>
      <c r="AP13" s="31"/>
      <c r="AQ13" s="39"/>
      <c r="AR13" s="33" t="e">
        <f t="shared" si="6"/>
        <v>#DIV/0!</v>
      </c>
      <c r="AS13" s="40"/>
      <c r="AT13" s="30">
        <v>10</v>
      </c>
      <c r="AU13" s="31"/>
      <c r="AV13" s="37"/>
      <c r="AW13" s="33" t="e">
        <f t="shared" si="7"/>
        <v>#DIV/0!</v>
      </c>
      <c r="AX13" s="33"/>
      <c r="AY13" s="30">
        <v>10</v>
      </c>
      <c r="AZ13" s="31"/>
      <c r="BA13" s="37"/>
      <c r="BB13" s="33" t="e">
        <f t="shared" si="8"/>
        <v>#DIV/0!</v>
      </c>
      <c r="BC13" s="33"/>
      <c r="BD13" s="30">
        <v>10</v>
      </c>
      <c r="BE13" s="31"/>
      <c r="BF13" s="37"/>
      <c r="BG13" s="33" t="e">
        <f t="shared" si="9"/>
        <v>#DIV/0!</v>
      </c>
      <c r="BH13" s="33"/>
      <c r="BI13" s="30">
        <v>10</v>
      </c>
      <c r="BJ13" s="31" t="s">
        <v>25</v>
      </c>
      <c r="BK13">
        <v>735</v>
      </c>
      <c r="BL13" s="33">
        <f t="shared" si="10"/>
        <v>1492.0674421768708</v>
      </c>
      <c r="BM13" s="41">
        <v>1096669.57</v>
      </c>
      <c r="BN13" s="111">
        <f t="shared" si="14"/>
        <v>2.6409399590384821E-2</v>
      </c>
    </row>
    <row r="14" spans="1:69" x14ac:dyDescent="0.35">
      <c r="A14" s="30">
        <v>11</v>
      </c>
      <c r="B14" s="31" t="s">
        <v>26</v>
      </c>
      <c r="C14" s="32">
        <v>155</v>
      </c>
      <c r="D14" s="33">
        <f t="shared" si="11"/>
        <v>1596.3749032258063</v>
      </c>
      <c r="E14" s="32">
        <v>247438.11</v>
      </c>
      <c r="F14" s="34">
        <v>11</v>
      </c>
      <c r="G14" s="31" t="s">
        <v>21</v>
      </c>
      <c r="H14" s="35">
        <v>154</v>
      </c>
      <c r="I14" s="33">
        <f t="shared" si="12"/>
        <v>1623.7887012987012</v>
      </c>
      <c r="J14" s="35">
        <v>250063.46</v>
      </c>
      <c r="K14" s="30">
        <v>11</v>
      </c>
      <c r="L14" s="31" t="s">
        <v>25</v>
      </c>
      <c r="M14" s="36">
        <v>151</v>
      </c>
      <c r="N14" s="33">
        <f t="shared" si="13"/>
        <v>1514.4300662251655</v>
      </c>
      <c r="O14" s="35">
        <v>228678.94</v>
      </c>
      <c r="P14" s="30">
        <v>11</v>
      </c>
      <c r="Q14" s="31" t="s">
        <v>13</v>
      </c>
      <c r="R14" s="44">
        <v>69</v>
      </c>
      <c r="S14" s="33">
        <f t="shared" si="0"/>
        <v>1270.2166666666667</v>
      </c>
      <c r="T14" s="43">
        <v>87644.95</v>
      </c>
      <c r="U14" s="30">
        <v>11</v>
      </c>
      <c r="V14" s="31" t="s">
        <v>17</v>
      </c>
      <c r="W14" s="44">
        <v>91</v>
      </c>
      <c r="X14" s="33">
        <f t="shared" si="2"/>
        <v>1338.2137362637363</v>
      </c>
      <c r="Y14" s="43">
        <v>121777.45</v>
      </c>
      <c r="Z14" s="30">
        <v>11</v>
      </c>
      <c r="AA14" s="31" t="s">
        <v>16</v>
      </c>
      <c r="AB14" s="37">
        <v>97</v>
      </c>
      <c r="AC14" s="33">
        <f t="shared" si="3"/>
        <v>1123.0136082474228</v>
      </c>
      <c r="AD14" s="33">
        <v>108932.32</v>
      </c>
      <c r="AE14" s="30">
        <v>11</v>
      </c>
      <c r="AF14" s="31"/>
      <c r="AG14" s="44"/>
      <c r="AH14" s="33" t="e">
        <f t="shared" si="4"/>
        <v>#DIV/0!</v>
      </c>
      <c r="AI14" s="43"/>
      <c r="AJ14" s="30">
        <v>11</v>
      </c>
      <c r="AL14" s="39"/>
      <c r="AM14" s="33" t="e">
        <f t="shared" si="5"/>
        <v>#DIV/0!</v>
      </c>
      <c r="AO14" s="30">
        <v>11</v>
      </c>
      <c r="AP14" s="31"/>
      <c r="AQ14" s="39"/>
      <c r="AR14" s="33" t="e">
        <f t="shared" si="6"/>
        <v>#DIV/0!</v>
      </c>
      <c r="AS14" s="40"/>
      <c r="AT14" s="30">
        <v>11</v>
      </c>
      <c r="AU14" s="31"/>
      <c r="AV14" s="37"/>
      <c r="AW14" s="33" t="e">
        <f t="shared" si="7"/>
        <v>#DIV/0!</v>
      </c>
      <c r="AX14" s="33"/>
      <c r="AY14" s="30">
        <v>11</v>
      </c>
      <c r="AZ14" s="31"/>
      <c r="BA14" s="37"/>
      <c r="BB14" s="33" t="e">
        <f t="shared" si="8"/>
        <v>#DIV/0!</v>
      </c>
      <c r="BC14" s="33"/>
      <c r="BD14" s="30">
        <v>11</v>
      </c>
      <c r="BE14" s="31"/>
      <c r="BF14" s="44"/>
      <c r="BG14" s="33" t="e">
        <f t="shared" si="9"/>
        <v>#DIV/0!</v>
      </c>
      <c r="BH14" s="43"/>
      <c r="BI14" s="30">
        <v>11</v>
      </c>
      <c r="BJ14" s="31" t="s">
        <v>14</v>
      </c>
      <c r="BK14">
        <v>645</v>
      </c>
      <c r="BL14" s="33">
        <f t="shared" si="10"/>
        <v>1314.7513643410853</v>
      </c>
      <c r="BM14" s="41">
        <v>848014.63</v>
      </c>
      <c r="BN14" s="111">
        <f t="shared" si="14"/>
        <v>2.3175595558909131E-2</v>
      </c>
    </row>
    <row r="15" spans="1:69" x14ac:dyDescent="0.35">
      <c r="A15" s="30">
        <v>12</v>
      </c>
      <c r="B15" s="31" t="s">
        <v>19</v>
      </c>
      <c r="C15" s="32">
        <v>151</v>
      </c>
      <c r="D15" s="33">
        <f t="shared" si="11"/>
        <v>1488.4973509933775</v>
      </c>
      <c r="E15" s="32">
        <v>224763.1</v>
      </c>
      <c r="F15" s="34">
        <v>12</v>
      </c>
      <c r="G15" s="31" t="s">
        <v>7</v>
      </c>
      <c r="H15" s="32">
        <v>150</v>
      </c>
      <c r="I15" s="33">
        <f t="shared" si="12"/>
        <v>1800.6135333333334</v>
      </c>
      <c r="J15" s="32">
        <v>270092.03000000003</v>
      </c>
      <c r="K15" s="30">
        <v>12</v>
      </c>
      <c r="L15" s="31" t="s">
        <v>14</v>
      </c>
      <c r="M15" s="45">
        <v>127</v>
      </c>
      <c r="N15" s="33">
        <f t="shared" si="13"/>
        <v>1326.0877165354332</v>
      </c>
      <c r="O15" s="32">
        <v>168413.14</v>
      </c>
      <c r="P15" s="30">
        <v>12</v>
      </c>
      <c r="Q15" s="31" t="s">
        <v>38</v>
      </c>
      <c r="R15" s="44">
        <v>68</v>
      </c>
      <c r="S15" s="33">
        <f t="shared" si="0"/>
        <v>1369.9095588235296</v>
      </c>
      <c r="T15" s="43">
        <v>93153.85</v>
      </c>
      <c r="U15" s="30">
        <v>12</v>
      </c>
      <c r="V15" s="31" t="s">
        <v>13</v>
      </c>
      <c r="W15" s="44">
        <v>81</v>
      </c>
      <c r="X15" s="33">
        <f t="shared" si="2"/>
        <v>1079.0351851851854</v>
      </c>
      <c r="Y15" s="43">
        <v>87401.85</v>
      </c>
      <c r="Z15" s="30">
        <v>12</v>
      </c>
      <c r="AA15" s="31" t="s">
        <v>17</v>
      </c>
      <c r="AB15" s="44">
        <v>84</v>
      </c>
      <c r="AC15" s="33">
        <f t="shared" si="3"/>
        <v>1101.9905952380952</v>
      </c>
      <c r="AD15" s="43">
        <v>92567.21</v>
      </c>
      <c r="AE15" s="30">
        <v>12</v>
      </c>
      <c r="AF15" s="31"/>
      <c r="AG15" s="44"/>
      <c r="AH15" s="33" t="e">
        <f t="shared" si="4"/>
        <v>#DIV/0!</v>
      </c>
      <c r="AI15" s="43"/>
      <c r="AJ15" s="30">
        <v>12</v>
      </c>
      <c r="AL15" s="39"/>
      <c r="AM15" s="33" t="e">
        <f t="shared" si="5"/>
        <v>#DIV/0!</v>
      </c>
      <c r="AO15" s="30">
        <v>12</v>
      </c>
      <c r="AP15" s="31"/>
      <c r="AQ15" s="39"/>
      <c r="AR15" s="33" t="e">
        <f t="shared" si="6"/>
        <v>#DIV/0!</v>
      </c>
      <c r="AS15" s="40"/>
      <c r="AT15" s="30">
        <v>12</v>
      </c>
      <c r="AU15" s="31"/>
      <c r="AV15" s="44"/>
      <c r="AW15" s="33" t="e">
        <f t="shared" si="7"/>
        <v>#DIV/0!</v>
      </c>
      <c r="AX15" s="43"/>
      <c r="AY15" s="30">
        <v>12</v>
      </c>
      <c r="AZ15" s="31"/>
      <c r="BA15" s="44"/>
      <c r="BB15" s="33" t="e">
        <f t="shared" si="8"/>
        <v>#DIV/0!</v>
      </c>
      <c r="BC15" s="43"/>
      <c r="BD15" s="30">
        <v>12</v>
      </c>
      <c r="BE15" s="31"/>
      <c r="BF15" s="44"/>
      <c r="BG15" s="33" t="e">
        <f t="shared" si="9"/>
        <v>#DIV/0!</v>
      </c>
      <c r="BH15" s="43"/>
      <c r="BI15" s="30">
        <v>12</v>
      </c>
      <c r="BJ15" s="31" t="s">
        <v>13</v>
      </c>
      <c r="BK15">
        <v>603</v>
      </c>
      <c r="BL15" s="33">
        <f t="shared" si="10"/>
        <v>1290.0772802653398</v>
      </c>
      <c r="BM15" s="41">
        <v>777916.6</v>
      </c>
      <c r="BN15" s="111">
        <f t="shared" si="14"/>
        <v>2.166648701088714E-2</v>
      </c>
    </row>
    <row r="16" spans="1:69" x14ac:dyDescent="0.35">
      <c r="A16" s="30">
        <v>13</v>
      </c>
      <c r="B16" s="31" t="s">
        <v>13</v>
      </c>
      <c r="C16" s="32">
        <v>117</v>
      </c>
      <c r="D16" s="33">
        <f t="shared" si="11"/>
        <v>1478.745811965812</v>
      </c>
      <c r="E16" s="32">
        <v>173013.26</v>
      </c>
      <c r="F16" s="34">
        <v>13</v>
      </c>
      <c r="G16" s="31" t="s">
        <v>15</v>
      </c>
      <c r="H16" s="32">
        <v>123</v>
      </c>
      <c r="I16" s="33">
        <f t="shared" si="12"/>
        <v>1653.469512195122</v>
      </c>
      <c r="J16" s="32">
        <v>203376.75</v>
      </c>
      <c r="K16" s="30">
        <v>13</v>
      </c>
      <c r="L16" s="31" t="s">
        <v>7</v>
      </c>
      <c r="M16" s="45">
        <v>124</v>
      </c>
      <c r="N16" s="33">
        <f t="shared" si="13"/>
        <v>1506.9291129032258</v>
      </c>
      <c r="O16" s="32">
        <v>186859.21</v>
      </c>
      <c r="P16" s="30">
        <v>13</v>
      </c>
      <c r="Q16" s="31" t="s">
        <v>25</v>
      </c>
      <c r="R16" s="44">
        <v>62</v>
      </c>
      <c r="S16" s="33">
        <f t="shared" si="0"/>
        <v>1578.1119354838711</v>
      </c>
      <c r="T16" s="43">
        <v>97842.94</v>
      </c>
      <c r="U16" s="30">
        <v>13</v>
      </c>
      <c r="V16" s="31" t="s">
        <v>25</v>
      </c>
      <c r="W16" s="44">
        <v>78</v>
      </c>
      <c r="X16" s="33">
        <f t="shared" si="2"/>
        <v>1182.4475641025642</v>
      </c>
      <c r="Y16" s="43">
        <v>92230.91</v>
      </c>
      <c r="Z16" s="30">
        <v>13</v>
      </c>
      <c r="AA16" s="31" t="s">
        <v>18</v>
      </c>
      <c r="AB16" s="44">
        <v>68</v>
      </c>
      <c r="AC16" s="33">
        <f t="shared" si="3"/>
        <v>1203.0286764705882</v>
      </c>
      <c r="AD16" s="43">
        <v>81805.95</v>
      </c>
      <c r="AE16" s="30">
        <v>13</v>
      </c>
      <c r="AF16" s="31"/>
      <c r="AG16" s="44"/>
      <c r="AH16" s="33" t="e">
        <f t="shared" si="4"/>
        <v>#DIV/0!</v>
      </c>
      <c r="AI16" s="43"/>
      <c r="AJ16" s="30">
        <v>13</v>
      </c>
      <c r="AL16" s="39"/>
      <c r="AM16" s="33" t="e">
        <f t="shared" si="5"/>
        <v>#DIV/0!</v>
      </c>
      <c r="AO16" s="30">
        <v>13</v>
      </c>
      <c r="AP16" s="31"/>
      <c r="AQ16" s="39"/>
      <c r="AR16" s="33" t="e">
        <f t="shared" si="6"/>
        <v>#DIV/0!</v>
      </c>
      <c r="AS16" s="40"/>
      <c r="AT16" s="30">
        <v>13</v>
      </c>
      <c r="AU16" s="31"/>
      <c r="AV16" s="44"/>
      <c r="AW16" s="33" t="e">
        <f t="shared" si="7"/>
        <v>#DIV/0!</v>
      </c>
      <c r="AX16" s="43"/>
      <c r="AY16" s="30">
        <v>13</v>
      </c>
      <c r="AZ16" s="31"/>
      <c r="BA16" s="44"/>
      <c r="BB16" s="33" t="e">
        <f t="shared" si="8"/>
        <v>#DIV/0!</v>
      </c>
      <c r="BC16" s="43"/>
      <c r="BD16" s="30">
        <v>13</v>
      </c>
      <c r="BE16" s="31"/>
      <c r="BF16" s="37"/>
      <c r="BG16" s="33" t="e">
        <f t="shared" si="9"/>
        <v>#DIV/0!</v>
      </c>
      <c r="BH16" s="33"/>
      <c r="BI16" s="30">
        <v>13</v>
      </c>
      <c r="BJ16" s="38" t="s">
        <v>15</v>
      </c>
      <c r="BK16">
        <v>530</v>
      </c>
      <c r="BL16" s="33">
        <f t="shared" si="10"/>
        <v>1269.4361698113207</v>
      </c>
      <c r="BM16" s="40">
        <v>672801.17</v>
      </c>
      <c r="BN16" s="111">
        <f t="shared" si="14"/>
        <v>1.90435126298013E-2</v>
      </c>
    </row>
    <row r="17" spans="1:66" x14ac:dyDescent="0.35">
      <c r="A17" s="30">
        <v>14</v>
      </c>
      <c r="B17" s="31" t="s">
        <v>34</v>
      </c>
      <c r="C17" s="32">
        <v>114</v>
      </c>
      <c r="D17" s="33">
        <f t="shared" si="11"/>
        <v>1389.8329824561404</v>
      </c>
      <c r="E17" s="32">
        <v>158440.95999999999</v>
      </c>
      <c r="F17" s="34">
        <v>14</v>
      </c>
      <c r="G17" s="31" t="s">
        <v>14</v>
      </c>
      <c r="H17" s="32">
        <v>112</v>
      </c>
      <c r="I17" s="33">
        <f t="shared" si="12"/>
        <v>1708.8037499999998</v>
      </c>
      <c r="J17" s="32">
        <v>191386.02</v>
      </c>
      <c r="K17" s="30">
        <v>14</v>
      </c>
      <c r="L17" s="31" t="s">
        <v>13</v>
      </c>
      <c r="M17" s="45">
        <v>123</v>
      </c>
      <c r="N17" s="33">
        <f t="shared" si="13"/>
        <v>1444.7121951219513</v>
      </c>
      <c r="O17" s="32">
        <v>177699.6</v>
      </c>
      <c r="P17" s="30">
        <v>14</v>
      </c>
      <c r="Q17" s="31" t="s">
        <v>15</v>
      </c>
      <c r="R17" s="44">
        <v>54</v>
      </c>
      <c r="S17" s="33">
        <f t="shared" si="0"/>
        <v>1284.6225925925926</v>
      </c>
      <c r="T17" s="43">
        <v>69369.62</v>
      </c>
      <c r="U17" s="30">
        <v>14</v>
      </c>
      <c r="V17" s="31" t="s">
        <v>15</v>
      </c>
      <c r="W17" s="44">
        <v>77</v>
      </c>
      <c r="X17" s="33">
        <f t="shared" si="2"/>
        <v>1200.5388311688312</v>
      </c>
      <c r="Y17" s="43">
        <v>92441.49</v>
      </c>
      <c r="Z17" s="30">
        <v>14</v>
      </c>
      <c r="AA17" s="31" t="s">
        <v>19</v>
      </c>
      <c r="AB17" s="44">
        <v>62</v>
      </c>
      <c r="AC17" s="33">
        <f t="shared" si="3"/>
        <v>1125.8516129032259</v>
      </c>
      <c r="AD17" s="43">
        <v>69802.8</v>
      </c>
      <c r="AE17" s="30">
        <v>14</v>
      </c>
      <c r="AF17" s="31"/>
      <c r="AG17" s="44"/>
      <c r="AH17" s="33" t="e">
        <f t="shared" si="4"/>
        <v>#DIV/0!</v>
      </c>
      <c r="AI17" s="43"/>
      <c r="AJ17" s="30">
        <v>14</v>
      </c>
      <c r="AL17" s="39"/>
      <c r="AM17" s="33" t="e">
        <f t="shared" si="5"/>
        <v>#DIV/0!</v>
      </c>
      <c r="AO17" s="30">
        <v>14</v>
      </c>
      <c r="AP17" s="31"/>
      <c r="AQ17" s="39"/>
      <c r="AR17" s="33" t="e">
        <f t="shared" si="6"/>
        <v>#DIV/0!</v>
      </c>
      <c r="AS17" s="40"/>
      <c r="AT17" s="30">
        <v>14</v>
      </c>
      <c r="AU17" s="31"/>
      <c r="AV17" s="44"/>
      <c r="AW17" s="33" t="e">
        <f t="shared" si="7"/>
        <v>#DIV/0!</v>
      </c>
      <c r="AX17" s="43"/>
      <c r="AY17" s="30">
        <v>14</v>
      </c>
      <c r="AZ17" s="31"/>
      <c r="BA17" s="44"/>
      <c r="BB17" s="33" t="e">
        <f t="shared" si="8"/>
        <v>#DIV/0!</v>
      </c>
      <c r="BC17" s="43"/>
      <c r="BD17" s="30">
        <v>14</v>
      </c>
      <c r="BE17" s="31"/>
      <c r="BF17" s="37"/>
      <c r="BG17" s="33" t="e">
        <f t="shared" si="9"/>
        <v>#DIV/0!</v>
      </c>
      <c r="BH17" s="33"/>
      <c r="BI17" s="30">
        <v>14</v>
      </c>
      <c r="BJ17" s="31" t="s">
        <v>19</v>
      </c>
      <c r="BK17">
        <v>481</v>
      </c>
      <c r="BL17" s="33">
        <f t="shared" si="10"/>
        <v>1435.2984615384617</v>
      </c>
      <c r="BM17" s="41">
        <v>690378.56</v>
      </c>
      <c r="BN17" s="111">
        <f t="shared" si="14"/>
        <v>1.7282885990442313E-2</v>
      </c>
    </row>
    <row r="18" spans="1:66" x14ac:dyDescent="0.35">
      <c r="A18" s="30">
        <v>15</v>
      </c>
      <c r="B18" s="31" t="s">
        <v>27</v>
      </c>
      <c r="C18" s="32">
        <v>104</v>
      </c>
      <c r="D18" s="33">
        <f t="shared" si="11"/>
        <v>1464.6704807692308</v>
      </c>
      <c r="E18" s="32">
        <v>152325.73000000001</v>
      </c>
      <c r="F18" s="34">
        <v>15</v>
      </c>
      <c r="G18" s="31" t="s">
        <v>27</v>
      </c>
      <c r="H18" s="32">
        <v>105</v>
      </c>
      <c r="I18" s="33">
        <f t="shared" si="12"/>
        <v>1662.6013333333335</v>
      </c>
      <c r="J18" s="32">
        <v>174573.14</v>
      </c>
      <c r="K18" s="30">
        <v>15</v>
      </c>
      <c r="L18" s="31" t="s">
        <v>21</v>
      </c>
      <c r="M18" s="45">
        <v>107</v>
      </c>
      <c r="N18" s="33">
        <f t="shared" si="13"/>
        <v>1405.618971962617</v>
      </c>
      <c r="O18" s="32">
        <v>150401.23000000001</v>
      </c>
      <c r="P18" s="30">
        <v>15</v>
      </c>
      <c r="Q18" s="31" t="s">
        <v>33</v>
      </c>
      <c r="R18" s="44">
        <v>51</v>
      </c>
      <c r="S18" s="33">
        <f t="shared" si="0"/>
        <v>1585.5192156862745</v>
      </c>
      <c r="T18" s="43">
        <v>80861.48</v>
      </c>
      <c r="U18" s="30">
        <v>15</v>
      </c>
      <c r="V18" s="31" t="s">
        <v>18</v>
      </c>
      <c r="W18" s="44">
        <v>47</v>
      </c>
      <c r="X18" s="33">
        <f t="shared" si="2"/>
        <v>1274.1457446808511</v>
      </c>
      <c r="Y18" s="43">
        <v>59884.85</v>
      </c>
      <c r="Z18" s="30">
        <v>15</v>
      </c>
      <c r="AA18" s="31" t="s">
        <v>20</v>
      </c>
      <c r="AB18" s="44">
        <v>40</v>
      </c>
      <c r="AC18" s="33">
        <f t="shared" si="3"/>
        <v>1024.6867500000001</v>
      </c>
      <c r="AD18" s="43">
        <v>40987.47</v>
      </c>
      <c r="AE18" s="30">
        <v>15</v>
      </c>
      <c r="AF18" s="31"/>
      <c r="AG18" s="44"/>
      <c r="AH18" s="33" t="e">
        <f t="shared" si="4"/>
        <v>#DIV/0!</v>
      </c>
      <c r="AI18" s="43"/>
      <c r="AJ18" s="30">
        <v>15</v>
      </c>
      <c r="AL18" s="39"/>
      <c r="AM18" s="33" t="e">
        <f t="shared" si="5"/>
        <v>#DIV/0!</v>
      </c>
      <c r="AO18" s="30">
        <v>15</v>
      </c>
      <c r="AP18" s="31"/>
      <c r="AQ18" s="39"/>
      <c r="AR18" s="33" t="e">
        <f t="shared" si="6"/>
        <v>#DIV/0!</v>
      </c>
      <c r="AS18" s="40"/>
      <c r="AT18" s="30">
        <v>15</v>
      </c>
      <c r="AU18" s="31"/>
      <c r="AV18" s="44"/>
      <c r="AW18" s="33" t="e">
        <f t="shared" si="7"/>
        <v>#DIV/0!</v>
      </c>
      <c r="AX18" s="43"/>
      <c r="AY18" s="30">
        <v>15</v>
      </c>
      <c r="AZ18" s="31"/>
      <c r="BA18" s="44"/>
      <c r="BB18" s="33" t="e">
        <f t="shared" si="8"/>
        <v>#DIV/0!</v>
      </c>
      <c r="BC18" s="43"/>
      <c r="BD18" s="30">
        <v>15</v>
      </c>
      <c r="BE18" s="31"/>
      <c r="BF18" s="37"/>
      <c r="BG18" s="33" t="e">
        <f t="shared" si="9"/>
        <v>#DIV/0!</v>
      </c>
      <c r="BH18" s="33"/>
      <c r="BI18" s="30">
        <v>15</v>
      </c>
      <c r="BJ18" s="31" t="s">
        <v>32</v>
      </c>
      <c r="BK18">
        <v>470</v>
      </c>
      <c r="BL18" s="33">
        <f t="shared" si="10"/>
        <v>1366.3150000000001</v>
      </c>
      <c r="BM18" s="41">
        <v>642168.05000000005</v>
      </c>
      <c r="BN18" s="111">
        <f t="shared" si="14"/>
        <v>1.6887643275484171E-2</v>
      </c>
    </row>
    <row r="19" spans="1:66" x14ac:dyDescent="0.35">
      <c r="A19" s="30">
        <v>16</v>
      </c>
      <c r="B19" s="31" t="s">
        <v>14</v>
      </c>
      <c r="C19" s="32">
        <v>95</v>
      </c>
      <c r="D19" s="33">
        <f t="shared" si="11"/>
        <v>1565.4165263157895</v>
      </c>
      <c r="E19" s="32">
        <v>148714.57</v>
      </c>
      <c r="F19" s="34">
        <v>16</v>
      </c>
      <c r="G19" s="31" t="s">
        <v>65</v>
      </c>
      <c r="H19" s="32">
        <v>101</v>
      </c>
      <c r="I19" s="33">
        <f t="shared" si="12"/>
        <v>1585.4058415841582</v>
      </c>
      <c r="J19" s="32">
        <v>160125.99</v>
      </c>
      <c r="K19" s="30">
        <v>16</v>
      </c>
      <c r="L19" s="31" t="s">
        <v>65</v>
      </c>
      <c r="M19" s="45">
        <v>65</v>
      </c>
      <c r="N19" s="33">
        <f t="shared" si="13"/>
        <v>1343.166153846154</v>
      </c>
      <c r="O19" s="32">
        <v>87305.8</v>
      </c>
      <c r="P19" s="30">
        <v>16</v>
      </c>
      <c r="Q19" s="31" t="s">
        <v>35</v>
      </c>
      <c r="R19" s="44">
        <v>43</v>
      </c>
      <c r="S19" s="33">
        <f t="shared" si="0"/>
        <v>1219.9874418604652</v>
      </c>
      <c r="T19" s="43">
        <v>52459.46</v>
      </c>
      <c r="U19" s="30">
        <v>16</v>
      </c>
      <c r="V19" s="31" t="s">
        <v>27</v>
      </c>
      <c r="W19" s="44">
        <v>43</v>
      </c>
      <c r="X19" s="33">
        <f t="shared" si="2"/>
        <v>1274.5213953488371</v>
      </c>
      <c r="Y19" s="43">
        <v>54804.42</v>
      </c>
      <c r="Z19" s="30">
        <v>16</v>
      </c>
      <c r="AA19" s="31" t="s">
        <v>21</v>
      </c>
      <c r="AB19" s="44">
        <v>40</v>
      </c>
      <c r="AC19" s="33">
        <f t="shared" si="3"/>
        <v>1108.8620000000001</v>
      </c>
      <c r="AD19" s="43">
        <v>44354.48</v>
      </c>
      <c r="AE19" s="30">
        <v>16</v>
      </c>
      <c r="AF19" s="31"/>
      <c r="AG19" s="44"/>
      <c r="AH19" s="33" t="e">
        <f t="shared" si="4"/>
        <v>#DIV/0!</v>
      </c>
      <c r="AI19" s="43"/>
      <c r="AJ19" s="30">
        <v>16</v>
      </c>
      <c r="AL19" s="39"/>
      <c r="AM19" s="33" t="e">
        <f t="shared" si="5"/>
        <v>#DIV/0!</v>
      </c>
      <c r="AO19" s="30">
        <v>16</v>
      </c>
      <c r="AP19" s="31"/>
      <c r="AQ19" s="39"/>
      <c r="AR19" s="33" t="e">
        <f t="shared" si="6"/>
        <v>#DIV/0!</v>
      </c>
      <c r="AS19" s="40"/>
      <c r="AT19" s="30">
        <v>16</v>
      </c>
      <c r="AU19" s="31"/>
      <c r="AV19" s="44"/>
      <c r="AW19" s="33" t="e">
        <f t="shared" si="7"/>
        <v>#DIV/0!</v>
      </c>
      <c r="AX19" s="43"/>
      <c r="AY19" s="30">
        <v>16</v>
      </c>
      <c r="AZ19" s="31"/>
      <c r="BA19" s="44"/>
      <c r="BB19" s="33" t="e">
        <f t="shared" si="8"/>
        <v>#DIV/0!</v>
      </c>
      <c r="BC19" s="43"/>
      <c r="BD19" s="30">
        <v>16</v>
      </c>
      <c r="BE19" s="31"/>
      <c r="BF19" s="37"/>
      <c r="BG19" s="33" t="e">
        <f t="shared" si="9"/>
        <v>#DIV/0!</v>
      </c>
      <c r="BH19" s="33"/>
      <c r="BI19" s="30">
        <v>16</v>
      </c>
      <c r="BJ19" s="31" t="s">
        <v>26</v>
      </c>
      <c r="BK19">
        <v>399</v>
      </c>
      <c r="BL19" s="33">
        <f t="shared" si="10"/>
        <v>1566.972882205514</v>
      </c>
      <c r="BM19" s="41">
        <v>625222.18000000005</v>
      </c>
      <c r="BN19" s="111">
        <f t="shared" si="14"/>
        <v>1.4336531206208904E-2</v>
      </c>
    </row>
    <row r="20" spans="1:66" x14ac:dyDescent="0.35">
      <c r="A20" s="30">
        <v>17</v>
      </c>
      <c r="B20" s="31" t="s">
        <v>21</v>
      </c>
      <c r="C20" s="32">
        <v>82</v>
      </c>
      <c r="D20" s="33">
        <f t="shared" si="11"/>
        <v>1511.9586585365853</v>
      </c>
      <c r="E20" s="32">
        <v>123980.61</v>
      </c>
      <c r="F20" s="34">
        <v>17</v>
      </c>
      <c r="G20" s="31" t="s">
        <v>13</v>
      </c>
      <c r="H20" s="32">
        <v>95</v>
      </c>
      <c r="I20" s="33">
        <f t="shared" si="12"/>
        <v>1554.8457894736844</v>
      </c>
      <c r="J20" s="32">
        <v>147710.35</v>
      </c>
      <c r="K20" s="30">
        <v>17</v>
      </c>
      <c r="L20" s="31" t="s">
        <v>26</v>
      </c>
      <c r="M20" s="45">
        <v>57</v>
      </c>
      <c r="N20" s="33">
        <f t="shared" si="13"/>
        <v>1505.8901754385965</v>
      </c>
      <c r="O20" s="32">
        <v>85835.74</v>
      </c>
      <c r="P20" s="30">
        <v>17</v>
      </c>
      <c r="Q20" s="31" t="s">
        <v>27</v>
      </c>
      <c r="R20" s="37">
        <v>39</v>
      </c>
      <c r="S20" s="33">
        <f t="shared" si="0"/>
        <v>1259.9338461538462</v>
      </c>
      <c r="T20" s="43">
        <v>49137.42</v>
      </c>
      <c r="U20" s="30">
        <v>17</v>
      </c>
      <c r="V20" s="31" t="s">
        <v>21</v>
      </c>
      <c r="W20" s="44">
        <v>41</v>
      </c>
      <c r="X20" s="33">
        <f t="shared" si="2"/>
        <v>1203.7173170731708</v>
      </c>
      <c r="Y20" s="43">
        <v>49352.41</v>
      </c>
      <c r="Z20" s="30">
        <v>17</v>
      </c>
      <c r="AA20" s="31" t="s">
        <v>25</v>
      </c>
      <c r="AB20" s="44">
        <v>32</v>
      </c>
      <c r="AC20" s="33">
        <f t="shared" si="3"/>
        <v>1111.8578124999999</v>
      </c>
      <c r="AD20" s="43">
        <v>35579.449999999997</v>
      </c>
      <c r="AE20" s="30">
        <v>17</v>
      </c>
      <c r="AF20" s="31"/>
      <c r="AG20" s="44"/>
      <c r="AH20" s="33" t="e">
        <f t="shared" si="4"/>
        <v>#DIV/0!</v>
      </c>
      <c r="AI20" s="43"/>
      <c r="AJ20" s="30">
        <v>17</v>
      </c>
      <c r="AL20" s="39"/>
      <c r="AM20" s="33" t="e">
        <f t="shared" si="5"/>
        <v>#DIV/0!</v>
      </c>
      <c r="AO20" s="30">
        <v>17</v>
      </c>
      <c r="AP20" s="31"/>
      <c r="AQ20" s="39"/>
      <c r="AR20" s="33" t="e">
        <f t="shared" si="6"/>
        <v>#DIV/0!</v>
      </c>
      <c r="AS20" s="40"/>
      <c r="AT20" s="30">
        <v>17</v>
      </c>
      <c r="AU20" s="31"/>
      <c r="AV20" s="44"/>
      <c r="AW20" s="33" t="e">
        <f t="shared" si="7"/>
        <v>#DIV/0!</v>
      </c>
      <c r="AX20" s="43"/>
      <c r="AY20" s="30">
        <v>17</v>
      </c>
      <c r="AZ20" s="31"/>
      <c r="BA20" s="44"/>
      <c r="BB20" s="33" t="e">
        <f t="shared" si="8"/>
        <v>#DIV/0!</v>
      </c>
      <c r="BC20" s="43"/>
      <c r="BD20" s="30">
        <v>17</v>
      </c>
      <c r="BE20" s="31"/>
      <c r="BF20" s="44"/>
      <c r="BG20" s="33" t="e">
        <f t="shared" si="9"/>
        <v>#DIV/0!</v>
      </c>
      <c r="BH20" s="43"/>
      <c r="BI20" s="30">
        <v>17</v>
      </c>
      <c r="BJ20" s="31" t="s">
        <v>27</v>
      </c>
      <c r="BK20">
        <v>382</v>
      </c>
      <c r="BL20" s="33">
        <f t="shared" si="10"/>
        <v>1430.6653403141363</v>
      </c>
      <c r="BM20" s="41">
        <v>546514.16</v>
      </c>
      <c r="BN20" s="111">
        <f t="shared" si="14"/>
        <v>1.372570155581905E-2</v>
      </c>
    </row>
    <row r="21" spans="1:66" x14ac:dyDescent="0.35">
      <c r="A21" s="30">
        <v>18</v>
      </c>
      <c r="B21" s="31" t="s">
        <v>39</v>
      </c>
      <c r="C21" s="32">
        <v>71</v>
      </c>
      <c r="D21" s="33">
        <f t="shared" si="11"/>
        <v>1721.8826760563379</v>
      </c>
      <c r="E21" s="32">
        <v>122253.67</v>
      </c>
      <c r="F21" s="34">
        <v>18</v>
      </c>
      <c r="G21" s="31" t="s">
        <v>26</v>
      </c>
      <c r="H21" s="32">
        <v>80</v>
      </c>
      <c r="I21" s="33">
        <f t="shared" si="12"/>
        <v>1820.575</v>
      </c>
      <c r="J21" s="32">
        <v>145646</v>
      </c>
      <c r="K21" s="30">
        <v>18</v>
      </c>
      <c r="L21" s="31" t="s">
        <v>33</v>
      </c>
      <c r="M21" s="45">
        <v>48</v>
      </c>
      <c r="N21" s="33">
        <f t="shared" si="13"/>
        <v>1456.6395833333333</v>
      </c>
      <c r="O21" s="32">
        <v>69918.7</v>
      </c>
      <c r="P21" s="30">
        <v>18</v>
      </c>
      <c r="Q21" s="31" t="s">
        <v>20</v>
      </c>
      <c r="R21" s="37">
        <v>38</v>
      </c>
      <c r="S21" s="33">
        <f t="shared" si="0"/>
        <v>1597.3802631578947</v>
      </c>
      <c r="T21" s="33">
        <v>60700.45</v>
      </c>
      <c r="U21" s="30">
        <v>18</v>
      </c>
      <c r="V21" s="31" t="s">
        <v>19</v>
      </c>
      <c r="W21" s="44">
        <v>31</v>
      </c>
      <c r="X21" s="33">
        <f t="shared" si="2"/>
        <v>1319.41</v>
      </c>
      <c r="Y21" s="43">
        <v>40901.71</v>
      </c>
      <c r="Z21" s="30">
        <v>18</v>
      </c>
      <c r="AA21" s="31" t="s">
        <v>26</v>
      </c>
      <c r="AB21" s="44">
        <v>29</v>
      </c>
      <c r="AC21" s="33">
        <f t="shared" si="3"/>
        <v>1303.1503448275862</v>
      </c>
      <c r="AD21" s="43">
        <v>37791.360000000001</v>
      </c>
      <c r="AE21" s="30">
        <v>18</v>
      </c>
      <c r="AF21" s="31"/>
      <c r="AG21" s="44"/>
      <c r="AH21" s="33" t="e">
        <f t="shared" si="4"/>
        <v>#DIV/0!</v>
      </c>
      <c r="AI21" s="43"/>
      <c r="AJ21" s="30">
        <v>18</v>
      </c>
      <c r="AL21" s="39"/>
      <c r="AM21" s="33" t="e">
        <f t="shared" si="5"/>
        <v>#DIV/0!</v>
      </c>
      <c r="AO21" s="30">
        <v>18</v>
      </c>
      <c r="AP21" s="31"/>
      <c r="AQ21" s="39"/>
      <c r="AR21" s="33" t="e">
        <f t="shared" si="6"/>
        <v>#DIV/0!</v>
      </c>
      <c r="AS21" s="40"/>
      <c r="AT21" s="30">
        <v>18</v>
      </c>
      <c r="AU21" s="31"/>
      <c r="AV21" s="44"/>
      <c r="AW21" s="33" t="e">
        <f t="shared" si="7"/>
        <v>#DIV/0!</v>
      </c>
      <c r="AX21" s="43"/>
      <c r="AY21" s="30">
        <v>18</v>
      </c>
      <c r="AZ21" s="31"/>
      <c r="BA21" s="44"/>
      <c r="BB21" s="33" t="e">
        <f t="shared" si="8"/>
        <v>#DIV/0!</v>
      </c>
      <c r="BC21" s="43"/>
      <c r="BD21" s="30">
        <v>18</v>
      </c>
      <c r="BE21" s="31"/>
      <c r="BF21" s="44"/>
      <c r="BG21" s="33" t="e">
        <f t="shared" si="9"/>
        <v>#DIV/0!</v>
      </c>
      <c r="BH21" s="43"/>
      <c r="BI21" s="30">
        <v>18</v>
      </c>
      <c r="BJ21" s="31" t="s">
        <v>33</v>
      </c>
      <c r="BK21">
        <v>283</v>
      </c>
      <c r="BL21" s="33">
        <f t="shared" si="10"/>
        <v>1486.5410600706714</v>
      </c>
      <c r="BM21" s="41">
        <v>420691.12</v>
      </c>
      <c r="BN21" s="111">
        <f t="shared" si="14"/>
        <v>1.016851712119579E-2</v>
      </c>
    </row>
    <row r="22" spans="1:66" x14ac:dyDescent="0.35">
      <c r="A22" s="30">
        <v>19</v>
      </c>
      <c r="B22" s="31" t="s">
        <v>15</v>
      </c>
      <c r="C22" s="32">
        <v>66</v>
      </c>
      <c r="D22" s="33">
        <f t="shared" si="11"/>
        <v>1572.5925757575758</v>
      </c>
      <c r="E22" s="32">
        <v>103791.11</v>
      </c>
      <c r="F22" s="34">
        <v>19</v>
      </c>
      <c r="G22" s="31" t="s">
        <v>33</v>
      </c>
      <c r="H22" s="32">
        <v>75</v>
      </c>
      <c r="I22" s="33">
        <f t="shared" si="12"/>
        <v>1755.5369333333331</v>
      </c>
      <c r="J22" s="32">
        <v>131665.26999999999</v>
      </c>
      <c r="K22" s="30">
        <v>19</v>
      </c>
      <c r="L22" s="31" t="s">
        <v>20</v>
      </c>
      <c r="M22" s="45">
        <v>35</v>
      </c>
      <c r="N22" s="33">
        <f t="shared" si="13"/>
        <v>1433.646857142857</v>
      </c>
      <c r="O22" s="32">
        <v>50177.64</v>
      </c>
      <c r="P22" s="30">
        <v>19</v>
      </c>
      <c r="Q22" s="31" t="s">
        <v>19</v>
      </c>
      <c r="R22" s="37">
        <v>34</v>
      </c>
      <c r="S22" s="33">
        <f t="shared" si="0"/>
        <v>1520.3241176470588</v>
      </c>
      <c r="T22" s="33">
        <v>51691.02</v>
      </c>
      <c r="U22" s="30">
        <v>19</v>
      </c>
      <c r="V22" s="31" t="s">
        <v>39</v>
      </c>
      <c r="W22" s="37">
        <v>31</v>
      </c>
      <c r="X22" s="33">
        <f t="shared" si="2"/>
        <v>1145.9212903225805</v>
      </c>
      <c r="Y22" s="33">
        <v>35523.56</v>
      </c>
      <c r="Z22" s="30">
        <v>19</v>
      </c>
      <c r="AA22" s="31" t="s">
        <v>27</v>
      </c>
      <c r="AB22" s="44">
        <v>27</v>
      </c>
      <c r="AC22" s="33">
        <f t="shared" si="3"/>
        <v>1176.3533333333335</v>
      </c>
      <c r="AD22" s="43">
        <v>31761.54</v>
      </c>
      <c r="AE22" s="30">
        <v>19</v>
      </c>
      <c r="AF22" s="31"/>
      <c r="AG22" s="37"/>
      <c r="AH22" s="33" t="e">
        <f t="shared" si="4"/>
        <v>#DIV/0!</v>
      </c>
      <c r="AI22" s="33"/>
      <c r="AJ22" s="30">
        <v>19</v>
      </c>
      <c r="AL22" s="39"/>
      <c r="AM22" s="33" t="e">
        <f t="shared" si="5"/>
        <v>#DIV/0!</v>
      </c>
      <c r="AO22" s="30">
        <v>19</v>
      </c>
      <c r="AP22" s="31"/>
      <c r="AQ22" s="39"/>
      <c r="AR22" s="33" t="e">
        <f t="shared" si="6"/>
        <v>#DIV/0!</v>
      </c>
      <c r="AS22" s="40"/>
      <c r="AT22" s="30">
        <v>19</v>
      </c>
      <c r="AU22" s="31"/>
      <c r="AV22" s="44"/>
      <c r="AW22" s="33" t="e">
        <f t="shared" si="7"/>
        <v>#DIV/0!</v>
      </c>
      <c r="AX22" s="43"/>
      <c r="AY22" s="30">
        <v>19</v>
      </c>
      <c r="AZ22" s="31"/>
      <c r="BA22" s="44"/>
      <c r="BB22" s="33" t="e">
        <f t="shared" si="8"/>
        <v>#DIV/0!</v>
      </c>
      <c r="BC22" s="43"/>
      <c r="BD22" s="30">
        <v>19</v>
      </c>
      <c r="BE22" s="31"/>
      <c r="BF22" s="44"/>
      <c r="BG22" s="33" t="e">
        <f t="shared" si="9"/>
        <v>#DIV/0!</v>
      </c>
      <c r="BH22" s="43"/>
      <c r="BI22" s="30">
        <v>19</v>
      </c>
      <c r="BJ22" s="31" t="s">
        <v>34</v>
      </c>
      <c r="BK22">
        <v>271</v>
      </c>
      <c r="BL22" s="33">
        <f t="shared" si="10"/>
        <v>1439.0111070110702</v>
      </c>
      <c r="BM22" s="41">
        <v>389972.01</v>
      </c>
      <c r="BN22" s="111">
        <f t="shared" si="14"/>
        <v>9.7373432503323632E-3</v>
      </c>
    </row>
    <row r="23" spans="1:66" x14ac:dyDescent="0.35">
      <c r="A23" s="30">
        <v>20</v>
      </c>
      <c r="B23" s="31" t="s">
        <v>20</v>
      </c>
      <c r="C23" s="32">
        <v>64</v>
      </c>
      <c r="D23" s="33">
        <f t="shared" si="11"/>
        <v>1545.8864062499999</v>
      </c>
      <c r="E23" s="32">
        <v>98936.73</v>
      </c>
      <c r="F23" s="34">
        <v>20</v>
      </c>
      <c r="G23" s="31" t="s">
        <v>34</v>
      </c>
      <c r="H23" s="35">
        <v>63</v>
      </c>
      <c r="I23" s="33">
        <f t="shared" si="12"/>
        <v>1647.5144444444445</v>
      </c>
      <c r="J23" s="35">
        <v>103793.41</v>
      </c>
      <c r="K23" s="30">
        <v>20</v>
      </c>
      <c r="L23" s="31" t="s">
        <v>27</v>
      </c>
      <c r="M23" s="45">
        <v>33</v>
      </c>
      <c r="N23" s="33">
        <f t="shared" si="13"/>
        <v>1412.0187878787879</v>
      </c>
      <c r="O23" s="32">
        <v>46596.62</v>
      </c>
      <c r="P23" s="30">
        <v>20</v>
      </c>
      <c r="Q23" s="31" t="s">
        <v>40</v>
      </c>
      <c r="R23" s="37">
        <v>26</v>
      </c>
      <c r="S23" s="33">
        <f t="shared" si="0"/>
        <v>1591.6530769230772</v>
      </c>
      <c r="T23" s="33">
        <v>41382.980000000003</v>
      </c>
      <c r="U23" s="30">
        <v>20</v>
      </c>
      <c r="V23" s="31" t="s">
        <v>41</v>
      </c>
      <c r="W23" s="37">
        <v>25</v>
      </c>
      <c r="X23" s="33">
        <f t="shared" si="2"/>
        <v>1150.0267999999999</v>
      </c>
      <c r="Y23" s="33">
        <v>28750.67</v>
      </c>
      <c r="Z23" s="30">
        <v>20</v>
      </c>
      <c r="AA23" s="31" t="s">
        <v>28</v>
      </c>
      <c r="AB23" s="44">
        <v>26</v>
      </c>
      <c r="AC23" s="33">
        <f t="shared" si="3"/>
        <v>1044.5826923076925</v>
      </c>
      <c r="AD23" s="43">
        <v>27159.15</v>
      </c>
      <c r="AE23" s="30">
        <v>20</v>
      </c>
      <c r="AF23" s="31"/>
      <c r="AG23" s="37"/>
      <c r="AH23" s="33" t="e">
        <f t="shared" si="4"/>
        <v>#DIV/0!</v>
      </c>
      <c r="AI23" s="33"/>
      <c r="AJ23" s="30">
        <v>20</v>
      </c>
      <c r="AL23" s="39"/>
      <c r="AM23" s="33" t="e">
        <f t="shared" si="5"/>
        <v>#DIV/0!</v>
      </c>
      <c r="AO23" s="30">
        <v>20</v>
      </c>
      <c r="AP23" s="31"/>
      <c r="AQ23" s="39"/>
      <c r="AR23" s="33" t="e">
        <f t="shared" si="6"/>
        <v>#DIV/0!</v>
      </c>
      <c r="AS23" s="40"/>
      <c r="AT23" s="30">
        <v>20</v>
      </c>
      <c r="AU23" s="31"/>
      <c r="AV23" s="44"/>
      <c r="AW23" s="33" t="e">
        <f t="shared" si="7"/>
        <v>#DIV/0!</v>
      </c>
      <c r="AX23" s="43"/>
      <c r="AY23" s="30">
        <v>20</v>
      </c>
      <c r="AZ23" s="31"/>
      <c r="BA23" s="44"/>
      <c r="BB23" s="33" t="e">
        <f t="shared" si="8"/>
        <v>#DIV/0!</v>
      </c>
      <c r="BC23" s="43"/>
      <c r="BD23" s="30">
        <v>20</v>
      </c>
      <c r="BE23" s="31"/>
      <c r="BF23" s="37"/>
      <c r="BG23" s="33" t="e">
        <f t="shared" si="9"/>
        <v>#DIV/0!</v>
      </c>
      <c r="BH23" s="33"/>
      <c r="BI23" s="30">
        <v>20</v>
      </c>
      <c r="BJ23" s="38" t="s">
        <v>35</v>
      </c>
      <c r="BK23">
        <v>259</v>
      </c>
      <c r="BL23" s="33">
        <f t="shared" si="10"/>
        <v>1455.3250965250966</v>
      </c>
      <c r="BM23" s="40">
        <v>376929.2</v>
      </c>
      <c r="BN23" s="111">
        <f t="shared" si="14"/>
        <v>9.3061693794689367E-3</v>
      </c>
    </row>
    <row r="24" spans="1:66" x14ac:dyDescent="0.35">
      <c r="A24" s="30">
        <v>21</v>
      </c>
      <c r="B24" s="31" t="s">
        <v>33</v>
      </c>
      <c r="C24" s="32">
        <v>58</v>
      </c>
      <c r="D24" s="33">
        <f t="shared" si="11"/>
        <v>1722.1648275862069</v>
      </c>
      <c r="E24" s="32">
        <v>99885.56</v>
      </c>
      <c r="F24" s="34">
        <v>21</v>
      </c>
      <c r="G24" s="31" t="s">
        <v>39</v>
      </c>
      <c r="H24" s="32">
        <v>59</v>
      </c>
      <c r="I24" s="33">
        <f t="shared" si="12"/>
        <v>1726.837966101695</v>
      </c>
      <c r="J24" s="32">
        <v>101883.44</v>
      </c>
      <c r="K24" s="30">
        <v>21</v>
      </c>
      <c r="L24" s="31" t="s">
        <v>39</v>
      </c>
      <c r="M24" s="36">
        <v>30</v>
      </c>
      <c r="N24" s="33">
        <f t="shared" si="13"/>
        <v>1531.865</v>
      </c>
      <c r="O24" s="35">
        <v>45955.95</v>
      </c>
      <c r="P24" s="30">
        <v>21</v>
      </c>
      <c r="Q24" s="31" t="s">
        <v>21</v>
      </c>
      <c r="R24" s="37">
        <v>24</v>
      </c>
      <c r="S24" s="33">
        <f t="shared" si="0"/>
        <v>1432.8879166666666</v>
      </c>
      <c r="T24" s="33">
        <v>34389.31</v>
      </c>
      <c r="U24" s="30">
        <v>21</v>
      </c>
      <c r="V24" s="31" t="s">
        <v>26</v>
      </c>
      <c r="W24" s="37">
        <v>24</v>
      </c>
      <c r="X24" s="33">
        <f t="shared" si="2"/>
        <v>1487.6179166666668</v>
      </c>
      <c r="Y24" s="33">
        <v>35702.83</v>
      </c>
      <c r="Z24" s="30">
        <v>21</v>
      </c>
      <c r="AA24" s="31" t="s">
        <v>42</v>
      </c>
      <c r="AB24" s="37">
        <v>25</v>
      </c>
      <c r="AC24" s="33">
        <f t="shared" si="3"/>
        <v>1062.3872000000001</v>
      </c>
      <c r="AD24" s="33">
        <v>26559.68</v>
      </c>
      <c r="AE24" s="30">
        <v>21</v>
      </c>
      <c r="AF24" s="31"/>
      <c r="AG24" s="37"/>
      <c r="AH24" s="33" t="e">
        <f t="shared" si="4"/>
        <v>#DIV/0!</v>
      </c>
      <c r="AI24" s="33"/>
      <c r="AJ24" s="30">
        <v>21</v>
      </c>
      <c r="AL24" s="39"/>
      <c r="AM24" s="33" t="e">
        <f t="shared" si="5"/>
        <v>#DIV/0!</v>
      </c>
      <c r="AO24" s="30">
        <v>21</v>
      </c>
      <c r="AP24" s="31"/>
      <c r="AQ24" s="39"/>
      <c r="AR24" s="33" t="e">
        <f t="shared" si="6"/>
        <v>#DIV/0!</v>
      </c>
      <c r="AS24" s="40"/>
      <c r="AT24" s="30">
        <v>21</v>
      </c>
      <c r="AU24" s="31"/>
      <c r="AV24" s="37"/>
      <c r="AW24" s="33" t="e">
        <f t="shared" si="7"/>
        <v>#DIV/0!</v>
      </c>
      <c r="AX24" s="33"/>
      <c r="AY24" s="30">
        <v>21</v>
      </c>
      <c r="AZ24" s="31"/>
      <c r="BA24" s="37"/>
      <c r="BB24" s="33" t="e">
        <f t="shared" si="8"/>
        <v>#DIV/0!</v>
      </c>
      <c r="BC24" s="33"/>
      <c r="BD24" s="30">
        <v>21</v>
      </c>
      <c r="BE24" s="31"/>
      <c r="BF24" s="44"/>
      <c r="BG24" s="33" t="e">
        <f t="shared" si="9"/>
        <v>#DIV/0!</v>
      </c>
      <c r="BH24" s="43"/>
      <c r="BI24" s="30">
        <v>21</v>
      </c>
      <c r="BJ24" s="31" t="s">
        <v>20</v>
      </c>
      <c r="BK24">
        <v>252</v>
      </c>
      <c r="BL24" s="33">
        <f t="shared" si="10"/>
        <v>1388.0510714285715</v>
      </c>
      <c r="BM24" s="41">
        <v>349788.87</v>
      </c>
      <c r="BN24" s="111">
        <f t="shared" si="14"/>
        <v>9.0546512881319388E-3</v>
      </c>
    </row>
    <row r="25" spans="1:66" x14ac:dyDescent="0.35">
      <c r="A25" s="30">
        <v>22</v>
      </c>
      <c r="B25" s="31" t="s">
        <v>35</v>
      </c>
      <c r="C25" s="32">
        <v>48</v>
      </c>
      <c r="D25" s="33">
        <f t="shared" si="11"/>
        <v>1449.9627083333335</v>
      </c>
      <c r="E25" s="32">
        <v>69598.210000000006</v>
      </c>
      <c r="F25" s="34">
        <v>22</v>
      </c>
      <c r="G25" s="31" t="s">
        <v>43</v>
      </c>
      <c r="H25" s="35">
        <v>52</v>
      </c>
      <c r="I25" s="33">
        <f t="shared" si="12"/>
        <v>1852.4419230769231</v>
      </c>
      <c r="J25" s="35">
        <v>96326.98</v>
      </c>
      <c r="K25" s="30">
        <v>22</v>
      </c>
      <c r="L25" s="31" t="s">
        <v>41</v>
      </c>
      <c r="M25" s="36">
        <v>30</v>
      </c>
      <c r="N25" s="33">
        <f t="shared" si="13"/>
        <v>1587.355</v>
      </c>
      <c r="O25" s="35">
        <v>47620.65</v>
      </c>
      <c r="P25" s="30">
        <v>22</v>
      </c>
      <c r="Q25" s="31" t="s">
        <v>26</v>
      </c>
      <c r="R25" s="37">
        <v>23</v>
      </c>
      <c r="S25" s="33">
        <f t="shared" si="0"/>
        <v>1842.2056521739132</v>
      </c>
      <c r="T25" s="33">
        <v>42370.73</v>
      </c>
      <c r="U25" s="30">
        <v>22</v>
      </c>
      <c r="V25" s="31" t="s">
        <v>20</v>
      </c>
      <c r="W25" s="37">
        <v>24</v>
      </c>
      <c r="X25" s="33">
        <f t="shared" si="2"/>
        <v>1059.3854166666667</v>
      </c>
      <c r="Y25" s="33">
        <v>25425.25</v>
      </c>
      <c r="Z25" s="30">
        <v>22</v>
      </c>
      <c r="AA25" s="31" t="s">
        <v>34</v>
      </c>
      <c r="AB25" s="37">
        <v>20</v>
      </c>
      <c r="AC25" s="33">
        <f t="shared" si="3"/>
        <v>1256.7760000000001</v>
      </c>
      <c r="AD25" s="33">
        <v>25135.52</v>
      </c>
      <c r="AE25" s="30">
        <v>22</v>
      </c>
      <c r="AF25" s="31"/>
      <c r="AG25" s="37"/>
      <c r="AH25" s="33" t="e">
        <f t="shared" si="4"/>
        <v>#DIV/0!</v>
      </c>
      <c r="AI25" s="33"/>
      <c r="AJ25" s="30">
        <v>22</v>
      </c>
      <c r="AL25" s="39"/>
      <c r="AM25" s="33" t="e">
        <f t="shared" si="5"/>
        <v>#DIV/0!</v>
      </c>
      <c r="AO25" s="30">
        <v>22</v>
      </c>
      <c r="AP25" s="31"/>
      <c r="AQ25" s="39"/>
      <c r="AR25" s="33" t="e">
        <f t="shared" si="6"/>
        <v>#DIV/0!</v>
      </c>
      <c r="AS25" s="40"/>
      <c r="AT25" s="30">
        <v>22</v>
      </c>
      <c r="AU25" s="31"/>
      <c r="AV25" s="37"/>
      <c r="AW25" s="33" t="e">
        <f t="shared" si="7"/>
        <v>#DIV/0!</v>
      </c>
      <c r="AX25" s="33"/>
      <c r="AY25" s="30">
        <v>22</v>
      </c>
      <c r="AZ25" s="31"/>
      <c r="BA25" s="37"/>
      <c r="BB25" s="33" t="e">
        <f t="shared" si="8"/>
        <v>#DIV/0!</v>
      </c>
      <c r="BC25" s="33"/>
      <c r="BD25" s="30">
        <v>22</v>
      </c>
      <c r="BE25" s="31"/>
      <c r="BF25" s="37"/>
      <c r="BG25" s="33" t="e">
        <f t="shared" si="9"/>
        <v>#DIV/0!</v>
      </c>
      <c r="BH25" s="33"/>
      <c r="BI25" s="30">
        <v>22</v>
      </c>
      <c r="BJ25" s="31" t="s">
        <v>39</v>
      </c>
      <c r="BK25">
        <v>216</v>
      </c>
      <c r="BL25" s="33">
        <f t="shared" si="10"/>
        <v>1550.341851851852</v>
      </c>
      <c r="BM25" s="41">
        <v>334873.84000000003</v>
      </c>
      <c r="BN25" s="111">
        <f t="shared" si="14"/>
        <v>7.761129675541662E-3</v>
      </c>
    </row>
    <row r="26" spans="1:66" x14ac:dyDescent="0.35">
      <c r="A26" s="30">
        <v>23</v>
      </c>
      <c r="B26" s="31" t="s">
        <v>58</v>
      </c>
      <c r="C26" s="32">
        <v>42</v>
      </c>
      <c r="D26" s="33">
        <f t="shared" si="11"/>
        <v>1793.2883333333334</v>
      </c>
      <c r="E26" s="32">
        <v>75318.11</v>
      </c>
      <c r="F26" s="34">
        <v>23</v>
      </c>
      <c r="G26" s="31" t="s">
        <v>20</v>
      </c>
      <c r="H26" s="35">
        <v>37</v>
      </c>
      <c r="I26" s="33">
        <f t="shared" si="12"/>
        <v>1693.1737837837838</v>
      </c>
      <c r="J26" s="35">
        <v>62647.43</v>
      </c>
      <c r="K26" s="30">
        <v>23</v>
      </c>
      <c r="L26" s="31" t="s">
        <v>34</v>
      </c>
      <c r="M26" s="36">
        <v>28</v>
      </c>
      <c r="N26" s="33">
        <f t="shared" si="13"/>
        <v>1551.5546428571429</v>
      </c>
      <c r="O26" s="35">
        <v>43443.53</v>
      </c>
      <c r="P26" s="30">
        <v>23</v>
      </c>
      <c r="Q26" s="31" t="s">
        <v>39</v>
      </c>
      <c r="R26" s="37">
        <v>23</v>
      </c>
      <c r="S26" s="33">
        <f t="shared" si="0"/>
        <v>1903.4534782608696</v>
      </c>
      <c r="T26" s="33">
        <v>43779.43</v>
      </c>
      <c r="U26" s="30">
        <v>23</v>
      </c>
      <c r="V26" s="31" t="s">
        <v>33</v>
      </c>
      <c r="W26" s="37">
        <v>23</v>
      </c>
      <c r="X26" s="33">
        <f t="shared" si="2"/>
        <v>1166.7621739130434</v>
      </c>
      <c r="Y26" s="33">
        <v>26835.53</v>
      </c>
      <c r="Z26" s="30">
        <v>23</v>
      </c>
      <c r="AA26" s="31" t="s">
        <v>43</v>
      </c>
      <c r="AB26" s="37">
        <v>19</v>
      </c>
      <c r="AC26" s="33">
        <f t="shared" si="3"/>
        <v>1175.1721052631578</v>
      </c>
      <c r="AD26" s="33">
        <v>22328.27</v>
      </c>
      <c r="AE26" s="30">
        <v>23</v>
      </c>
      <c r="AF26" s="31"/>
      <c r="AG26" s="37"/>
      <c r="AH26" s="33" t="e">
        <f t="shared" si="4"/>
        <v>#DIV/0!</v>
      </c>
      <c r="AI26" s="33"/>
      <c r="AJ26" s="30">
        <v>23</v>
      </c>
      <c r="AL26" s="39"/>
      <c r="AM26" s="33" t="e">
        <f t="shared" si="5"/>
        <v>#DIV/0!</v>
      </c>
      <c r="AO26" s="30">
        <v>23</v>
      </c>
      <c r="AP26" s="31"/>
      <c r="AQ26" s="39"/>
      <c r="AR26" s="33" t="e">
        <f t="shared" si="6"/>
        <v>#DIV/0!</v>
      </c>
      <c r="AS26" s="40"/>
      <c r="AT26" s="30">
        <v>23</v>
      </c>
      <c r="AU26" s="31"/>
      <c r="AV26" s="37"/>
      <c r="AW26" s="33" t="e">
        <f t="shared" si="7"/>
        <v>#DIV/0!</v>
      </c>
      <c r="AX26" s="33"/>
      <c r="AY26" s="30">
        <v>23</v>
      </c>
      <c r="AZ26" s="31"/>
      <c r="BA26" s="37"/>
      <c r="BB26" s="33" t="e">
        <f t="shared" si="8"/>
        <v>#DIV/0!</v>
      </c>
      <c r="BC26" s="33"/>
      <c r="BD26" s="30">
        <v>23</v>
      </c>
      <c r="BE26" s="31"/>
      <c r="BF26" s="37"/>
      <c r="BG26" s="33" t="e">
        <f t="shared" si="9"/>
        <v>#DIV/0!</v>
      </c>
      <c r="BH26" s="33"/>
      <c r="BI26" s="30">
        <v>23</v>
      </c>
      <c r="BJ26" s="38" t="s">
        <v>43</v>
      </c>
      <c r="BK26">
        <v>170</v>
      </c>
      <c r="BL26" s="33">
        <f t="shared" si="10"/>
        <v>1479.6785294117647</v>
      </c>
      <c r="BM26" s="41">
        <v>251545.35</v>
      </c>
      <c r="BN26" s="111">
        <f t="shared" si="14"/>
        <v>6.1082965038985306E-3</v>
      </c>
    </row>
    <row r="27" spans="1:66" x14ac:dyDescent="0.35">
      <c r="A27" s="30">
        <v>24</v>
      </c>
      <c r="B27" s="31" t="s">
        <v>50</v>
      </c>
      <c r="C27" s="32">
        <v>42</v>
      </c>
      <c r="D27" s="33">
        <f t="shared" si="11"/>
        <v>1779.9952380952382</v>
      </c>
      <c r="E27" s="32">
        <v>74759.8</v>
      </c>
      <c r="F27" s="34">
        <v>24</v>
      </c>
      <c r="G27" s="31" t="s">
        <v>50</v>
      </c>
      <c r="H27" s="35">
        <v>36</v>
      </c>
      <c r="I27" s="33">
        <f t="shared" si="12"/>
        <v>1865.9438888888888</v>
      </c>
      <c r="J27" s="35">
        <v>67173.98</v>
      </c>
      <c r="K27" s="30">
        <v>24</v>
      </c>
      <c r="L27" s="31" t="s">
        <v>35</v>
      </c>
      <c r="M27" s="36">
        <v>26</v>
      </c>
      <c r="N27" s="33">
        <f t="shared" si="13"/>
        <v>1687.893846153846</v>
      </c>
      <c r="O27" s="35">
        <v>43885.24</v>
      </c>
      <c r="P27" s="30">
        <v>24</v>
      </c>
      <c r="Q27" s="31" t="s">
        <v>41</v>
      </c>
      <c r="R27" s="37">
        <v>22</v>
      </c>
      <c r="S27" s="33">
        <f t="shared" si="0"/>
        <v>1542.885</v>
      </c>
      <c r="T27" s="33">
        <v>33943.47</v>
      </c>
      <c r="U27" s="30">
        <v>24</v>
      </c>
      <c r="V27" s="31" t="s">
        <v>43</v>
      </c>
      <c r="W27" s="37">
        <v>22</v>
      </c>
      <c r="X27" s="33">
        <f t="shared" si="2"/>
        <v>1135.6772727272728</v>
      </c>
      <c r="Y27" s="33">
        <v>24984.9</v>
      </c>
      <c r="Z27" s="30">
        <v>24</v>
      </c>
      <c r="AA27" s="31" t="s">
        <v>44</v>
      </c>
      <c r="AB27" s="37">
        <v>16</v>
      </c>
      <c r="AC27" s="33">
        <f t="shared" si="3"/>
        <v>1115.461875</v>
      </c>
      <c r="AD27" s="33">
        <v>17847.39</v>
      </c>
      <c r="AE27" s="30">
        <v>24</v>
      </c>
      <c r="AF27" s="31"/>
      <c r="AG27" s="37"/>
      <c r="AH27" s="33" t="e">
        <f t="shared" si="4"/>
        <v>#DIV/0!</v>
      </c>
      <c r="AI27" s="33"/>
      <c r="AJ27" s="30">
        <v>24</v>
      </c>
      <c r="AL27" s="39"/>
      <c r="AM27" s="33" t="e">
        <f t="shared" si="5"/>
        <v>#DIV/0!</v>
      </c>
      <c r="AO27" s="30">
        <v>24</v>
      </c>
      <c r="AP27" s="31"/>
      <c r="AQ27" s="39"/>
      <c r="AR27" s="33" t="e">
        <f t="shared" si="6"/>
        <v>#DIV/0!</v>
      </c>
      <c r="AS27" s="40"/>
      <c r="AT27" s="30">
        <v>24</v>
      </c>
      <c r="AU27" s="31"/>
      <c r="AV27" s="37"/>
      <c r="AW27" s="33" t="e">
        <f t="shared" si="7"/>
        <v>#DIV/0!</v>
      </c>
      <c r="AX27" s="33"/>
      <c r="AY27" s="30">
        <v>24</v>
      </c>
      <c r="AZ27" s="31"/>
      <c r="BA27" s="37"/>
      <c r="BB27" s="33" t="e">
        <f t="shared" si="8"/>
        <v>#DIV/0!</v>
      </c>
      <c r="BC27" s="33"/>
      <c r="BD27" s="30">
        <v>24</v>
      </c>
      <c r="BE27" s="31"/>
      <c r="BF27" s="37"/>
      <c r="BG27" s="33" t="e">
        <f t="shared" si="9"/>
        <v>#DIV/0!</v>
      </c>
      <c r="BH27" s="33"/>
      <c r="BI27" s="30">
        <v>24</v>
      </c>
      <c r="BJ27" s="31" t="s">
        <v>18</v>
      </c>
      <c r="BK27">
        <v>156</v>
      </c>
      <c r="BL27" s="33">
        <f t="shared" si="10"/>
        <v>1300.4289743589745</v>
      </c>
      <c r="BM27" s="41">
        <v>202866.92</v>
      </c>
      <c r="BN27" s="111">
        <f t="shared" si="14"/>
        <v>5.6052603212245339E-3</v>
      </c>
    </row>
    <row r="28" spans="1:66" x14ac:dyDescent="0.35">
      <c r="A28" s="30">
        <v>25</v>
      </c>
      <c r="B28" s="31" t="s">
        <v>60</v>
      </c>
      <c r="C28" s="32">
        <v>40</v>
      </c>
      <c r="D28" s="33">
        <f t="shared" si="11"/>
        <v>1548.26225</v>
      </c>
      <c r="E28" s="32">
        <v>61930.49</v>
      </c>
      <c r="F28" s="34">
        <v>25</v>
      </c>
      <c r="G28" s="31" t="s">
        <v>60</v>
      </c>
      <c r="H28" s="35">
        <v>34</v>
      </c>
      <c r="I28" s="33">
        <f t="shared" si="12"/>
        <v>1841.405</v>
      </c>
      <c r="J28" s="35">
        <v>62607.77</v>
      </c>
      <c r="K28" s="30">
        <v>25</v>
      </c>
      <c r="L28" s="31" t="s">
        <v>68</v>
      </c>
      <c r="M28" s="36">
        <v>22</v>
      </c>
      <c r="N28" s="33">
        <f t="shared" si="13"/>
        <v>1469.7349999999999</v>
      </c>
      <c r="O28" s="35">
        <v>32334.17</v>
      </c>
      <c r="P28" s="30">
        <v>25</v>
      </c>
      <c r="Q28" s="31" t="s">
        <v>45</v>
      </c>
      <c r="R28" s="37">
        <v>17</v>
      </c>
      <c r="S28" s="33">
        <f t="shared" si="0"/>
        <v>1975.2605882352941</v>
      </c>
      <c r="T28" s="33">
        <v>33579.43</v>
      </c>
      <c r="U28" s="30">
        <v>25</v>
      </c>
      <c r="V28" s="31" t="s">
        <v>34</v>
      </c>
      <c r="W28" s="37">
        <v>21</v>
      </c>
      <c r="X28" s="33">
        <f t="shared" si="2"/>
        <v>1131.5847619047618</v>
      </c>
      <c r="Y28" s="33">
        <v>23763.279999999999</v>
      </c>
      <c r="Z28" s="30">
        <v>25</v>
      </c>
      <c r="AA28" s="31" t="s">
        <v>35</v>
      </c>
      <c r="AB28" s="37">
        <v>16</v>
      </c>
      <c r="AC28" s="33">
        <f t="shared" si="3"/>
        <v>1108.4981250000001</v>
      </c>
      <c r="AD28" s="33">
        <v>17735.97</v>
      </c>
      <c r="AE28" s="30">
        <v>25</v>
      </c>
      <c r="AF28" s="31"/>
      <c r="AG28" s="37"/>
      <c r="AH28" s="33" t="e">
        <f t="shared" si="4"/>
        <v>#DIV/0!</v>
      </c>
      <c r="AI28" s="33"/>
      <c r="AJ28" s="30">
        <v>25</v>
      </c>
      <c r="AL28" s="39"/>
      <c r="AM28" s="33" t="e">
        <f t="shared" si="5"/>
        <v>#DIV/0!</v>
      </c>
      <c r="AO28" s="30">
        <v>25</v>
      </c>
      <c r="AP28" s="31"/>
      <c r="AQ28" s="39"/>
      <c r="AR28" s="33" t="e">
        <f t="shared" si="6"/>
        <v>#DIV/0!</v>
      </c>
      <c r="AS28" s="40"/>
      <c r="AT28" s="30">
        <v>25</v>
      </c>
      <c r="AU28" s="31"/>
      <c r="AV28" s="37"/>
      <c r="AW28" s="33" t="e">
        <f t="shared" si="7"/>
        <v>#DIV/0!</v>
      </c>
      <c r="AX28" s="33"/>
      <c r="AY28" s="30">
        <v>25</v>
      </c>
      <c r="AZ28" s="31"/>
      <c r="BA28" s="37"/>
      <c r="BB28" s="33" t="e">
        <f t="shared" si="8"/>
        <v>#DIV/0!</v>
      </c>
      <c r="BC28" s="33"/>
      <c r="BD28" s="30">
        <v>25</v>
      </c>
      <c r="BE28" s="31"/>
      <c r="BF28" s="37"/>
      <c r="BG28" s="33" t="e">
        <f t="shared" si="9"/>
        <v>#DIV/0!</v>
      </c>
      <c r="BH28" s="33"/>
      <c r="BI28" s="30">
        <v>25</v>
      </c>
      <c r="BJ28" s="38" t="s">
        <v>46</v>
      </c>
      <c r="BK28">
        <v>132</v>
      </c>
      <c r="BL28" s="33">
        <f t="shared" si="10"/>
        <v>1686.1150757575758</v>
      </c>
      <c r="BM28" s="40">
        <v>222567.19</v>
      </c>
      <c r="BN28" s="111">
        <f t="shared" si="14"/>
        <v>4.7429125794976826E-3</v>
      </c>
    </row>
    <row r="29" spans="1:66" x14ac:dyDescent="0.35">
      <c r="A29" s="30">
        <v>26</v>
      </c>
      <c r="B29" s="38" t="s">
        <v>43</v>
      </c>
      <c r="C29" s="32">
        <v>39</v>
      </c>
      <c r="D29" s="33">
        <f t="shared" si="11"/>
        <v>1680.1084615384616</v>
      </c>
      <c r="E29" s="32">
        <v>65524.23</v>
      </c>
      <c r="F29" s="34">
        <v>26</v>
      </c>
      <c r="G29" s="31" t="s">
        <v>125</v>
      </c>
      <c r="H29" s="35">
        <v>31</v>
      </c>
      <c r="I29" s="33">
        <f t="shared" si="12"/>
        <v>1362.2361290322581</v>
      </c>
      <c r="J29" s="35">
        <v>42229.32</v>
      </c>
      <c r="K29" s="30">
        <v>26</v>
      </c>
      <c r="L29" s="31" t="s">
        <v>125</v>
      </c>
      <c r="M29" s="36">
        <v>21</v>
      </c>
      <c r="N29" s="33">
        <f t="shared" si="13"/>
        <v>1268.6285714285714</v>
      </c>
      <c r="O29" s="35">
        <v>26641.200000000001</v>
      </c>
      <c r="P29" s="30">
        <v>26</v>
      </c>
      <c r="Q29" s="31" t="s">
        <v>47</v>
      </c>
      <c r="R29" s="37">
        <v>17</v>
      </c>
      <c r="S29" s="33">
        <f t="shared" si="0"/>
        <v>1065.4423529411765</v>
      </c>
      <c r="T29" s="33">
        <v>18112.52</v>
      </c>
      <c r="U29" s="30">
        <v>26</v>
      </c>
      <c r="V29" s="31" t="s">
        <v>48</v>
      </c>
      <c r="W29" s="37">
        <v>18</v>
      </c>
      <c r="X29" s="33">
        <f t="shared" si="2"/>
        <v>1221.2455555555555</v>
      </c>
      <c r="Y29" s="33">
        <v>21982.42</v>
      </c>
      <c r="Z29" s="30">
        <v>26</v>
      </c>
      <c r="AA29" s="31" t="s">
        <v>49</v>
      </c>
      <c r="AB29" s="37">
        <v>16</v>
      </c>
      <c r="AC29" s="33">
        <f t="shared" si="3"/>
        <v>1334.663125</v>
      </c>
      <c r="AD29" s="33">
        <v>21354.61</v>
      </c>
      <c r="AE29" s="30">
        <v>26</v>
      </c>
      <c r="AF29" s="31"/>
      <c r="AG29" s="37"/>
      <c r="AH29" s="33" t="e">
        <f t="shared" si="4"/>
        <v>#DIV/0!</v>
      </c>
      <c r="AI29" s="33"/>
      <c r="AJ29" s="30">
        <v>26</v>
      </c>
      <c r="AL29" s="39"/>
      <c r="AM29" s="33" t="e">
        <f t="shared" si="5"/>
        <v>#DIV/0!</v>
      </c>
      <c r="AO29" s="30">
        <v>26</v>
      </c>
      <c r="AP29" s="31"/>
      <c r="AQ29" s="39"/>
      <c r="AR29" s="33" t="e">
        <f t="shared" si="6"/>
        <v>#DIV/0!</v>
      </c>
      <c r="AS29" s="40"/>
      <c r="AT29" s="30">
        <v>26</v>
      </c>
      <c r="AU29" s="31"/>
      <c r="AV29" s="37"/>
      <c r="AW29" s="33" t="e">
        <f t="shared" si="7"/>
        <v>#DIV/0!</v>
      </c>
      <c r="AX29" s="33"/>
      <c r="AY29" s="30">
        <v>26</v>
      </c>
      <c r="AZ29" s="31"/>
      <c r="BA29" s="37"/>
      <c r="BB29" s="33" t="e">
        <f t="shared" si="8"/>
        <v>#DIV/0!</v>
      </c>
      <c r="BC29" s="33"/>
      <c r="BD29" s="30">
        <v>26</v>
      </c>
      <c r="BE29" s="31"/>
      <c r="BF29" s="37"/>
      <c r="BG29" s="33" t="e">
        <f t="shared" si="9"/>
        <v>#DIV/0!</v>
      </c>
      <c r="BH29" s="33"/>
      <c r="BI29" s="30">
        <v>26</v>
      </c>
      <c r="BJ29" s="38" t="s">
        <v>50</v>
      </c>
      <c r="BK29">
        <v>130</v>
      </c>
      <c r="BL29" s="33">
        <f t="shared" si="10"/>
        <v>1578.4282307692308</v>
      </c>
      <c r="BM29" s="41">
        <v>205195.67</v>
      </c>
      <c r="BN29" s="111">
        <f t="shared" si="14"/>
        <v>4.6710502676871116E-3</v>
      </c>
    </row>
    <row r="30" spans="1:66" x14ac:dyDescent="0.35">
      <c r="A30" s="30">
        <v>27</v>
      </c>
      <c r="B30" s="31" t="s">
        <v>46</v>
      </c>
      <c r="C30" s="32">
        <v>36</v>
      </c>
      <c r="D30" s="33">
        <f t="shared" si="11"/>
        <v>1918.424722222222</v>
      </c>
      <c r="E30" s="32">
        <v>69063.289999999994</v>
      </c>
      <c r="F30" s="34">
        <v>27</v>
      </c>
      <c r="G30" s="31" t="s">
        <v>28</v>
      </c>
      <c r="H30" s="35">
        <v>28</v>
      </c>
      <c r="I30" s="33">
        <f t="shared" si="12"/>
        <v>1769.6253571428572</v>
      </c>
      <c r="J30" s="35">
        <v>49549.51</v>
      </c>
      <c r="K30" s="30">
        <v>27</v>
      </c>
      <c r="L30" s="31" t="s">
        <v>43</v>
      </c>
      <c r="M30" s="36">
        <v>19</v>
      </c>
      <c r="N30" s="33">
        <f t="shared" si="13"/>
        <v>1425.7989473684211</v>
      </c>
      <c r="O30" s="35">
        <v>27090.18</v>
      </c>
      <c r="P30" s="30">
        <v>27</v>
      </c>
      <c r="Q30" s="31" t="s">
        <v>43</v>
      </c>
      <c r="R30" s="37">
        <v>10</v>
      </c>
      <c r="S30" s="33">
        <f t="shared" si="0"/>
        <v>1703.2249999999999</v>
      </c>
      <c r="T30" s="33">
        <v>17032.25</v>
      </c>
      <c r="U30" s="30">
        <v>27</v>
      </c>
      <c r="V30" s="31" t="s">
        <v>40</v>
      </c>
      <c r="W30" s="37">
        <v>18</v>
      </c>
      <c r="X30" s="33">
        <f t="shared" si="2"/>
        <v>1103.6099999999999</v>
      </c>
      <c r="Y30" s="33">
        <v>19864.98</v>
      </c>
      <c r="Z30" s="30">
        <v>27</v>
      </c>
      <c r="AA30" s="31" t="s">
        <v>51</v>
      </c>
      <c r="AB30" s="37">
        <v>14</v>
      </c>
      <c r="AC30" s="33">
        <f t="shared" si="3"/>
        <v>1217.5885714285716</v>
      </c>
      <c r="AD30" s="33">
        <v>17046.240000000002</v>
      </c>
      <c r="AE30" s="30">
        <v>27</v>
      </c>
      <c r="AF30" s="31"/>
      <c r="AG30" s="37"/>
      <c r="AH30" s="33" t="e">
        <f t="shared" si="4"/>
        <v>#DIV/0!</v>
      </c>
      <c r="AI30" s="33"/>
      <c r="AJ30" s="30">
        <v>27</v>
      </c>
      <c r="AL30" s="39"/>
      <c r="AM30" s="33" t="e">
        <f t="shared" si="5"/>
        <v>#DIV/0!</v>
      </c>
      <c r="AO30" s="30">
        <v>27</v>
      </c>
      <c r="AP30" s="31"/>
      <c r="AQ30" s="39"/>
      <c r="AR30" s="33" t="e">
        <f t="shared" si="6"/>
        <v>#DIV/0!</v>
      </c>
      <c r="AS30" s="40"/>
      <c r="AT30" s="30">
        <v>27</v>
      </c>
      <c r="AU30" s="31"/>
      <c r="AV30" s="37"/>
      <c r="AW30" s="33" t="e">
        <f t="shared" si="7"/>
        <v>#DIV/0!</v>
      </c>
      <c r="AX30" s="33"/>
      <c r="AY30" s="30">
        <v>27</v>
      </c>
      <c r="AZ30" s="31"/>
      <c r="BA30" s="37"/>
      <c r="BB30" s="33" t="e">
        <f t="shared" si="8"/>
        <v>#DIV/0!</v>
      </c>
      <c r="BC30" s="33"/>
      <c r="BD30" s="30">
        <v>27</v>
      </c>
      <c r="BE30" s="31"/>
      <c r="BF30" s="37"/>
      <c r="BG30" s="33" t="e">
        <f t="shared" si="9"/>
        <v>#DIV/0!</v>
      </c>
      <c r="BH30" s="33"/>
      <c r="BI30" s="30">
        <v>27</v>
      </c>
      <c r="BJ30" s="31" t="s">
        <v>41</v>
      </c>
      <c r="BK30">
        <v>126</v>
      </c>
      <c r="BL30" s="33">
        <f t="shared" si="10"/>
        <v>1419.7765873015874</v>
      </c>
      <c r="BM30" s="41">
        <v>178891.85</v>
      </c>
      <c r="BN30" s="111">
        <f t="shared" si="14"/>
        <v>4.5273256440659694E-3</v>
      </c>
    </row>
    <row r="31" spans="1:66" x14ac:dyDescent="0.35">
      <c r="A31" s="30">
        <v>28</v>
      </c>
      <c r="B31" s="31" t="s">
        <v>41</v>
      </c>
      <c r="C31" s="32">
        <v>33</v>
      </c>
      <c r="D31" s="33">
        <f t="shared" si="11"/>
        <v>1423.9760606060606</v>
      </c>
      <c r="E31" s="32">
        <v>46991.21</v>
      </c>
      <c r="F31" s="34">
        <v>28</v>
      </c>
      <c r="G31" s="31" t="s">
        <v>41</v>
      </c>
      <c r="H31" s="35">
        <v>25</v>
      </c>
      <c r="I31" s="33">
        <f t="shared" si="12"/>
        <v>1863.8432</v>
      </c>
      <c r="J31" s="35">
        <v>46596.08</v>
      </c>
      <c r="K31" s="30">
        <v>28</v>
      </c>
      <c r="L31" s="31" t="s">
        <v>60</v>
      </c>
      <c r="M31" s="36">
        <v>17</v>
      </c>
      <c r="N31" s="33">
        <f t="shared" si="13"/>
        <v>1539.7658823529412</v>
      </c>
      <c r="O31" s="35">
        <v>26176.02</v>
      </c>
      <c r="P31" s="30">
        <v>28</v>
      </c>
      <c r="Q31" s="31" t="s">
        <v>52</v>
      </c>
      <c r="R31" s="37">
        <v>10</v>
      </c>
      <c r="S31" s="33">
        <f t="shared" si="0"/>
        <v>1189.4670000000001</v>
      </c>
      <c r="T31" s="33">
        <v>11894.67</v>
      </c>
      <c r="U31" s="30">
        <v>28</v>
      </c>
      <c r="V31" s="31" t="s">
        <v>53</v>
      </c>
      <c r="W31" s="37">
        <v>17</v>
      </c>
      <c r="X31" s="33">
        <f t="shared" si="2"/>
        <v>1081.2735294117647</v>
      </c>
      <c r="Y31" s="33">
        <v>18381.650000000001</v>
      </c>
      <c r="Z31" s="30">
        <v>28</v>
      </c>
      <c r="AA31" s="31" t="s">
        <v>48</v>
      </c>
      <c r="AB31" s="37">
        <v>14</v>
      </c>
      <c r="AC31" s="33">
        <f t="shared" si="3"/>
        <v>940.55642857142868</v>
      </c>
      <c r="AD31" s="33">
        <v>13167.79</v>
      </c>
      <c r="AE31" s="30">
        <v>28</v>
      </c>
      <c r="AF31" s="31"/>
      <c r="AG31" s="37"/>
      <c r="AH31" s="33" t="e">
        <f t="shared" si="4"/>
        <v>#DIV/0!</v>
      </c>
      <c r="AI31" s="33"/>
      <c r="AJ31" s="30">
        <v>28</v>
      </c>
      <c r="AL31" s="39"/>
      <c r="AM31" s="33" t="e">
        <f t="shared" si="5"/>
        <v>#DIV/0!</v>
      </c>
      <c r="AO31" s="30">
        <v>28</v>
      </c>
      <c r="AP31" s="31"/>
      <c r="AQ31" s="39"/>
      <c r="AR31" s="33" t="e">
        <f t="shared" si="6"/>
        <v>#DIV/0!</v>
      </c>
      <c r="AS31" s="40"/>
      <c r="AT31" s="30">
        <v>28</v>
      </c>
      <c r="AU31" s="31"/>
      <c r="AV31" s="37"/>
      <c r="AW31" s="33" t="e">
        <f t="shared" si="7"/>
        <v>#DIV/0!</v>
      </c>
      <c r="AX31" s="33"/>
      <c r="AY31" s="30">
        <v>28</v>
      </c>
      <c r="AZ31" s="31"/>
      <c r="BA31" s="37"/>
      <c r="BB31" s="33" t="e">
        <f t="shared" si="8"/>
        <v>#DIV/0!</v>
      </c>
      <c r="BC31" s="33"/>
      <c r="BD31" s="30">
        <v>28</v>
      </c>
      <c r="BE31" s="31"/>
      <c r="BF31" s="37"/>
      <c r="BG31" s="33" t="e">
        <f t="shared" si="9"/>
        <v>#DIV/0!</v>
      </c>
      <c r="BH31" s="33"/>
      <c r="BI31" s="30">
        <v>28</v>
      </c>
      <c r="BJ31" s="38" t="s">
        <v>44</v>
      </c>
      <c r="BK31">
        <v>99</v>
      </c>
      <c r="BL31" s="33">
        <f t="shared" si="10"/>
        <v>1486.1010101010102</v>
      </c>
      <c r="BM31" s="40">
        <v>147124</v>
      </c>
      <c r="BN31" s="111">
        <f t="shared" si="14"/>
        <v>3.557184434623262E-3</v>
      </c>
    </row>
    <row r="32" spans="1:66" x14ac:dyDescent="0.35">
      <c r="A32" s="30">
        <v>29</v>
      </c>
      <c r="B32" s="31" t="s">
        <v>44</v>
      </c>
      <c r="C32" s="32">
        <v>31</v>
      </c>
      <c r="D32" s="33">
        <f t="shared" si="11"/>
        <v>1509.2058064516127</v>
      </c>
      <c r="E32" s="32">
        <v>46785.38</v>
      </c>
      <c r="F32" s="34">
        <v>29</v>
      </c>
      <c r="G32" s="31" t="s">
        <v>58</v>
      </c>
      <c r="H32" s="35">
        <v>19</v>
      </c>
      <c r="I32" s="33">
        <f t="shared" si="12"/>
        <v>1768.7115789473683</v>
      </c>
      <c r="J32" s="35">
        <v>33605.519999999997</v>
      </c>
      <c r="K32" s="30">
        <v>29</v>
      </c>
      <c r="L32" s="31" t="s">
        <v>92</v>
      </c>
      <c r="M32" s="36">
        <v>16</v>
      </c>
      <c r="N32" s="33">
        <f t="shared" si="13"/>
        <v>1408.70875</v>
      </c>
      <c r="O32" s="35">
        <v>22539.34</v>
      </c>
      <c r="P32" s="30">
        <v>29</v>
      </c>
      <c r="Q32" s="31" t="s">
        <v>34</v>
      </c>
      <c r="R32" s="37">
        <v>9</v>
      </c>
      <c r="S32" s="33">
        <f t="shared" si="0"/>
        <v>1701.7133333333334</v>
      </c>
      <c r="T32" s="33">
        <v>15315.42</v>
      </c>
      <c r="U32" s="30">
        <v>29</v>
      </c>
      <c r="V32" s="31" t="s">
        <v>46</v>
      </c>
      <c r="W32" s="37">
        <v>16</v>
      </c>
      <c r="X32" s="33">
        <f t="shared" si="2"/>
        <v>1200.1412499999999</v>
      </c>
      <c r="Y32" s="33">
        <v>19202.259999999998</v>
      </c>
      <c r="Z32" s="30">
        <v>29</v>
      </c>
      <c r="AA32" s="31" t="s">
        <v>54</v>
      </c>
      <c r="AB32" s="37">
        <v>12</v>
      </c>
      <c r="AC32" s="33">
        <f t="shared" si="3"/>
        <v>1416.6358333333335</v>
      </c>
      <c r="AD32" s="33">
        <v>16999.63</v>
      </c>
      <c r="AE32" s="30">
        <v>29</v>
      </c>
      <c r="AF32" s="31"/>
      <c r="AG32" s="37"/>
      <c r="AH32" s="33" t="e">
        <f t="shared" si="4"/>
        <v>#DIV/0!</v>
      </c>
      <c r="AI32" s="33"/>
      <c r="AJ32" s="30">
        <v>29</v>
      </c>
      <c r="AL32" s="39"/>
      <c r="AM32" s="33" t="e">
        <f t="shared" si="5"/>
        <v>#DIV/0!</v>
      </c>
      <c r="AO32" s="30">
        <v>29</v>
      </c>
      <c r="AP32" s="31"/>
      <c r="AQ32" s="39"/>
      <c r="AR32" s="33" t="e">
        <f t="shared" si="6"/>
        <v>#DIV/0!</v>
      </c>
      <c r="AS32" s="40"/>
      <c r="AT32" s="30">
        <v>29</v>
      </c>
      <c r="AU32" s="31"/>
      <c r="AV32" s="37"/>
      <c r="AW32" s="33" t="e">
        <f t="shared" si="7"/>
        <v>#DIV/0!</v>
      </c>
      <c r="AX32" s="33"/>
      <c r="AY32" s="30">
        <v>29</v>
      </c>
      <c r="AZ32" s="31"/>
      <c r="BA32" s="37"/>
      <c r="BB32" s="33" t="e">
        <f t="shared" si="8"/>
        <v>#DIV/0!</v>
      </c>
      <c r="BC32" s="33"/>
      <c r="BD32" s="30">
        <v>29</v>
      </c>
      <c r="BE32" s="31"/>
      <c r="BF32" s="37"/>
      <c r="BG32" s="33" t="e">
        <f t="shared" si="9"/>
        <v>#DIV/0!</v>
      </c>
      <c r="BH32" s="33"/>
      <c r="BI32" s="30">
        <v>29</v>
      </c>
      <c r="BJ32" s="38" t="s">
        <v>54</v>
      </c>
      <c r="BK32">
        <v>86</v>
      </c>
      <c r="BL32" s="33">
        <f t="shared" si="10"/>
        <v>1358.2245348837209</v>
      </c>
      <c r="BM32" s="40">
        <v>116807.31</v>
      </c>
      <c r="BN32" s="111">
        <f t="shared" si="14"/>
        <v>3.0900794078545508E-3</v>
      </c>
    </row>
    <row r="33" spans="1:66" x14ac:dyDescent="0.35">
      <c r="A33" s="30">
        <v>30</v>
      </c>
      <c r="B33" s="31" t="s">
        <v>49</v>
      </c>
      <c r="C33" s="32">
        <v>28</v>
      </c>
      <c r="D33" s="33">
        <f t="shared" si="11"/>
        <v>2048.0510714285715</v>
      </c>
      <c r="E33" s="32">
        <v>57345.43</v>
      </c>
      <c r="F33" s="34">
        <v>30</v>
      </c>
      <c r="G33" s="31" t="s">
        <v>55</v>
      </c>
      <c r="H33" s="35">
        <v>18</v>
      </c>
      <c r="I33" s="33">
        <f t="shared" si="12"/>
        <v>1503.4483333333333</v>
      </c>
      <c r="J33" s="35">
        <v>27062.07</v>
      </c>
      <c r="K33" s="30">
        <v>30</v>
      </c>
      <c r="L33" s="31" t="s">
        <v>55</v>
      </c>
      <c r="M33" s="36">
        <v>15</v>
      </c>
      <c r="N33" s="33">
        <f t="shared" si="13"/>
        <v>1517.4713333333334</v>
      </c>
      <c r="O33" s="35">
        <v>22762.07</v>
      </c>
      <c r="P33" s="30">
        <v>30</v>
      </c>
      <c r="Q33" s="31" t="s">
        <v>46</v>
      </c>
      <c r="R33" s="37">
        <v>8</v>
      </c>
      <c r="S33" s="33">
        <f t="shared" si="0"/>
        <v>1493.1575</v>
      </c>
      <c r="T33" s="33">
        <v>11945.26</v>
      </c>
      <c r="U33" s="30">
        <v>30</v>
      </c>
      <c r="V33" s="31" t="s">
        <v>55</v>
      </c>
      <c r="W33" s="37">
        <v>15</v>
      </c>
      <c r="X33" s="33">
        <f t="shared" si="2"/>
        <v>1257.4746666666665</v>
      </c>
      <c r="Y33" s="33">
        <v>18862.12</v>
      </c>
      <c r="Z33" s="30">
        <v>30</v>
      </c>
      <c r="AA33" s="31" t="s">
        <v>41</v>
      </c>
      <c r="AB33" s="37">
        <v>11</v>
      </c>
      <c r="AC33" s="33">
        <f t="shared" si="3"/>
        <v>1084.580909090909</v>
      </c>
      <c r="AD33" s="33">
        <v>11930.39</v>
      </c>
      <c r="AE33" s="30">
        <v>30</v>
      </c>
      <c r="AF33" s="31"/>
      <c r="AG33" s="37"/>
      <c r="AH33" s="33" t="e">
        <f t="shared" si="4"/>
        <v>#DIV/0!</v>
      </c>
      <c r="AI33" s="33"/>
      <c r="AJ33" s="30">
        <v>30</v>
      </c>
      <c r="AL33" s="39"/>
      <c r="AM33" s="33" t="e">
        <f t="shared" si="5"/>
        <v>#DIV/0!</v>
      </c>
      <c r="AO33" s="30">
        <v>30</v>
      </c>
      <c r="AP33" s="31"/>
      <c r="AQ33" s="39"/>
      <c r="AR33" s="33" t="e">
        <f t="shared" si="6"/>
        <v>#DIV/0!</v>
      </c>
      <c r="AS33" s="40"/>
      <c r="AT33" s="30">
        <v>30</v>
      </c>
      <c r="AU33" s="31"/>
      <c r="AV33" s="37"/>
      <c r="AW33" s="33" t="e">
        <f t="shared" si="7"/>
        <v>#DIV/0!</v>
      </c>
      <c r="AX33" s="33"/>
      <c r="AY33" s="30">
        <v>30</v>
      </c>
      <c r="AZ33" s="31"/>
      <c r="BA33" s="37"/>
      <c r="BB33" s="33" t="e">
        <f t="shared" si="8"/>
        <v>#DIV/0!</v>
      </c>
      <c r="BC33" s="33"/>
      <c r="BD33" s="30">
        <v>30</v>
      </c>
      <c r="BE33" s="31"/>
      <c r="BF33" s="37"/>
      <c r="BG33" s="33" t="e">
        <f t="shared" si="9"/>
        <v>#DIV/0!</v>
      </c>
      <c r="BH33" s="33"/>
      <c r="BI33" s="30">
        <v>30</v>
      </c>
      <c r="BJ33" s="31" t="s">
        <v>56</v>
      </c>
      <c r="BK33">
        <v>81</v>
      </c>
      <c r="BL33" s="33">
        <f t="shared" si="10"/>
        <v>1470.8751851851853</v>
      </c>
      <c r="BM33" s="41">
        <v>119140.89</v>
      </c>
      <c r="BN33" s="111">
        <f t="shared" si="14"/>
        <v>2.9104236283281231E-3</v>
      </c>
    </row>
    <row r="34" spans="1:66" x14ac:dyDescent="0.35">
      <c r="A34" s="30">
        <v>31</v>
      </c>
      <c r="B34" s="31" t="s">
        <v>54</v>
      </c>
      <c r="C34" s="32">
        <v>27</v>
      </c>
      <c r="D34" s="33">
        <f t="shared" si="11"/>
        <v>1340.1796296296295</v>
      </c>
      <c r="E34" s="32">
        <v>36184.85</v>
      </c>
      <c r="F34" s="34">
        <v>31</v>
      </c>
      <c r="G34" s="31" t="s">
        <v>35</v>
      </c>
      <c r="H34" s="35">
        <v>18</v>
      </c>
      <c r="I34" s="33">
        <f t="shared" si="12"/>
        <v>1851.6483333333333</v>
      </c>
      <c r="J34" s="35">
        <v>33329.67</v>
      </c>
      <c r="K34" s="30">
        <v>31</v>
      </c>
      <c r="L34" s="31" t="s">
        <v>46</v>
      </c>
      <c r="M34" s="36">
        <v>13</v>
      </c>
      <c r="N34" s="33">
        <f t="shared" si="13"/>
        <v>1423.9015384615386</v>
      </c>
      <c r="O34" s="35">
        <v>18510.72</v>
      </c>
      <c r="P34" s="30">
        <v>31</v>
      </c>
      <c r="Q34" s="31" t="s">
        <v>44</v>
      </c>
      <c r="R34" s="37">
        <v>7</v>
      </c>
      <c r="S34" s="33">
        <f t="shared" si="0"/>
        <v>1929.27</v>
      </c>
      <c r="T34" s="33">
        <v>13504.89</v>
      </c>
      <c r="U34" s="30">
        <v>31</v>
      </c>
      <c r="V34" s="31" t="s">
        <v>57</v>
      </c>
      <c r="W34" s="37">
        <v>11</v>
      </c>
      <c r="X34" s="33">
        <f t="shared" si="2"/>
        <v>1225.9045454545455</v>
      </c>
      <c r="Y34" s="33">
        <v>13484.95</v>
      </c>
      <c r="Z34" s="30">
        <v>31</v>
      </c>
      <c r="AA34" s="31" t="s">
        <v>33</v>
      </c>
      <c r="AB34" s="37">
        <v>10</v>
      </c>
      <c r="AC34" s="33">
        <f t="shared" si="3"/>
        <v>1125.06</v>
      </c>
      <c r="AD34" s="33">
        <v>11250.6</v>
      </c>
      <c r="AE34" s="30">
        <v>31</v>
      </c>
      <c r="AF34" s="31"/>
      <c r="AG34" s="37"/>
      <c r="AH34" s="33" t="e">
        <f t="shared" si="4"/>
        <v>#DIV/0!</v>
      </c>
      <c r="AI34" s="33"/>
      <c r="AJ34" s="30">
        <v>31</v>
      </c>
      <c r="AL34" s="39"/>
      <c r="AM34" s="33" t="e">
        <f t="shared" si="5"/>
        <v>#DIV/0!</v>
      </c>
      <c r="AO34" s="30">
        <v>31</v>
      </c>
      <c r="AP34" s="31"/>
      <c r="AQ34" s="39"/>
      <c r="AR34" s="33" t="e">
        <f t="shared" si="6"/>
        <v>#DIV/0!</v>
      </c>
      <c r="AS34" s="40"/>
      <c r="AT34" s="30">
        <v>31</v>
      </c>
      <c r="AU34" s="31"/>
      <c r="AV34" s="37"/>
      <c r="AW34" s="33" t="e">
        <f t="shared" si="7"/>
        <v>#DIV/0!</v>
      </c>
      <c r="AX34" s="33"/>
      <c r="AY34" s="30">
        <v>31</v>
      </c>
      <c r="AZ34" s="31"/>
      <c r="BA34" s="37"/>
      <c r="BB34" s="33" t="e">
        <f t="shared" si="8"/>
        <v>#DIV/0!</v>
      </c>
      <c r="BC34" s="33"/>
      <c r="BD34" s="30">
        <v>31</v>
      </c>
      <c r="BE34" s="31"/>
      <c r="BF34" s="37"/>
      <c r="BG34" s="33" t="e">
        <f t="shared" si="9"/>
        <v>#DIV/0!</v>
      </c>
      <c r="BH34" s="33"/>
      <c r="BI34" s="30">
        <v>31</v>
      </c>
      <c r="BJ34" s="38" t="s">
        <v>58</v>
      </c>
      <c r="BK34">
        <v>76</v>
      </c>
      <c r="BL34" s="33">
        <f t="shared" si="10"/>
        <v>1628.395657894737</v>
      </c>
      <c r="BM34" s="40">
        <v>123758.07</v>
      </c>
      <c r="BN34" s="111">
        <f t="shared" si="14"/>
        <v>2.7307678488016959E-3</v>
      </c>
    </row>
    <row r="35" spans="1:66" x14ac:dyDescent="0.35">
      <c r="A35" s="30">
        <v>32</v>
      </c>
      <c r="B35" s="31" t="s">
        <v>68</v>
      </c>
      <c r="C35" s="32">
        <v>24</v>
      </c>
      <c r="D35" s="33">
        <f t="shared" si="11"/>
        <v>1356.7662499999999</v>
      </c>
      <c r="E35" s="32">
        <v>32562.39</v>
      </c>
      <c r="F35" s="34">
        <v>32</v>
      </c>
      <c r="G35" s="31" t="s">
        <v>71</v>
      </c>
      <c r="H35" s="35">
        <v>16</v>
      </c>
      <c r="I35" s="33">
        <f t="shared" si="12"/>
        <v>1922.0181250000001</v>
      </c>
      <c r="J35" s="35">
        <v>30752.29</v>
      </c>
      <c r="K35" s="30">
        <v>32</v>
      </c>
      <c r="L35" s="31" t="s">
        <v>50</v>
      </c>
      <c r="M35" s="36">
        <v>13</v>
      </c>
      <c r="N35" s="33">
        <f t="shared" si="13"/>
        <v>1650.9253846153845</v>
      </c>
      <c r="O35" s="35">
        <v>21462.03</v>
      </c>
      <c r="P35" s="30">
        <v>32</v>
      </c>
      <c r="Q35" s="31" t="s">
        <v>59</v>
      </c>
      <c r="R35" s="37">
        <v>6</v>
      </c>
      <c r="S35" s="33">
        <f t="shared" si="0"/>
        <v>1378.5366666666666</v>
      </c>
      <c r="T35" s="33">
        <v>8271.2199999999993</v>
      </c>
      <c r="U35" s="30">
        <v>32</v>
      </c>
      <c r="V35" s="31" t="s">
        <v>42</v>
      </c>
      <c r="W35" s="37">
        <v>11</v>
      </c>
      <c r="X35" s="33">
        <f t="shared" si="2"/>
        <v>1225.5118181818182</v>
      </c>
      <c r="Y35" s="33">
        <v>13480.63</v>
      </c>
      <c r="Z35" s="30">
        <v>32</v>
      </c>
      <c r="AA35" s="31" t="s">
        <v>58</v>
      </c>
      <c r="AB35" s="37">
        <v>10</v>
      </c>
      <c r="AC35" s="33">
        <f t="shared" si="3"/>
        <v>1188.326</v>
      </c>
      <c r="AD35" s="33">
        <v>11883.26</v>
      </c>
      <c r="AE35" s="30">
        <v>32</v>
      </c>
      <c r="AF35" s="31"/>
      <c r="AG35" s="37"/>
      <c r="AH35" s="33" t="e">
        <f t="shared" si="4"/>
        <v>#DIV/0!</v>
      </c>
      <c r="AI35" s="33"/>
      <c r="AJ35" s="30">
        <v>32</v>
      </c>
      <c r="AL35" s="39"/>
      <c r="AM35" s="33" t="e">
        <f t="shared" si="5"/>
        <v>#DIV/0!</v>
      </c>
      <c r="AO35" s="30">
        <v>32</v>
      </c>
      <c r="AP35" s="31"/>
      <c r="AQ35" s="39"/>
      <c r="AR35" s="33" t="e">
        <f t="shared" si="6"/>
        <v>#DIV/0!</v>
      </c>
      <c r="AS35" s="40"/>
      <c r="AT35" s="30">
        <v>32</v>
      </c>
      <c r="AU35" s="31"/>
      <c r="AV35" s="37"/>
      <c r="AW35" s="33" t="e">
        <f t="shared" si="7"/>
        <v>#DIV/0!</v>
      </c>
      <c r="AX35" s="33"/>
      <c r="AY35" s="30">
        <v>32</v>
      </c>
      <c r="AZ35" s="31"/>
      <c r="BA35" s="37"/>
      <c r="BB35" s="33" t="e">
        <f t="shared" si="8"/>
        <v>#DIV/0!</v>
      </c>
      <c r="BC35" s="33"/>
      <c r="BD35" s="30">
        <v>32</v>
      </c>
      <c r="BE35" s="31"/>
      <c r="BF35" s="37"/>
      <c r="BG35" s="33" t="e">
        <f t="shared" si="9"/>
        <v>#DIV/0!</v>
      </c>
      <c r="BH35" s="33"/>
      <c r="BI35" s="30">
        <v>32</v>
      </c>
      <c r="BJ35" s="38" t="s">
        <v>49</v>
      </c>
      <c r="BK35">
        <v>72</v>
      </c>
      <c r="BL35" s="33">
        <f t="shared" si="10"/>
        <v>1696.4961111111111</v>
      </c>
      <c r="BM35" s="40">
        <v>122147.72</v>
      </c>
      <c r="BN35" s="111">
        <f t="shared" si="14"/>
        <v>2.5870432251805541E-3</v>
      </c>
    </row>
    <row r="36" spans="1:66" x14ac:dyDescent="0.35">
      <c r="A36" s="30">
        <v>33</v>
      </c>
      <c r="B36" s="31" t="s">
        <v>70</v>
      </c>
      <c r="C36" s="32">
        <v>21</v>
      </c>
      <c r="D36" s="33">
        <f t="shared" si="11"/>
        <v>1528.2552380952382</v>
      </c>
      <c r="E36" s="32">
        <v>32093.360000000001</v>
      </c>
      <c r="F36" s="34">
        <v>33</v>
      </c>
      <c r="G36" s="31" t="s">
        <v>56</v>
      </c>
      <c r="H36" s="35">
        <v>14</v>
      </c>
      <c r="I36" s="33">
        <f t="shared" si="12"/>
        <v>1700.3735714285715</v>
      </c>
      <c r="J36" s="35">
        <v>23805.23</v>
      </c>
      <c r="K36" s="30">
        <v>33</v>
      </c>
      <c r="L36" s="31" t="s">
        <v>28</v>
      </c>
      <c r="M36" s="36">
        <v>12</v>
      </c>
      <c r="N36" s="33">
        <f t="shared" si="13"/>
        <v>1274.4750000000001</v>
      </c>
      <c r="O36" s="35">
        <v>15293.7</v>
      </c>
      <c r="P36" s="30">
        <v>33</v>
      </c>
      <c r="Q36" s="31" t="s">
        <v>48</v>
      </c>
      <c r="R36" s="37">
        <v>6</v>
      </c>
      <c r="S36" s="33">
        <f t="shared" si="0"/>
        <v>1481.36</v>
      </c>
      <c r="T36" s="33">
        <v>8888.16</v>
      </c>
      <c r="U36" s="30">
        <v>33</v>
      </c>
      <c r="V36" s="38" t="s">
        <v>50</v>
      </c>
      <c r="W36" s="2">
        <v>10</v>
      </c>
      <c r="X36" s="33">
        <f t="shared" si="2"/>
        <v>1518.75</v>
      </c>
      <c r="Y36" s="38">
        <v>15187.5</v>
      </c>
      <c r="Z36" s="30">
        <v>33</v>
      </c>
      <c r="AA36" s="31" t="s">
        <v>56</v>
      </c>
      <c r="AB36" s="37">
        <v>9</v>
      </c>
      <c r="AC36" s="33">
        <f t="shared" si="3"/>
        <v>980.61888888888882</v>
      </c>
      <c r="AD36" s="33">
        <v>8825.57</v>
      </c>
      <c r="AE36" s="30">
        <v>33</v>
      </c>
      <c r="AH36" s="33" t="e">
        <f t="shared" si="4"/>
        <v>#DIV/0!</v>
      </c>
      <c r="AJ36" s="30">
        <v>33</v>
      </c>
      <c r="AL36" s="39"/>
      <c r="AM36" s="33" t="e">
        <f t="shared" si="5"/>
        <v>#DIV/0!</v>
      </c>
      <c r="AO36" s="30">
        <v>33</v>
      </c>
      <c r="AP36" s="31"/>
      <c r="AQ36" s="39"/>
      <c r="AR36" s="33" t="e">
        <f t="shared" si="6"/>
        <v>#DIV/0!</v>
      </c>
      <c r="AS36" s="40"/>
      <c r="AT36" s="30">
        <v>33</v>
      </c>
      <c r="AU36" s="31"/>
      <c r="AV36" s="37"/>
      <c r="AW36" s="33" t="e">
        <f t="shared" si="7"/>
        <v>#DIV/0!</v>
      </c>
      <c r="AX36" s="33"/>
      <c r="AY36" s="30">
        <v>33</v>
      </c>
      <c r="AZ36" s="31"/>
      <c r="BA36" s="37"/>
      <c r="BB36" s="33" t="e">
        <f t="shared" si="8"/>
        <v>#DIV/0!</v>
      </c>
      <c r="BC36" s="33"/>
      <c r="BD36" s="30">
        <v>33</v>
      </c>
      <c r="BE36" s="31"/>
      <c r="BF36" s="37"/>
      <c r="BG36" s="33" t="e">
        <f t="shared" si="9"/>
        <v>#DIV/0!</v>
      </c>
      <c r="BH36" s="33"/>
      <c r="BI36" s="30">
        <v>33</v>
      </c>
      <c r="BJ36" s="31" t="s">
        <v>60</v>
      </c>
      <c r="BK36">
        <v>63</v>
      </c>
      <c r="BL36" s="33">
        <f t="shared" si="10"/>
        <v>1512.034603174603</v>
      </c>
      <c r="BM36" s="41">
        <v>95258.18</v>
      </c>
      <c r="BN36" s="111">
        <f t="shared" si="14"/>
        <v>2.2636628220329847E-3</v>
      </c>
    </row>
    <row r="37" spans="1:66" x14ac:dyDescent="0.35">
      <c r="A37" s="30">
        <v>34</v>
      </c>
      <c r="B37" s="38" t="s">
        <v>18</v>
      </c>
      <c r="C37" s="32">
        <v>19</v>
      </c>
      <c r="D37" s="33">
        <f t="shared" si="11"/>
        <v>1370.4142105263156</v>
      </c>
      <c r="E37" s="32">
        <v>26037.87</v>
      </c>
      <c r="F37" s="34">
        <v>34</v>
      </c>
      <c r="G37" s="31" t="s">
        <v>48</v>
      </c>
      <c r="H37" s="35">
        <v>14</v>
      </c>
      <c r="I37" s="33">
        <f t="shared" si="12"/>
        <v>1450.6264285714285</v>
      </c>
      <c r="J37" s="35">
        <v>20308.77</v>
      </c>
      <c r="K37" s="30">
        <v>34</v>
      </c>
      <c r="L37" s="31" t="s">
        <v>18</v>
      </c>
      <c r="M37" s="36">
        <v>12</v>
      </c>
      <c r="N37" s="33">
        <f t="shared" si="13"/>
        <v>1219.0358333333334</v>
      </c>
      <c r="O37" s="35">
        <v>14628.43</v>
      </c>
      <c r="P37" s="30">
        <v>34</v>
      </c>
      <c r="Q37" s="31" t="s">
        <v>54</v>
      </c>
      <c r="R37" s="37">
        <v>5</v>
      </c>
      <c r="S37" s="33">
        <f t="shared" si="0"/>
        <v>1306.596</v>
      </c>
      <c r="T37" s="33">
        <v>6532.98</v>
      </c>
      <c r="U37" s="30">
        <v>34</v>
      </c>
      <c r="V37" s="38" t="s">
        <v>56</v>
      </c>
      <c r="W37" s="2">
        <v>9</v>
      </c>
      <c r="X37" s="33">
        <f t="shared" si="2"/>
        <v>1105.2666666666667</v>
      </c>
      <c r="Y37" s="38">
        <v>9947.4</v>
      </c>
      <c r="Z37" s="30">
        <v>34</v>
      </c>
      <c r="AA37" s="38" t="s">
        <v>61</v>
      </c>
      <c r="AB37" s="37">
        <v>8</v>
      </c>
      <c r="AC37" s="33">
        <f t="shared" si="3"/>
        <v>1145.2075</v>
      </c>
      <c r="AD37" s="33">
        <v>9161.66</v>
      </c>
      <c r="AE37" s="30">
        <v>34</v>
      </c>
      <c r="AH37" s="33" t="e">
        <f t="shared" si="4"/>
        <v>#DIV/0!</v>
      </c>
      <c r="AJ37" s="30">
        <v>34</v>
      </c>
      <c r="AL37" s="39"/>
      <c r="AM37" s="33" t="e">
        <f t="shared" si="5"/>
        <v>#DIV/0!</v>
      </c>
      <c r="AO37" s="30">
        <v>34</v>
      </c>
      <c r="AP37" s="31"/>
      <c r="AQ37" s="39"/>
      <c r="AR37" s="33" t="e">
        <f t="shared" si="6"/>
        <v>#DIV/0!</v>
      </c>
      <c r="AS37" s="40"/>
      <c r="AT37" s="30">
        <v>34</v>
      </c>
      <c r="AU37" s="31"/>
      <c r="AV37" s="37"/>
      <c r="AW37" s="33" t="e">
        <f t="shared" si="7"/>
        <v>#DIV/0!</v>
      </c>
      <c r="AX37" s="33"/>
      <c r="AY37" s="30">
        <v>34</v>
      </c>
      <c r="AZ37" s="31"/>
      <c r="BA37" s="37"/>
      <c r="BB37" s="33" t="e">
        <f t="shared" si="8"/>
        <v>#DIV/0!</v>
      </c>
      <c r="BC37" s="33"/>
      <c r="BD37" s="30">
        <v>34</v>
      </c>
      <c r="BE37" s="31"/>
      <c r="BF37" s="37"/>
      <c r="BG37" s="33" t="e">
        <f t="shared" si="9"/>
        <v>#DIV/0!</v>
      </c>
      <c r="BH37" s="33"/>
      <c r="BI37" s="30">
        <v>34</v>
      </c>
      <c r="BJ37" s="31" t="s">
        <v>48</v>
      </c>
      <c r="BK37">
        <v>63</v>
      </c>
      <c r="BL37" s="33">
        <f t="shared" si="10"/>
        <v>1253.1750793650795</v>
      </c>
      <c r="BM37" s="41">
        <v>78950.03</v>
      </c>
      <c r="BN37" s="111">
        <f t="shared" si="14"/>
        <v>2.2636628220329847E-3</v>
      </c>
    </row>
    <row r="38" spans="1:66" x14ac:dyDescent="0.35">
      <c r="A38" s="30">
        <v>35</v>
      </c>
      <c r="B38" s="31" t="s">
        <v>77</v>
      </c>
      <c r="C38" s="32">
        <v>18</v>
      </c>
      <c r="D38" s="33">
        <f t="shared" si="11"/>
        <v>1641.7044444444446</v>
      </c>
      <c r="E38" s="32">
        <v>29550.68</v>
      </c>
      <c r="F38" s="34">
        <v>35</v>
      </c>
      <c r="G38" s="38" t="s">
        <v>46</v>
      </c>
      <c r="H38" s="38">
        <v>13</v>
      </c>
      <c r="I38" s="33">
        <f t="shared" si="12"/>
        <v>1744.3953846153845</v>
      </c>
      <c r="J38" s="38">
        <v>22677.14</v>
      </c>
      <c r="K38" s="30">
        <v>35</v>
      </c>
      <c r="L38" s="31" t="s">
        <v>44</v>
      </c>
      <c r="M38" s="36">
        <v>11</v>
      </c>
      <c r="N38" s="33">
        <f t="shared" si="13"/>
        <v>1545.0845454545454</v>
      </c>
      <c r="O38" s="35">
        <v>16995.93</v>
      </c>
      <c r="P38" s="30">
        <v>35</v>
      </c>
      <c r="Q38" s="31" t="s">
        <v>62</v>
      </c>
      <c r="R38" s="37">
        <v>5</v>
      </c>
      <c r="S38" s="33">
        <f t="shared" si="0"/>
        <v>1493.8200000000002</v>
      </c>
      <c r="T38" s="33">
        <v>7469.1</v>
      </c>
      <c r="U38" s="30">
        <v>35</v>
      </c>
      <c r="V38" s="38" t="s">
        <v>28</v>
      </c>
      <c r="W38" s="2">
        <v>8</v>
      </c>
      <c r="X38" s="33">
        <f t="shared" si="2"/>
        <v>1124.8225</v>
      </c>
      <c r="Y38" s="38">
        <v>8998.58</v>
      </c>
      <c r="Z38" s="30">
        <v>35</v>
      </c>
      <c r="AA38" s="38" t="s">
        <v>63</v>
      </c>
      <c r="AB38" s="2">
        <v>7</v>
      </c>
      <c r="AC38" s="33">
        <f t="shared" si="3"/>
        <v>997.33714285714279</v>
      </c>
      <c r="AD38" s="38">
        <v>6981.36</v>
      </c>
      <c r="AE38" s="30">
        <v>35</v>
      </c>
      <c r="AH38" s="33" t="e">
        <f t="shared" si="4"/>
        <v>#DIV/0!</v>
      </c>
      <c r="AJ38" s="30">
        <v>35</v>
      </c>
      <c r="AL38" s="39"/>
      <c r="AM38" s="33" t="e">
        <f t="shared" si="5"/>
        <v>#DIV/0!</v>
      </c>
      <c r="AO38" s="30">
        <v>35</v>
      </c>
      <c r="AQ38" s="39"/>
      <c r="AR38" s="33" t="e">
        <f t="shared" si="6"/>
        <v>#DIV/0!</v>
      </c>
      <c r="AS38" s="40"/>
      <c r="AT38" s="30">
        <v>35</v>
      </c>
      <c r="AW38" s="33" t="e">
        <f t="shared" si="7"/>
        <v>#DIV/0!</v>
      </c>
      <c r="AY38" s="30">
        <v>35</v>
      </c>
      <c r="BB38" s="33" t="e">
        <f t="shared" si="8"/>
        <v>#DIV/0!</v>
      </c>
      <c r="BD38" s="30">
        <v>35</v>
      </c>
      <c r="BG38" s="33" t="e">
        <f t="shared" si="9"/>
        <v>#DIV/0!</v>
      </c>
      <c r="BI38" s="30">
        <v>35</v>
      </c>
      <c r="BJ38" s="38" t="s">
        <v>55</v>
      </c>
      <c r="BK38">
        <v>61</v>
      </c>
      <c r="BL38" s="33">
        <f t="shared" si="10"/>
        <v>1526.7877049180329</v>
      </c>
      <c r="BM38" s="41">
        <v>93134.05</v>
      </c>
      <c r="BN38" s="111">
        <f t="shared" si="14"/>
        <v>2.1918005102224141E-3</v>
      </c>
    </row>
    <row r="39" spans="1:66" x14ac:dyDescent="0.35">
      <c r="A39" s="30">
        <v>36</v>
      </c>
      <c r="B39" s="31" t="s">
        <v>73</v>
      </c>
      <c r="C39" s="32">
        <v>16</v>
      </c>
      <c r="D39" s="33">
        <f t="shared" si="11"/>
        <v>1489.5875000000001</v>
      </c>
      <c r="E39" s="32">
        <v>23833.4</v>
      </c>
      <c r="F39" s="34">
        <v>36</v>
      </c>
      <c r="G39" s="38" t="s">
        <v>91</v>
      </c>
      <c r="H39" s="38">
        <v>12</v>
      </c>
      <c r="I39" s="33">
        <f t="shared" si="12"/>
        <v>1692.0200000000002</v>
      </c>
      <c r="J39" s="38">
        <v>20304.240000000002</v>
      </c>
      <c r="K39" s="30">
        <v>36</v>
      </c>
      <c r="L39" s="31" t="s">
        <v>72</v>
      </c>
      <c r="M39" s="36">
        <v>11</v>
      </c>
      <c r="N39" s="33">
        <f t="shared" si="13"/>
        <v>1532.7009090909089</v>
      </c>
      <c r="O39" s="35">
        <v>16859.71</v>
      </c>
      <c r="P39" s="30">
        <v>36</v>
      </c>
      <c r="Q39" s="31" t="s">
        <v>64</v>
      </c>
      <c r="R39" s="37">
        <v>5</v>
      </c>
      <c r="S39" s="33">
        <f t="shared" si="0"/>
        <v>2303.9960000000001</v>
      </c>
      <c r="T39" s="33">
        <v>11519.98</v>
      </c>
      <c r="U39" s="30">
        <v>36</v>
      </c>
      <c r="V39" s="38" t="s">
        <v>54</v>
      </c>
      <c r="W39" s="2">
        <v>7</v>
      </c>
      <c r="X39" s="33">
        <f t="shared" si="2"/>
        <v>1024.0742857142857</v>
      </c>
      <c r="Y39" s="38">
        <v>7168.52</v>
      </c>
      <c r="Z39" s="30">
        <v>36</v>
      </c>
      <c r="AA39" s="38" t="s">
        <v>65</v>
      </c>
      <c r="AB39" s="2">
        <v>7</v>
      </c>
      <c r="AC39" s="33">
        <f t="shared" si="3"/>
        <v>1005.0357142857143</v>
      </c>
      <c r="AD39" s="38">
        <v>7035.25</v>
      </c>
      <c r="AE39" s="30">
        <v>36</v>
      </c>
      <c r="AH39" s="33" t="e">
        <f t="shared" si="4"/>
        <v>#DIV/0!</v>
      </c>
      <c r="AJ39" s="30">
        <v>36</v>
      </c>
      <c r="AL39" s="39"/>
      <c r="AM39" s="33" t="e">
        <f t="shared" si="5"/>
        <v>#DIV/0!</v>
      </c>
      <c r="AO39" s="30">
        <v>36</v>
      </c>
      <c r="AQ39" s="39"/>
      <c r="AR39" s="33" t="e">
        <f t="shared" si="6"/>
        <v>#DIV/0!</v>
      </c>
      <c r="AS39" s="40"/>
      <c r="AT39" s="30">
        <v>36</v>
      </c>
      <c r="AW39" s="33" t="e">
        <f t="shared" si="7"/>
        <v>#DIV/0!</v>
      </c>
      <c r="AY39" s="30">
        <v>36</v>
      </c>
      <c r="BB39" s="33" t="e">
        <f t="shared" si="8"/>
        <v>#DIV/0!</v>
      </c>
      <c r="BD39" s="30">
        <v>36</v>
      </c>
      <c r="BG39" s="33" t="e">
        <f t="shared" si="9"/>
        <v>#DIV/0!</v>
      </c>
      <c r="BI39" s="30">
        <v>36</v>
      </c>
      <c r="BJ39" s="38" t="s">
        <v>66</v>
      </c>
      <c r="BK39">
        <v>61</v>
      </c>
      <c r="BL39" s="33">
        <f t="shared" si="10"/>
        <v>1174.4513114754097</v>
      </c>
      <c r="BM39" s="40">
        <v>71641.53</v>
      </c>
      <c r="BN39" s="111">
        <f t="shared" si="14"/>
        <v>2.1918005102224141E-3</v>
      </c>
    </row>
    <row r="40" spans="1:66" x14ac:dyDescent="0.35">
      <c r="A40" s="30">
        <v>37</v>
      </c>
      <c r="B40" s="38" t="s">
        <v>42</v>
      </c>
      <c r="C40" s="32">
        <v>15</v>
      </c>
      <c r="D40" s="33">
        <f t="shared" si="11"/>
        <v>1699.4379999999999</v>
      </c>
      <c r="E40" s="32">
        <v>25491.57</v>
      </c>
      <c r="F40" s="34">
        <v>37</v>
      </c>
      <c r="G40" s="38" t="s">
        <v>49</v>
      </c>
      <c r="H40" s="38">
        <v>12</v>
      </c>
      <c r="I40" s="33">
        <f t="shared" si="12"/>
        <v>1736.0891666666666</v>
      </c>
      <c r="J40" s="38">
        <v>20833.07</v>
      </c>
      <c r="K40" s="30">
        <v>37</v>
      </c>
      <c r="L40" s="31" t="s">
        <v>66</v>
      </c>
      <c r="M40" s="36">
        <v>10</v>
      </c>
      <c r="N40" s="33">
        <f t="shared" si="13"/>
        <v>1207.826</v>
      </c>
      <c r="O40" s="35">
        <v>12078.26</v>
      </c>
      <c r="P40" s="30">
        <v>37</v>
      </c>
      <c r="Q40" s="31" t="s">
        <v>18</v>
      </c>
      <c r="R40" s="37">
        <v>5</v>
      </c>
      <c r="S40" s="33">
        <f t="shared" si="0"/>
        <v>1494.6179999999999</v>
      </c>
      <c r="T40" s="33">
        <v>7473.09</v>
      </c>
      <c r="U40" s="30">
        <v>37</v>
      </c>
      <c r="V40" s="38" t="s">
        <v>59</v>
      </c>
      <c r="W40" s="2">
        <v>7</v>
      </c>
      <c r="X40" s="33">
        <f t="shared" si="2"/>
        <v>947.77428571428572</v>
      </c>
      <c r="Y40" s="38">
        <v>6634.42</v>
      </c>
      <c r="Z40" s="30">
        <v>37</v>
      </c>
      <c r="AA40" s="38" t="s">
        <v>67</v>
      </c>
      <c r="AB40" s="2">
        <v>6</v>
      </c>
      <c r="AC40" s="33">
        <f t="shared" si="3"/>
        <v>1104.5</v>
      </c>
      <c r="AD40" s="38">
        <v>6627</v>
      </c>
      <c r="AE40" s="30">
        <v>37</v>
      </c>
      <c r="AH40" s="33" t="e">
        <f t="shared" si="4"/>
        <v>#DIV/0!</v>
      </c>
      <c r="AJ40" s="30">
        <v>37</v>
      </c>
      <c r="AL40" s="39"/>
      <c r="AM40" s="33" t="e">
        <f t="shared" si="5"/>
        <v>#DIV/0!</v>
      </c>
      <c r="AO40" s="30">
        <v>37</v>
      </c>
      <c r="AQ40" s="39"/>
      <c r="AR40" s="33" t="e">
        <f t="shared" si="6"/>
        <v>#DIV/0!</v>
      </c>
      <c r="AS40" s="40"/>
      <c r="AT40" s="30">
        <v>37</v>
      </c>
      <c r="AW40" s="33" t="e">
        <f t="shared" si="7"/>
        <v>#DIV/0!</v>
      </c>
      <c r="AY40" s="30">
        <v>37</v>
      </c>
      <c r="BB40" s="33" t="e">
        <f t="shared" si="8"/>
        <v>#DIV/0!</v>
      </c>
      <c r="BD40" s="30">
        <v>37</v>
      </c>
      <c r="BG40" s="33" t="e">
        <f t="shared" si="9"/>
        <v>#DIV/0!</v>
      </c>
      <c r="BI40" s="30">
        <v>37</v>
      </c>
      <c r="BJ40" s="31" t="s">
        <v>68</v>
      </c>
      <c r="BK40">
        <v>55</v>
      </c>
      <c r="BL40" s="33">
        <f t="shared" si="10"/>
        <v>1528.7898181818182</v>
      </c>
      <c r="BM40" s="41">
        <v>84083.44</v>
      </c>
      <c r="BN40" s="111">
        <f t="shared" si="14"/>
        <v>1.9762135747907008E-3</v>
      </c>
    </row>
    <row r="41" spans="1:66" x14ac:dyDescent="0.35">
      <c r="A41" s="30">
        <v>38</v>
      </c>
      <c r="B41" s="31" t="s">
        <v>55</v>
      </c>
      <c r="C41" s="32">
        <v>14</v>
      </c>
      <c r="D41" s="33">
        <f t="shared" si="11"/>
        <v>1754.7085714285713</v>
      </c>
      <c r="E41" s="32">
        <v>24565.919999999998</v>
      </c>
      <c r="F41" s="34">
        <v>38</v>
      </c>
      <c r="G41" s="38" t="s">
        <v>18</v>
      </c>
      <c r="H41" s="38">
        <v>12</v>
      </c>
      <c r="I41" s="33">
        <f t="shared" si="12"/>
        <v>1640.1674999999998</v>
      </c>
      <c r="J41" s="38">
        <v>19682.009999999998</v>
      </c>
      <c r="K41" s="30">
        <v>38</v>
      </c>
      <c r="L41" s="31" t="s">
        <v>56</v>
      </c>
      <c r="M41" s="36">
        <v>10</v>
      </c>
      <c r="N41" s="33">
        <f t="shared" si="13"/>
        <v>1527.623</v>
      </c>
      <c r="O41" s="35">
        <v>15276.23</v>
      </c>
      <c r="P41" s="30">
        <v>38</v>
      </c>
      <c r="Q41" s="31" t="s">
        <v>69</v>
      </c>
      <c r="R41" s="37">
        <v>4</v>
      </c>
      <c r="S41" s="33">
        <f t="shared" si="0"/>
        <v>1551.04</v>
      </c>
      <c r="T41" s="33">
        <v>6204.16</v>
      </c>
      <c r="U41" s="30">
        <v>38</v>
      </c>
      <c r="V41" s="38" t="s">
        <v>70</v>
      </c>
      <c r="W41" s="2">
        <v>7</v>
      </c>
      <c r="X41" s="33">
        <f t="shared" si="2"/>
        <v>1138.2985714285714</v>
      </c>
      <c r="Y41" s="38">
        <v>7968.09</v>
      </c>
      <c r="Z41" s="30">
        <v>38</v>
      </c>
      <c r="AA41" s="38" t="s">
        <v>55</v>
      </c>
      <c r="AB41" s="2">
        <v>6</v>
      </c>
      <c r="AC41" s="33">
        <f t="shared" si="3"/>
        <v>1007.1666666666666</v>
      </c>
      <c r="AD41" s="38">
        <v>6043</v>
      </c>
      <c r="AE41" s="30">
        <v>38</v>
      </c>
      <c r="AH41" s="33" t="e">
        <f t="shared" si="4"/>
        <v>#DIV/0!</v>
      </c>
      <c r="AJ41" s="30">
        <v>38</v>
      </c>
      <c r="AL41" s="39"/>
      <c r="AM41" s="33" t="e">
        <f t="shared" si="5"/>
        <v>#DIV/0!</v>
      </c>
      <c r="AQ41" s="39"/>
      <c r="AR41" s="33" t="e">
        <f t="shared" si="6"/>
        <v>#DIV/0!</v>
      </c>
      <c r="AS41" s="40"/>
      <c r="AT41" s="30">
        <v>38</v>
      </c>
      <c r="AW41" s="33" t="e">
        <f t="shared" si="7"/>
        <v>#DIV/0!</v>
      </c>
      <c r="AY41" s="30">
        <v>38</v>
      </c>
      <c r="BB41" s="33" t="e">
        <f t="shared" si="8"/>
        <v>#DIV/0!</v>
      </c>
      <c r="BD41" s="30">
        <v>38</v>
      </c>
      <c r="BG41" s="33" t="e">
        <f t="shared" si="9"/>
        <v>#DIV/0!</v>
      </c>
      <c r="BI41" s="30">
        <v>38</v>
      </c>
      <c r="BJ41" s="38" t="s">
        <v>71</v>
      </c>
      <c r="BK41">
        <v>55</v>
      </c>
      <c r="BL41" s="33">
        <f t="shared" si="10"/>
        <v>1330.1323636363636</v>
      </c>
      <c r="BM41" s="40">
        <v>73157.279999999999</v>
      </c>
      <c r="BN41" s="111">
        <f t="shared" si="14"/>
        <v>1.9762135747907008E-3</v>
      </c>
    </row>
    <row r="42" spans="1:66" x14ac:dyDescent="0.35">
      <c r="A42" s="30">
        <v>39</v>
      </c>
      <c r="B42" s="31" t="s">
        <v>48</v>
      </c>
      <c r="C42" s="32">
        <v>14</v>
      </c>
      <c r="D42" s="33">
        <f t="shared" si="11"/>
        <v>1329.2785714285715</v>
      </c>
      <c r="E42" s="32">
        <v>18609.900000000001</v>
      </c>
      <c r="F42" s="34">
        <v>39</v>
      </c>
      <c r="G42" s="38" t="s">
        <v>47</v>
      </c>
      <c r="H42" s="38">
        <v>12</v>
      </c>
      <c r="I42" s="33">
        <f t="shared" si="12"/>
        <v>1655.75</v>
      </c>
      <c r="J42" s="38">
        <v>19869</v>
      </c>
      <c r="K42" s="30">
        <v>39</v>
      </c>
      <c r="L42" s="31" t="s">
        <v>133</v>
      </c>
      <c r="M42" s="36">
        <v>10</v>
      </c>
      <c r="N42" s="33">
        <f t="shared" si="13"/>
        <v>1465.6110000000001</v>
      </c>
      <c r="O42" s="35">
        <v>14656.11</v>
      </c>
      <c r="P42" s="30">
        <v>39</v>
      </c>
      <c r="Q42" s="31" t="s">
        <v>72</v>
      </c>
      <c r="R42" s="37">
        <v>4</v>
      </c>
      <c r="S42" s="33">
        <f t="shared" si="0"/>
        <v>1228.4949999999999</v>
      </c>
      <c r="T42" s="33">
        <v>4913.9799999999996</v>
      </c>
      <c r="U42" s="30">
        <v>39</v>
      </c>
      <c r="V42" s="38" t="s">
        <v>52</v>
      </c>
      <c r="W42" s="2">
        <v>7</v>
      </c>
      <c r="X42" s="33">
        <f t="shared" si="2"/>
        <v>1271.3171428571427</v>
      </c>
      <c r="Y42" s="38">
        <v>8899.2199999999993</v>
      </c>
      <c r="Z42" s="30">
        <v>39</v>
      </c>
      <c r="AA42" s="38" t="s">
        <v>66</v>
      </c>
      <c r="AB42" s="2">
        <v>6</v>
      </c>
      <c r="AC42" s="33">
        <f t="shared" si="3"/>
        <v>784.34</v>
      </c>
      <c r="AD42" s="38">
        <v>4706.04</v>
      </c>
      <c r="AE42" s="30">
        <v>39</v>
      </c>
      <c r="AH42" s="33" t="e">
        <f t="shared" si="4"/>
        <v>#DIV/0!</v>
      </c>
      <c r="AJ42" s="30">
        <v>39</v>
      </c>
      <c r="AL42" s="39"/>
      <c r="AM42" s="33" t="e">
        <f t="shared" si="5"/>
        <v>#DIV/0!</v>
      </c>
      <c r="AQ42" s="39"/>
      <c r="AR42" s="33" t="e">
        <f t="shared" si="6"/>
        <v>#DIV/0!</v>
      </c>
      <c r="AS42" s="40"/>
      <c r="AT42" s="30">
        <v>39</v>
      </c>
      <c r="AW42" s="33" t="e">
        <f t="shared" si="7"/>
        <v>#DIV/0!</v>
      </c>
      <c r="AY42" s="30">
        <v>39</v>
      </c>
      <c r="BB42" s="33" t="e">
        <f t="shared" si="8"/>
        <v>#DIV/0!</v>
      </c>
      <c r="BD42" s="30">
        <v>39</v>
      </c>
      <c r="BG42" s="33" t="e">
        <f t="shared" si="9"/>
        <v>#DIV/0!</v>
      </c>
      <c r="BI42" s="30">
        <v>39</v>
      </c>
      <c r="BJ42" s="31" t="s">
        <v>40</v>
      </c>
      <c r="BK42">
        <v>51</v>
      </c>
      <c r="BL42" s="33">
        <f t="shared" si="10"/>
        <v>1364.1137254901962</v>
      </c>
      <c r="BM42" s="41">
        <v>69569.8</v>
      </c>
      <c r="BN42" s="111">
        <f t="shared" si="14"/>
        <v>1.8324889511695591E-3</v>
      </c>
    </row>
    <row r="43" spans="1:66" x14ac:dyDescent="0.35">
      <c r="A43" s="30">
        <v>40</v>
      </c>
      <c r="B43" s="31" t="s">
        <v>56</v>
      </c>
      <c r="C43" s="32">
        <v>12</v>
      </c>
      <c r="D43" s="33">
        <f t="shared" si="11"/>
        <v>1599.45</v>
      </c>
      <c r="E43" s="32">
        <v>19193.400000000001</v>
      </c>
      <c r="F43" s="34">
        <v>40</v>
      </c>
      <c r="G43" s="38" t="s">
        <v>52</v>
      </c>
      <c r="H43" s="38">
        <v>11</v>
      </c>
      <c r="I43" s="33">
        <f t="shared" si="12"/>
        <v>1774.5118181818182</v>
      </c>
      <c r="J43" s="38">
        <v>19519.63</v>
      </c>
      <c r="K43" s="30">
        <v>40</v>
      </c>
      <c r="L43" s="31" t="s">
        <v>79</v>
      </c>
      <c r="M43" s="36">
        <v>9</v>
      </c>
      <c r="N43" s="33">
        <f t="shared" si="13"/>
        <v>1640.9155555555556</v>
      </c>
      <c r="O43" s="35">
        <v>14768.24</v>
      </c>
      <c r="P43" s="30">
        <v>40</v>
      </c>
      <c r="Q43" s="31" t="s">
        <v>73</v>
      </c>
      <c r="R43" s="37">
        <v>4</v>
      </c>
      <c r="S43" s="33">
        <f t="shared" si="0"/>
        <v>1439.1775</v>
      </c>
      <c r="T43" s="33">
        <v>5756.71</v>
      </c>
      <c r="U43" s="30">
        <v>40</v>
      </c>
      <c r="V43" s="38" t="s">
        <v>74</v>
      </c>
      <c r="W43" s="2">
        <v>6</v>
      </c>
      <c r="X43" s="46">
        <f t="shared" si="2"/>
        <v>952.74666666666656</v>
      </c>
      <c r="Y43" s="38">
        <v>5716.48</v>
      </c>
      <c r="Z43" s="30">
        <v>40</v>
      </c>
      <c r="AA43" s="38" t="s">
        <v>75</v>
      </c>
      <c r="AB43" s="2">
        <v>6</v>
      </c>
      <c r="AC43" s="33">
        <f t="shared" si="3"/>
        <v>955.04</v>
      </c>
      <c r="AD43" s="38">
        <v>5730.24</v>
      </c>
      <c r="AE43" s="30">
        <v>40</v>
      </c>
      <c r="AH43" s="33" t="e">
        <f t="shared" si="4"/>
        <v>#DIV/0!</v>
      </c>
      <c r="AJ43" s="30">
        <v>40</v>
      </c>
      <c r="AL43" s="39"/>
      <c r="AM43" s="33" t="e">
        <f t="shared" si="5"/>
        <v>#DIV/0!</v>
      </c>
      <c r="AQ43" s="39"/>
      <c r="AR43" s="33" t="e">
        <f t="shared" si="6"/>
        <v>#DIV/0!</v>
      </c>
      <c r="AS43" s="40"/>
      <c r="AT43" s="30">
        <v>40</v>
      </c>
      <c r="AW43" s="33" t="e">
        <f t="shared" si="7"/>
        <v>#DIV/0!</v>
      </c>
      <c r="AY43" s="30">
        <v>40</v>
      </c>
      <c r="BB43" s="33" t="e">
        <f t="shared" si="8"/>
        <v>#DIV/0!</v>
      </c>
      <c r="BD43" s="30">
        <v>40</v>
      </c>
      <c r="BG43" s="33" t="e">
        <f t="shared" si="9"/>
        <v>#DIV/0!</v>
      </c>
      <c r="BI43" s="30">
        <v>40</v>
      </c>
      <c r="BJ43" s="31" t="s">
        <v>28</v>
      </c>
      <c r="BK43">
        <v>49</v>
      </c>
      <c r="BL43" s="33">
        <f t="shared" si="10"/>
        <v>1156.7697959183674</v>
      </c>
      <c r="BM43" s="41">
        <v>56681.72</v>
      </c>
      <c r="BN43" s="111">
        <f t="shared" si="14"/>
        <v>1.7606266393589882E-3</v>
      </c>
    </row>
    <row r="44" spans="1:66" x14ac:dyDescent="0.35">
      <c r="A44" s="30">
        <v>41</v>
      </c>
      <c r="B44" s="38" t="s">
        <v>99</v>
      </c>
      <c r="C44" s="32">
        <v>12</v>
      </c>
      <c r="D44" s="33">
        <f t="shared" si="11"/>
        <v>1285.2533333333333</v>
      </c>
      <c r="E44" s="32">
        <v>15423.04</v>
      </c>
      <c r="F44" s="34">
        <v>41</v>
      </c>
      <c r="G44" s="38" t="s">
        <v>88</v>
      </c>
      <c r="H44" s="38">
        <v>10</v>
      </c>
      <c r="I44" s="33">
        <f t="shared" si="12"/>
        <v>1613.6100000000001</v>
      </c>
      <c r="J44" s="38">
        <v>16136.1</v>
      </c>
      <c r="K44" s="30">
        <v>41</v>
      </c>
      <c r="L44" s="31" t="s">
        <v>99</v>
      </c>
      <c r="M44" s="36">
        <v>9</v>
      </c>
      <c r="N44" s="33">
        <f t="shared" si="13"/>
        <v>1667.0344444444445</v>
      </c>
      <c r="O44" s="35">
        <v>15003.31</v>
      </c>
      <c r="P44" s="30">
        <v>41</v>
      </c>
      <c r="Q44" s="31" t="s">
        <v>56</v>
      </c>
      <c r="R44" s="37">
        <v>4</v>
      </c>
      <c r="S44" s="33">
        <f t="shared" si="0"/>
        <v>2013.2625</v>
      </c>
      <c r="T44" s="33">
        <v>8053.05</v>
      </c>
      <c r="U44" s="30">
        <v>41</v>
      </c>
      <c r="V44" s="38" t="s">
        <v>65</v>
      </c>
      <c r="W44" s="2">
        <v>6</v>
      </c>
      <c r="X44" s="33">
        <f t="shared" si="2"/>
        <v>1532.655</v>
      </c>
      <c r="Y44" s="38">
        <v>9195.93</v>
      </c>
      <c r="Z44" s="30">
        <v>41</v>
      </c>
      <c r="AA44" s="38" t="s">
        <v>76</v>
      </c>
      <c r="AB44" s="2">
        <v>6</v>
      </c>
      <c r="AC44" s="33">
        <f t="shared" si="3"/>
        <v>1002.59</v>
      </c>
      <c r="AD44" s="38">
        <v>6015.54</v>
      </c>
      <c r="AE44" s="30">
        <v>41</v>
      </c>
      <c r="AH44" s="33" t="e">
        <f t="shared" si="4"/>
        <v>#DIV/0!</v>
      </c>
      <c r="AJ44" s="30">
        <v>41</v>
      </c>
      <c r="AL44" s="39"/>
      <c r="AM44" s="33" t="e">
        <f t="shared" si="5"/>
        <v>#DIV/0!</v>
      </c>
      <c r="AQ44" s="39"/>
      <c r="AR44" s="33" t="e">
        <f t="shared" si="6"/>
        <v>#DIV/0!</v>
      </c>
      <c r="AS44" s="40"/>
      <c r="AT44" s="30">
        <v>41</v>
      </c>
      <c r="AW44" s="33" t="e">
        <f t="shared" si="7"/>
        <v>#DIV/0!</v>
      </c>
      <c r="AY44" s="30">
        <v>41</v>
      </c>
      <c r="BB44" s="33" t="e">
        <f t="shared" si="8"/>
        <v>#DIV/0!</v>
      </c>
      <c r="BD44" s="30">
        <v>41</v>
      </c>
      <c r="BG44" s="33" t="e">
        <f t="shared" si="9"/>
        <v>#DIV/0!</v>
      </c>
      <c r="BI44" s="30">
        <v>41</v>
      </c>
      <c r="BJ44" s="31" t="s">
        <v>52</v>
      </c>
      <c r="BK44">
        <v>48</v>
      </c>
      <c r="BL44" s="33">
        <f t="shared" si="10"/>
        <v>1402.8460416666667</v>
      </c>
      <c r="BM44" s="41">
        <v>67336.61</v>
      </c>
      <c r="BN44" s="111">
        <f t="shared" si="14"/>
        <v>1.7246954834537027E-3</v>
      </c>
    </row>
    <row r="45" spans="1:66" x14ac:dyDescent="0.35">
      <c r="A45" s="30">
        <v>42</v>
      </c>
      <c r="B45" s="38" t="s">
        <v>45</v>
      </c>
      <c r="C45" s="32">
        <v>10</v>
      </c>
      <c r="D45" s="33">
        <f t="shared" si="11"/>
        <v>2430.7159999999999</v>
      </c>
      <c r="E45" s="32">
        <v>24307.16</v>
      </c>
      <c r="F45" s="34">
        <v>42</v>
      </c>
      <c r="G45" s="38" t="s">
        <v>72</v>
      </c>
      <c r="H45" s="38">
        <v>10</v>
      </c>
      <c r="I45" s="33">
        <f t="shared" si="12"/>
        <v>1918.0540000000001</v>
      </c>
      <c r="J45" s="38">
        <v>19180.54</v>
      </c>
      <c r="K45" s="30">
        <v>42</v>
      </c>
      <c r="L45" s="31" t="s">
        <v>62</v>
      </c>
      <c r="M45" s="36">
        <v>8</v>
      </c>
      <c r="N45" s="33">
        <f t="shared" si="13"/>
        <v>1423.02125</v>
      </c>
      <c r="O45" s="35">
        <v>11384.17</v>
      </c>
      <c r="P45" s="30">
        <v>42</v>
      </c>
      <c r="Q45" s="31" t="s">
        <v>28</v>
      </c>
      <c r="R45" s="37">
        <v>4</v>
      </c>
      <c r="S45" s="33">
        <f t="shared" si="0"/>
        <v>1055.2025000000001</v>
      </c>
      <c r="T45" s="33">
        <v>4220.8100000000004</v>
      </c>
      <c r="U45" s="30">
        <v>42</v>
      </c>
      <c r="V45" s="38" t="s">
        <v>49</v>
      </c>
      <c r="W45" s="2">
        <v>6</v>
      </c>
      <c r="X45" s="33">
        <f t="shared" si="2"/>
        <v>1174.6099999999999</v>
      </c>
      <c r="Y45" s="38">
        <v>7047.66</v>
      </c>
      <c r="Z45" s="30">
        <v>42</v>
      </c>
      <c r="AA45" s="38" t="s">
        <v>60</v>
      </c>
      <c r="AB45" s="2">
        <v>5</v>
      </c>
      <c r="AC45" s="33">
        <f t="shared" si="3"/>
        <v>1112.412</v>
      </c>
      <c r="AD45" s="38">
        <v>5562.06</v>
      </c>
      <c r="AE45" s="30">
        <v>42</v>
      </c>
      <c r="AH45" s="33" t="e">
        <f t="shared" si="4"/>
        <v>#DIV/0!</v>
      </c>
      <c r="AJ45" s="30">
        <v>42</v>
      </c>
      <c r="AL45" s="39"/>
      <c r="AM45" s="33" t="e">
        <f t="shared" si="5"/>
        <v>#DIV/0!</v>
      </c>
      <c r="AQ45" s="39"/>
      <c r="AR45" s="33" t="e">
        <f t="shared" si="6"/>
        <v>#DIV/0!</v>
      </c>
      <c r="AS45" s="40"/>
      <c r="AT45" s="30">
        <v>42</v>
      </c>
      <c r="AW45" s="33" t="e">
        <f t="shared" si="7"/>
        <v>#DIV/0!</v>
      </c>
      <c r="AY45" s="30">
        <v>42</v>
      </c>
      <c r="BB45" s="33" t="e">
        <f t="shared" si="8"/>
        <v>#DIV/0!</v>
      </c>
      <c r="BD45" s="30">
        <v>42</v>
      </c>
      <c r="BG45" s="33" t="e">
        <f t="shared" si="9"/>
        <v>#DIV/0!</v>
      </c>
      <c r="BI45" s="30">
        <v>42</v>
      </c>
      <c r="BJ45" s="38" t="s">
        <v>77</v>
      </c>
      <c r="BK45">
        <v>40</v>
      </c>
      <c r="BL45" s="33">
        <f t="shared" si="10"/>
        <v>1565.6815000000001</v>
      </c>
      <c r="BM45" s="40">
        <v>62627.26</v>
      </c>
      <c r="BN45" s="111">
        <f t="shared" si="14"/>
        <v>1.437246236211419E-3</v>
      </c>
    </row>
    <row r="46" spans="1:66" x14ac:dyDescent="0.35">
      <c r="A46" s="30">
        <v>43</v>
      </c>
      <c r="B46" s="38" t="s">
        <v>84</v>
      </c>
      <c r="C46" s="32">
        <v>10</v>
      </c>
      <c r="D46" s="33">
        <f t="shared" si="11"/>
        <v>1480.4479999999999</v>
      </c>
      <c r="E46" s="32">
        <v>14804.48</v>
      </c>
      <c r="F46" s="34">
        <v>43</v>
      </c>
      <c r="G46" s="38" t="s">
        <v>79</v>
      </c>
      <c r="H46" s="38">
        <v>8</v>
      </c>
      <c r="I46" s="33">
        <f t="shared" si="12"/>
        <v>1778.76125</v>
      </c>
      <c r="J46" s="38">
        <v>14230.09</v>
      </c>
      <c r="K46" s="30">
        <v>43</v>
      </c>
      <c r="L46" s="31" t="s">
        <v>63</v>
      </c>
      <c r="M46" s="36">
        <v>8</v>
      </c>
      <c r="N46" s="33">
        <f t="shared" si="13"/>
        <v>1681.84</v>
      </c>
      <c r="O46" s="35">
        <v>13454.72</v>
      </c>
      <c r="P46" s="30">
        <v>43</v>
      </c>
      <c r="Q46" s="31" t="s">
        <v>50</v>
      </c>
      <c r="R46" s="37">
        <v>4</v>
      </c>
      <c r="S46" s="33">
        <f t="shared" si="0"/>
        <v>2332.415</v>
      </c>
      <c r="T46" s="33">
        <v>9329.66</v>
      </c>
      <c r="U46" s="30">
        <v>43</v>
      </c>
      <c r="V46" s="38" t="s">
        <v>35</v>
      </c>
      <c r="W46" s="2">
        <v>5</v>
      </c>
      <c r="X46" s="33">
        <f t="shared" si="2"/>
        <v>1247.5</v>
      </c>
      <c r="Y46" s="38">
        <v>6237.5</v>
      </c>
      <c r="Z46" s="30">
        <v>43</v>
      </c>
      <c r="AA46" s="38" t="s">
        <v>78</v>
      </c>
      <c r="AB46" s="2">
        <v>5</v>
      </c>
      <c r="AC46" s="33">
        <f t="shared" si="3"/>
        <v>1000.4040000000001</v>
      </c>
      <c r="AD46" s="38">
        <v>5002.0200000000004</v>
      </c>
      <c r="AE46" s="30">
        <v>43</v>
      </c>
      <c r="AH46" s="33" t="e">
        <f t="shared" si="4"/>
        <v>#DIV/0!</v>
      </c>
      <c r="AJ46" s="30">
        <v>43</v>
      </c>
      <c r="AL46" s="39"/>
      <c r="AM46" s="33" t="e">
        <f t="shared" si="5"/>
        <v>#DIV/0!</v>
      </c>
      <c r="AQ46" s="39"/>
      <c r="AR46" s="33" t="e">
        <f t="shared" si="6"/>
        <v>#DIV/0!</v>
      </c>
      <c r="AS46" s="40"/>
      <c r="AT46" s="30">
        <v>43</v>
      </c>
      <c r="AW46" s="33" t="e">
        <f t="shared" si="7"/>
        <v>#DIV/0!</v>
      </c>
      <c r="AY46" s="30">
        <v>43</v>
      </c>
      <c r="BB46" s="33" t="e">
        <f t="shared" si="8"/>
        <v>#DIV/0!</v>
      </c>
      <c r="BD46" s="30">
        <v>43</v>
      </c>
      <c r="BG46" s="33" t="e">
        <f t="shared" si="9"/>
        <v>#DIV/0!</v>
      </c>
      <c r="BI46" s="30">
        <v>43</v>
      </c>
      <c r="BJ46" s="31" t="s">
        <v>73</v>
      </c>
      <c r="BK46">
        <v>39</v>
      </c>
      <c r="BL46" s="33">
        <f t="shared" si="10"/>
        <v>1578.6576923076923</v>
      </c>
      <c r="BM46" s="41">
        <v>61567.65</v>
      </c>
      <c r="BN46" s="111">
        <f t="shared" si="14"/>
        <v>1.4013150803061335E-3</v>
      </c>
    </row>
    <row r="47" spans="1:66" x14ac:dyDescent="0.35">
      <c r="A47" s="30">
        <v>44</v>
      </c>
      <c r="B47" s="38" t="s">
        <v>89</v>
      </c>
      <c r="C47" s="32">
        <v>10</v>
      </c>
      <c r="D47" s="33">
        <f t="shared" si="11"/>
        <v>1424.6179999999999</v>
      </c>
      <c r="E47" s="32">
        <v>14246.18</v>
      </c>
      <c r="F47" s="34">
        <v>44</v>
      </c>
      <c r="G47" s="38" t="s">
        <v>54</v>
      </c>
      <c r="H47" s="38">
        <v>8</v>
      </c>
      <c r="I47" s="33">
        <f t="shared" si="12"/>
        <v>1628.8712499999999</v>
      </c>
      <c r="J47" s="38">
        <v>13030.97</v>
      </c>
      <c r="K47" s="30">
        <v>44</v>
      </c>
      <c r="L47" s="31" t="s">
        <v>111</v>
      </c>
      <c r="M47" s="36">
        <v>8</v>
      </c>
      <c r="N47" s="33">
        <f t="shared" si="13"/>
        <v>1204.39625</v>
      </c>
      <c r="O47" s="35">
        <v>9635.17</v>
      </c>
      <c r="P47" s="30">
        <v>44</v>
      </c>
      <c r="Q47" s="31" t="s">
        <v>79</v>
      </c>
      <c r="R47" s="37">
        <v>3</v>
      </c>
      <c r="S47" s="33">
        <f t="shared" si="0"/>
        <v>2035.8733333333332</v>
      </c>
      <c r="T47" s="33">
        <v>6107.62</v>
      </c>
      <c r="U47" s="30">
        <v>44</v>
      </c>
      <c r="V47" s="38" t="s">
        <v>63</v>
      </c>
      <c r="W47" s="2">
        <v>5</v>
      </c>
      <c r="X47" s="33">
        <f t="shared" si="2"/>
        <v>1501.2</v>
      </c>
      <c r="Y47" s="47">
        <v>7506</v>
      </c>
      <c r="Z47" s="30">
        <v>44</v>
      </c>
      <c r="AA47" s="38" t="s">
        <v>57</v>
      </c>
      <c r="AB47" s="2">
        <v>5</v>
      </c>
      <c r="AC47" s="33">
        <f t="shared" si="3"/>
        <v>964.65400000000011</v>
      </c>
      <c r="AD47" s="38">
        <v>4823.2700000000004</v>
      </c>
      <c r="AE47" s="30">
        <v>44</v>
      </c>
      <c r="AH47" s="33" t="e">
        <f t="shared" si="4"/>
        <v>#DIV/0!</v>
      </c>
      <c r="AJ47" s="30">
        <v>44</v>
      </c>
      <c r="AL47" s="39"/>
      <c r="AM47" s="33" t="e">
        <f t="shared" si="5"/>
        <v>#DIV/0!</v>
      </c>
      <c r="AQ47" s="39"/>
      <c r="AR47" s="33" t="e">
        <f t="shared" si="6"/>
        <v>#DIV/0!</v>
      </c>
      <c r="AS47" s="40"/>
      <c r="AT47" s="30">
        <v>44</v>
      </c>
      <c r="AW47" s="33" t="e">
        <f t="shared" si="7"/>
        <v>#DIV/0!</v>
      </c>
      <c r="AY47" s="30">
        <v>44</v>
      </c>
      <c r="BB47" s="33" t="e">
        <f t="shared" si="8"/>
        <v>#DIV/0!</v>
      </c>
      <c r="BD47" s="30">
        <v>44</v>
      </c>
      <c r="BG47" s="33" t="e">
        <f t="shared" si="9"/>
        <v>#DIV/0!</v>
      </c>
      <c r="BI47" s="30">
        <v>44</v>
      </c>
      <c r="BJ47" s="31" t="s">
        <v>65</v>
      </c>
      <c r="BK47">
        <v>38</v>
      </c>
      <c r="BL47" s="33">
        <f t="shared" si="10"/>
        <v>1352.4126315789474</v>
      </c>
      <c r="BM47" s="41">
        <v>51391.68</v>
      </c>
      <c r="BN47" s="111">
        <f t="shared" si="14"/>
        <v>1.3653839244008479E-3</v>
      </c>
    </row>
    <row r="48" spans="1:66" x14ac:dyDescent="0.35">
      <c r="A48" s="30">
        <v>45</v>
      </c>
      <c r="B48" s="38" t="s">
        <v>88</v>
      </c>
      <c r="C48" s="32">
        <v>8</v>
      </c>
      <c r="D48" s="33">
        <f t="shared" si="11"/>
        <v>1685.5462500000001</v>
      </c>
      <c r="E48" s="32">
        <v>13484.37</v>
      </c>
      <c r="F48" s="34">
        <v>45</v>
      </c>
      <c r="G48" s="38" t="s">
        <v>96</v>
      </c>
      <c r="H48" s="38">
        <v>8</v>
      </c>
      <c r="I48" s="33">
        <f t="shared" si="12"/>
        <v>1896.09375</v>
      </c>
      <c r="J48" s="38">
        <v>15168.75</v>
      </c>
      <c r="L48" s="31" t="s">
        <v>88</v>
      </c>
      <c r="M48" s="36">
        <v>7</v>
      </c>
      <c r="N48" s="33">
        <f t="shared" si="13"/>
        <v>1517.8314285714284</v>
      </c>
      <c r="O48" s="35">
        <v>10624.82</v>
      </c>
      <c r="P48" s="30">
        <v>45</v>
      </c>
      <c r="Q48" s="31" t="s">
        <v>80</v>
      </c>
      <c r="R48" s="37">
        <v>3</v>
      </c>
      <c r="S48" s="33">
        <f t="shared" si="0"/>
        <v>1274.43</v>
      </c>
      <c r="T48" s="33">
        <v>3823.29</v>
      </c>
      <c r="U48" s="30">
        <v>45</v>
      </c>
      <c r="V48" s="38" t="s">
        <v>81</v>
      </c>
      <c r="W48" s="2">
        <v>4</v>
      </c>
      <c r="X48" s="33">
        <f t="shared" si="2"/>
        <v>1014.08</v>
      </c>
      <c r="Y48" s="38">
        <v>4056.32</v>
      </c>
      <c r="Z48" s="30">
        <v>45</v>
      </c>
      <c r="AA48" s="38" t="s">
        <v>82</v>
      </c>
      <c r="AB48" s="2">
        <v>4</v>
      </c>
      <c r="AC48" s="33">
        <f t="shared" si="3"/>
        <v>841.5</v>
      </c>
      <c r="AD48" s="38">
        <v>3366</v>
      </c>
      <c r="AE48" s="30">
        <v>45</v>
      </c>
      <c r="AH48" s="33" t="e">
        <f t="shared" si="4"/>
        <v>#DIV/0!</v>
      </c>
      <c r="AJ48" s="30">
        <v>45</v>
      </c>
      <c r="AL48" s="39"/>
      <c r="AM48" s="33" t="e">
        <f t="shared" si="5"/>
        <v>#DIV/0!</v>
      </c>
      <c r="AQ48" s="39"/>
      <c r="AR48" s="33" t="e">
        <f t="shared" si="6"/>
        <v>#DIV/0!</v>
      </c>
      <c r="AS48" s="40"/>
      <c r="AT48" s="30">
        <v>45</v>
      </c>
      <c r="AW48" s="33" t="e">
        <f t="shared" si="7"/>
        <v>#DIV/0!</v>
      </c>
      <c r="AY48" s="30">
        <v>45</v>
      </c>
      <c r="BB48" s="33" t="e">
        <f t="shared" si="8"/>
        <v>#DIV/0!</v>
      </c>
      <c r="BD48" s="30">
        <v>45</v>
      </c>
      <c r="BG48" s="33" t="e">
        <f t="shared" si="9"/>
        <v>#DIV/0!</v>
      </c>
      <c r="BI48" s="30">
        <v>45</v>
      </c>
      <c r="BJ48" s="31" t="s">
        <v>45</v>
      </c>
      <c r="BK48">
        <v>37</v>
      </c>
      <c r="BL48" s="33">
        <f t="shared" si="10"/>
        <v>2015.6381081081081</v>
      </c>
      <c r="BM48" s="41">
        <v>74578.61</v>
      </c>
      <c r="BN48" s="111">
        <f t="shared" si="14"/>
        <v>1.3294527684955626E-3</v>
      </c>
    </row>
    <row r="49" spans="1:66" x14ac:dyDescent="0.35">
      <c r="A49" s="30">
        <v>46</v>
      </c>
      <c r="B49" s="38" t="s">
        <v>59</v>
      </c>
      <c r="C49" s="32">
        <v>8</v>
      </c>
      <c r="D49" s="33">
        <f t="shared" si="11"/>
        <v>1721.04</v>
      </c>
      <c r="E49" s="32">
        <v>13768.32</v>
      </c>
      <c r="F49" s="34">
        <v>46</v>
      </c>
      <c r="G49" s="38" t="s">
        <v>99</v>
      </c>
      <c r="H49" s="38">
        <v>8</v>
      </c>
      <c r="I49" s="33">
        <f t="shared" si="12"/>
        <v>1955.5975000000001</v>
      </c>
      <c r="J49" s="38">
        <v>15644.78</v>
      </c>
      <c r="L49" s="31" t="s">
        <v>102</v>
      </c>
      <c r="M49" s="36">
        <v>7</v>
      </c>
      <c r="N49" s="33">
        <f t="shared" si="13"/>
        <v>1637.3899999999999</v>
      </c>
      <c r="O49" s="35">
        <v>11461.73</v>
      </c>
      <c r="P49" s="30">
        <v>46</v>
      </c>
      <c r="Q49" s="31" t="s">
        <v>63</v>
      </c>
      <c r="R49" s="37">
        <v>3</v>
      </c>
      <c r="S49" s="33">
        <f t="shared" si="0"/>
        <v>1642.5933333333332</v>
      </c>
      <c r="T49" s="33">
        <v>4927.78</v>
      </c>
      <c r="U49" s="30">
        <v>46</v>
      </c>
      <c r="V49" s="38" t="s">
        <v>79</v>
      </c>
      <c r="W49" s="2">
        <v>4</v>
      </c>
      <c r="X49" s="33">
        <f t="shared" si="2"/>
        <v>1316.91</v>
      </c>
      <c r="Y49" s="38">
        <v>5267.64</v>
      </c>
      <c r="Z49" s="30">
        <v>46</v>
      </c>
      <c r="AA49" s="38" t="s">
        <v>83</v>
      </c>
      <c r="AB49" s="2">
        <v>4</v>
      </c>
      <c r="AC49" s="33">
        <f t="shared" si="3"/>
        <v>1015.5725</v>
      </c>
      <c r="AD49" s="38">
        <v>4062.29</v>
      </c>
      <c r="AE49" s="30">
        <v>46</v>
      </c>
      <c r="AH49" s="33" t="e">
        <f t="shared" si="4"/>
        <v>#DIV/0!</v>
      </c>
      <c r="AJ49" s="30">
        <v>46</v>
      </c>
      <c r="AL49" s="39"/>
      <c r="AM49" s="33" t="e">
        <f t="shared" si="5"/>
        <v>#DIV/0!</v>
      </c>
      <c r="AQ49" s="39"/>
      <c r="AR49" s="33" t="e">
        <f t="shared" si="6"/>
        <v>#DIV/0!</v>
      </c>
      <c r="AS49" s="40"/>
      <c r="AT49" s="30">
        <v>46</v>
      </c>
      <c r="AW49" s="33" t="e">
        <f t="shared" si="7"/>
        <v>#DIV/0!</v>
      </c>
      <c r="AY49" s="30">
        <v>46</v>
      </c>
      <c r="BB49" s="33" t="e">
        <f t="shared" si="8"/>
        <v>#DIV/0!</v>
      </c>
      <c r="BD49" s="30">
        <v>46</v>
      </c>
      <c r="BG49" s="33" t="e">
        <f t="shared" si="9"/>
        <v>#DIV/0!</v>
      </c>
      <c r="BI49" s="30">
        <v>46</v>
      </c>
      <c r="BJ49" s="38" t="s">
        <v>57</v>
      </c>
      <c r="BK49">
        <v>36</v>
      </c>
      <c r="BL49" s="33">
        <f t="shared" si="10"/>
        <v>1439.1458333333333</v>
      </c>
      <c r="BM49" s="40">
        <v>51809.25</v>
      </c>
      <c r="BN49" s="111">
        <f t="shared" si="14"/>
        <v>1.2935216125902771E-3</v>
      </c>
    </row>
    <row r="50" spans="1:66" x14ac:dyDescent="0.35">
      <c r="A50" s="30">
        <v>47</v>
      </c>
      <c r="B50" s="38" t="s">
        <v>72</v>
      </c>
      <c r="C50" s="32">
        <v>7</v>
      </c>
      <c r="D50" s="33">
        <f t="shared" si="11"/>
        <v>2041.8942857142858</v>
      </c>
      <c r="E50" s="32">
        <v>14293.26</v>
      </c>
      <c r="F50" s="34">
        <v>47</v>
      </c>
      <c r="G50" s="38" t="s">
        <v>116</v>
      </c>
      <c r="H50" s="38">
        <v>7</v>
      </c>
      <c r="I50" s="33">
        <f t="shared" si="12"/>
        <v>1720.0242857142857</v>
      </c>
      <c r="J50" s="38">
        <v>12040.17</v>
      </c>
      <c r="L50" s="31" t="s">
        <v>73</v>
      </c>
      <c r="M50" s="36">
        <v>7</v>
      </c>
      <c r="N50" s="33">
        <f t="shared" si="13"/>
        <v>1439.7814285714285</v>
      </c>
      <c r="O50" s="35">
        <v>10078.469999999999</v>
      </c>
      <c r="P50" s="30">
        <v>47</v>
      </c>
      <c r="Q50" s="31" t="s">
        <v>84</v>
      </c>
      <c r="R50" s="37">
        <v>3</v>
      </c>
      <c r="S50" s="33">
        <f t="shared" si="0"/>
        <v>1166.3999999999999</v>
      </c>
      <c r="T50" s="33">
        <v>3499.2</v>
      </c>
      <c r="U50" s="30">
        <v>47</v>
      </c>
      <c r="V50" s="38" t="s">
        <v>67</v>
      </c>
      <c r="W50" s="2">
        <v>3</v>
      </c>
      <c r="X50" s="33">
        <f t="shared" si="2"/>
        <v>1301.8999999999999</v>
      </c>
      <c r="Y50" s="38">
        <v>3905.7</v>
      </c>
      <c r="Z50" s="30">
        <v>47</v>
      </c>
      <c r="AA50" s="38" t="s">
        <v>85</v>
      </c>
      <c r="AB50" s="2">
        <v>4</v>
      </c>
      <c r="AC50" s="33">
        <f t="shared" si="3"/>
        <v>1285.875</v>
      </c>
      <c r="AD50" s="38">
        <v>5143.5</v>
      </c>
      <c r="AE50" s="30">
        <v>47</v>
      </c>
      <c r="AH50" s="33" t="e">
        <f t="shared" si="4"/>
        <v>#DIV/0!</v>
      </c>
      <c r="AJ50" s="30">
        <v>47</v>
      </c>
      <c r="AL50" s="39"/>
      <c r="AM50" s="33" t="e">
        <f t="shared" si="5"/>
        <v>#DIV/0!</v>
      </c>
      <c r="AQ50" s="39"/>
      <c r="AR50" s="33" t="e">
        <f t="shared" si="6"/>
        <v>#DIV/0!</v>
      </c>
      <c r="AS50" s="40"/>
      <c r="AT50" s="30">
        <v>47</v>
      </c>
      <c r="AW50" s="33" t="e">
        <f t="shared" si="7"/>
        <v>#DIV/0!</v>
      </c>
      <c r="AY50" s="30">
        <v>47</v>
      </c>
      <c r="BB50" s="33" t="e">
        <f t="shared" si="8"/>
        <v>#DIV/0!</v>
      </c>
      <c r="BD50" s="30">
        <v>47</v>
      </c>
      <c r="BG50" s="33" t="e">
        <f t="shared" si="9"/>
        <v>#DIV/0!</v>
      </c>
      <c r="BI50" s="30">
        <v>47</v>
      </c>
      <c r="BJ50" s="31" t="s">
        <v>47</v>
      </c>
      <c r="BK50">
        <v>30</v>
      </c>
      <c r="BL50" s="33">
        <f t="shared" si="10"/>
        <v>1189.4063333333334</v>
      </c>
      <c r="BM50" s="41">
        <v>35682.19</v>
      </c>
      <c r="BN50" s="111">
        <f t="shared" si="14"/>
        <v>1.0779346771585643E-3</v>
      </c>
    </row>
    <row r="51" spans="1:66" x14ac:dyDescent="0.35">
      <c r="A51" s="30">
        <v>48</v>
      </c>
      <c r="B51" s="38" t="s">
        <v>57</v>
      </c>
      <c r="C51" s="32">
        <v>7</v>
      </c>
      <c r="D51" s="33">
        <f t="shared" si="11"/>
        <v>2252.0542857142855</v>
      </c>
      <c r="E51" s="32">
        <v>15764.38</v>
      </c>
      <c r="F51" s="34">
        <v>48</v>
      </c>
      <c r="G51" s="38" t="s">
        <v>83</v>
      </c>
      <c r="H51" s="38">
        <v>7</v>
      </c>
      <c r="I51" s="33">
        <f t="shared" si="12"/>
        <v>1475.4642857142858</v>
      </c>
      <c r="J51" s="38">
        <v>10328.25</v>
      </c>
      <c r="L51" s="31" t="s">
        <v>76</v>
      </c>
      <c r="M51" s="36">
        <v>7</v>
      </c>
      <c r="N51" s="33">
        <f t="shared" si="13"/>
        <v>1219.0257142857142</v>
      </c>
      <c r="O51" s="35">
        <v>8533.18</v>
      </c>
      <c r="P51" s="30">
        <v>48</v>
      </c>
      <c r="Q51" s="31" t="s">
        <v>83</v>
      </c>
      <c r="R51" s="37">
        <v>3</v>
      </c>
      <c r="S51" s="33">
        <f t="shared" si="0"/>
        <v>1098.25</v>
      </c>
      <c r="T51" s="33">
        <v>3294.75</v>
      </c>
      <c r="U51" s="30">
        <v>48</v>
      </c>
      <c r="V51" s="38" t="s">
        <v>86</v>
      </c>
      <c r="W51" s="2">
        <v>3</v>
      </c>
      <c r="X51" s="33">
        <f t="shared" si="2"/>
        <v>1616.4366666666667</v>
      </c>
      <c r="Y51" s="38">
        <v>4849.3100000000004</v>
      </c>
      <c r="Z51" s="30">
        <v>48</v>
      </c>
      <c r="AA51" s="38" t="s">
        <v>40</v>
      </c>
      <c r="AB51" s="2">
        <v>4</v>
      </c>
      <c r="AC51" s="33">
        <f t="shared" si="3"/>
        <v>1041.98</v>
      </c>
      <c r="AD51" s="38">
        <v>4167.92</v>
      </c>
      <c r="AE51" s="30">
        <v>48</v>
      </c>
      <c r="AH51" s="33" t="e">
        <f t="shared" si="4"/>
        <v>#DIV/0!</v>
      </c>
      <c r="AJ51" s="30">
        <v>48</v>
      </c>
      <c r="AL51" s="39"/>
      <c r="AM51" s="33" t="e">
        <f t="shared" si="5"/>
        <v>#DIV/0!</v>
      </c>
      <c r="AQ51" s="39"/>
      <c r="AR51" s="33" t="e">
        <f t="shared" si="6"/>
        <v>#DIV/0!</v>
      </c>
      <c r="AS51" s="40"/>
      <c r="AT51" s="30">
        <v>48</v>
      </c>
      <c r="AW51" s="33" t="e">
        <f t="shared" si="7"/>
        <v>#DIV/0!</v>
      </c>
      <c r="AY51" s="30">
        <v>48</v>
      </c>
      <c r="BB51" s="33" t="e">
        <f t="shared" si="8"/>
        <v>#DIV/0!</v>
      </c>
      <c r="BD51" s="30">
        <v>48</v>
      </c>
      <c r="BG51" s="33" t="e">
        <f t="shared" si="9"/>
        <v>#DIV/0!</v>
      </c>
      <c r="BI51" s="30">
        <v>48</v>
      </c>
      <c r="BJ51" s="38" t="s">
        <v>63</v>
      </c>
      <c r="BK51">
        <v>29</v>
      </c>
      <c r="BL51" s="33">
        <f t="shared" si="10"/>
        <v>1438.7655172413793</v>
      </c>
      <c r="BM51" s="40">
        <v>41724.199999999997</v>
      </c>
      <c r="BN51" s="111">
        <f t="shared" si="14"/>
        <v>1.0420035212532787E-3</v>
      </c>
    </row>
    <row r="52" spans="1:66" x14ac:dyDescent="0.35">
      <c r="A52" s="30">
        <v>49</v>
      </c>
      <c r="B52" s="38" t="s">
        <v>61</v>
      </c>
      <c r="C52" s="32">
        <v>7</v>
      </c>
      <c r="D52" s="33">
        <f t="shared" si="11"/>
        <v>1339.0471428571429</v>
      </c>
      <c r="E52" s="32">
        <v>9373.33</v>
      </c>
      <c r="F52" s="34">
        <v>49</v>
      </c>
      <c r="G52" s="38" t="s">
        <v>100</v>
      </c>
      <c r="H52" s="38">
        <v>7</v>
      </c>
      <c r="I52" s="33">
        <f t="shared" si="12"/>
        <v>1632.2099999999998</v>
      </c>
      <c r="J52" s="38">
        <v>11425.47</v>
      </c>
      <c r="L52" s="31" t="s">
        <v>58</v>
      </c>
      <c r="M52" s="36">
        <v>7</v>
      </c>
      <c r="N52" s="33">
        <f t="shared" si="13"/>
        <v>1258.0771428571429</v>
      </c>
      <c r="O52" s="35">
        <v>8806.5400000000009</v>
      </c>
      <c r="P52" s="30">
        <v>49</v>
      </c>
      <c r="Q52" s="31" t="s">
        <v>81</v>
      </c>
      <c r="R52" s="37">
        <v>2</v>
      </c>
      <c r="S52" s="33">
        <f t="shared" si="0"/>
        <v>1570.82</v>
      </c>
      <c r="T52" s="33">
        <v>3141.64</v>
      </c>
      <c r="U52" s="30">
        <v>49</v>
      </c>
      <c r="V52" s="38" t="s">
        <v>44</v>
      </c>
      <c r="W52" s="2">
        <v>2</v>
      </c>
      <c r="X52" s="33">
        <f t="shared" si="2"/>
        <v>1300.5</v>
      </c>
      <c r="Y52" s="38">
        <v>2601</v>
      </c>
      <c r="Z52" s="30">
        <v>49</v>
      </c>
      <c r="AA52" s="38" t="s">
        <v>87</v>
      </c>
      <c r="AB52" s="2">
        <v>3</v>
      </c>
      <c r="AC52" s="33">
        <f t="shared" si="3"/>
        <v>1169.92</v>
      </c>
      <c r="AD52" s="38">
        <v>3509.76</v>
      </c>
      <c r="AE52" s="30">
        <v>49</v>
      </c>
      <c r="AH52" s="33" t="e">
        <f t="shared" si="4"/>
        <v>#DIV/0!</v>
      </c>
      <c r="AJ52" s="30">
        <v>49</v>
      </c>
      <c r="AL52" s="39"/>
      <c r="AM52" s="33" t="e">
        <f t="shared" si="5"/>
        <v>#DIV/0!</v>
      </c>
      <c r="AQ52" s="39"/>
      <c r="AR52" s="33" t="e">
        <f t="shared" si="6"/>
        <v>#DIV/0!</v>
      </c>
      <c r="AS52" s="40"/>
      <c r="AT52" s="30">
        <v>49</v>
      </c>
      <c r="AW52" s="33" t="e">
        <f t="shared" si="7"/>
        <v>#DIV/0!</v>
      </c>
      <c r="AY52" s="30">
        <v>49</v>
      </c>
      <c r="BB52" s="33" t="e">
        <f t="shared" si="8"/>
        <v>#DIV/0!</v>
      </c>
      <c r="BD52" s="30">
        <v>49</v>
      </c>
      <c r="BG52" s="33" t="e">
        <f t="shared" si="9"/>
        <v>#DIV/0!</v>
      </c>
      <c r="BI52" s="30">
        <v>49</v>
      </c>
      <c r="BJ52" s="31" t="s">
        <v>70</v>
      </c>
      <c r="BK52">
        <v>28</v>
      </c>
      <c r="BL52" s="33">
        <f t="shared" si="10"/>
        <v>1430.7660714285714</v>
      </c>
      <c r="BM52" s="41">
        <v>40061.449999999997</v>
      </c>
      <c r="BN52" s="111">
        <f t="shared" si="14"/>
        <v>1.0060723653479932E-3</v>
      </c>
    </row>
    <row r="53" spans="1:66" x14ac:dyDescent="0.35">
      <c r="A53" s="30">
        <v>50</v>
      </c>
      <c r="B53" s="38" t="s">
        <v>28</v>
      </c>
      <c r="C53" s="32">
        <v>7</v>
      </c>
      <c r="D53" s="33">
        <f t="shared" si="11"/>
        <v>1414.0257142857142</v>
      </c>
      <c r="E53" s="32">
        <v>9898.18</v>
      </c>
      <c r="F53" s="34">
        <v>50</v>
      </c>
      <c r="G53" s="38" t="s">
        <v>73</v>
      </c>
      <c r="H53" s="38">
        <v>6</v>
      </c>
      <c r="I53" s="33">
        <f t="shared" si="12"/>
        <v>1583.9683333333332</v>
      </c>
      <c r="J53" s="38">
        <v>9503.81</v>
      </c>
      <c r="L53" s="31" t="s">
        <v>49</v>
      </c>
      <c r="M53" s="36">
        <v>6</v>
      </c>
      <c r="N53" s="33">
        <f t="shared" si="13"/>
        <v>1803.3683333333331</v>
      </c>
      <c r="O53" s="35">
        <v>10820.21</v>
      </c>
      <c r="P53" s="30">
        <v>50</v>
      </c>
      <c r="Q53" s="31" t="s">
        <v>68</v>
      </c>
      <c r="R53" s="37">
        <v>2</v>
      </c>
      <c r="S53" s="33">
        <f t="shared" si="0"/>
        <v>1708.5</v>
      </c>
      <c r="T53" s="33">
        <v>3417</v>
      </c>
      <c r="U53" s="30">
        <v>50</v>
      </c>
      <c r="V53" s="38" t="s">
        <v>62</v>
      </c>
      <c r="W53" s="2">
        <v>2</v>
      </c>
      <c r="X53" s="33">
        <f t="shared" si="2"/>
        <v>1530.16</v>
      </c>
      <c r="Y53" s="38">
        <v>3060.32</v>
      </c>
      <c r="AA53" s="38" t="s">
        <v>88</v>
      </c>
      <c r="AB53" s="2">
        <v>3</v>
      </c>
      <c r="AC53" s="33">
        <f t="shared" si="3"/>
        <v>934.57999999999993</v>
      </c>
      <c r="AD53" s="38">
        <v>2803.74</v>
      </c>
      <c r="AE53" s="30">
        <v>50</v>
      </c>
      <c r="AH53" s="33" t="e">
        <f t="shared" si="4"/>
        <v>#DIV/0!</v>
      </c>
      <c r="AJ53" s="30">
        <v>50</v>
      </c>
      <c r="AL53" s="39"/>
      <c r="AM53" s="33" t="e">
        <f t="shared" si="5"/>
        <v>#DIV/0!</v>
      </c>
      <c r="AQ53" s="39"/>
      <c r="AR53" s="33" t="e">
        <f t="shared" si="6"/>
        <v>#DIV/0!</v>
      </c>
      <c r="AS53" s="40"/>
      <c r="AT53" s="30">
        <v>50</v>
      </c>
      <c r="AW53" s="33" t="e">
        <f t="shared" si="7"/>
        <v>#DIV/0!</v>
      </c>
      <c r="AY53" s="30">
        <v>50</v>
      </c>
      <c r="BB53" s="33" t="e">
        <f t="shared" si="8"/>
        <v>#DIV/0!</v>
      </c>
      <c r="BG53" s="33" t="e">
        <f t="shared" si="9"/>
        <v>#DIV/0!</v>
      </c>
      <c r="BI53" s="30">
        <v>50</v>
      </c>
      <c r="BJ53" s="31" t="s">
        <v>89</v>
      </c>
      <c r="BK53">
        <v>27</v>
      </c>
      <c r="BL53" s="33">
        <f t="shared" si="10"/>
        <v>1581.262962962963</v>
      </c>
      <c r="BM53" s="41">
        <v>42694.1</v>
      </c>
      <c r="BN53" s="111">
        <f t="shared" si="14"/>
        <v>9.7014120944270775E-4</v>
      </c>
    </row>
    <row r="54" spans="1:66" x14ac:dyDescent="0.35">
      <c r="A54" s="30">
        <v>51</v>
      </c>
      <c r="B54" s="38" t="s">
        <v>98</v>
      </c>
      <c r="C54" s="32">
        <v>6</v>
      </c>
      <c r="D54" s="33">
        <f t="shared" si="11"/>
        <v>1441.2316666666666</v>
      </c>
      <c r="E54" s="32">
        <v>8647.39</v>
      </c>
      <c r="F54" s="34">
        <v>51</v>
      </c>
      <c r="G54" s="38" t="s">
        <v>66</v>
      </c>
      <c r="H54" s="38">
        <v>6</v>
      </c>
      <c r="I54" s="33">
        <f t="shared" si="12"/>
        <v>1380.8616666666667</v>
      </c>
      <c r="J54" s="38">
        <v>8285.17</v>
      </c>
      <c r="L54" s="31" t="s">
        <v>100</v>
      </c>
      <c r="M54" s="36">
        <v>6</v>
      </c>
      <c r="N54" s="33">
        <f t="shared" si="13"/>
        <v>2201.2800000000002</v>
      </c>
      <c r="O54" s="35">
        <v>13207.68</v>
      </c>
      <c r="P54" s="30">
        <v>51</v>
      </c>
      <c r="Q54" s="31" t="s">
        <v>55</v>
      </c>
      <c r="R54" s="37">
        <v>2</v>
      </c>
      <c r="S54" s="33">
        <f t="shared" si="0"/>
        <v>1147.5</v>
      </c>
      <c r="T54" s="33">
        <v>2295</v>
      </c>
      <c r="U54" s="30">
        <v>51</v>
      </c>
      <c r="V54" s="38" t="s">
        <v>68</v>
      </c>
      <c r="W54" s="2">
        <v>2</v>
      </c>
      <c r="X54" s="33">
        <f t="shared" si="2"/>
        <v>1156</v>
      </c>
      <c r="Y54" s="38">
        <v>2312</v>
      </c>
      <c r="AA54" s="38" t="s">
        <v>77</v>
      </c>
      <c r="AB54" s="2">
        <v>3</v>
      </c>
      <c r="AC54" s="33">
        <f t="shared" si="3"/>
        <v>1399.8866666666665</v>
      </c>
      <c r="AD54" s="38">
        <v>4199.66</v>
      </c>
      <c r="AE54" s="30">
        <v>51</v>
      </c>
      <c r="AH54" s="33" t="e">
        <f t="shared" si="4"/>
        <v>#DIV/0!</v>
      </c>
      <c r="AJ54" s="30">
        <v>51</v>
      </c>
      <c r="AL54" s="39"/>
      <c r="AM54" s="33" t="e">
        <f t="shared" si="5"/>
        <v>#DIV/0!</v>
      </c>
      <c r="AQ54" s="39"/>
      <c r="AR54" s="33" t="e">
        <f t="shared" si="6"/>
        <v>#DIV/0!</v>
      </c>
      <c r="AS54" s="40"/>
      <c r="AT54" s="30">
        <v>51</v>
      </c>
      <c r="AW54" s="33" t="e">
        <f t="shared" si="7"/>
        <v>#DIV/0!</v>
      </c>
      <c r="AY54" s="30">
        <v>51</v>
      </c>
      <c r="BB54" s="33" t="e">
        <f t="shared" si="8"/>
        <v>#DIV/0!</v>
      </c>
      <c r="BG54" s="33" t="e">
        <f t="shared" si="9"/>
        <v>#DIV/0!</v>
      </c>
      <c r="BI54" s="30">
        <v>51</v>
      </c>
      <c r="BJ54" s="38" t="s">
        <v>72</v>
      </c>
      <c r="BK54">
        <v>26</v>
      </c>
      <c r="BL54" s="33">
        <f t="shared" si="10"/>
        <v>1605.6588461538461</v>
      </c>
      <c r="BM54" s="40">
        <v>41747.129999999997</v>
      </c>
      <c r="BN54" s="111">
        <f t="shared" si="14"/>
        <v>9.3421005353742231E-4</v>
      </c>
    </row>
    <row r="55" spans="1:66" x14ac:dyDescent="0.35">
      <c r="A55" s="30">
        <v>52</v>
      </c>
      <c r="B55" s="38" t="s">
        <v>105</v>
      </c>
      <c r="C55" s="38">
        <v>6</v>
      </c>
      <c r="D55" s="33">
        <f t="shared" si="11"/>
        <v>2197.15</v>
      </c>
      <c r="E55" s="38">
        <v>13182.9</v>
      </c>
      <c r="F55" s="34">
        <v>52</v>
      </c>
      <c r="G55" s="38" t="s">
        <v>128</v>
      </c>
      <c r="H55" s="38">
        <v>6</v>
      </c>
      <c r="I55" s="33">
        <f t="shared" si="12"/>
        <v>1601.7049999999999</v>
      </c>
      <c r="J55" s="38">
        <v>9610.23</v>
      </c>
      <c r="L55" s="31" t="s">
        <v>42</v>
      </c>
      <c r="M55" s="36">
        <v>5</v>
      </c>
      <c r="N55" s="33">
        <f t="shared" si="13"/>
        <v>1406.788</v>
      </c>
      <c r="O55" s="35">
        <v>7033.94</v>
      </c>
      <c r="P55" s="30">
        <v>52</v>
      </c>
      <c r="Q55" s="31" t="s">
        <v>57</v>
      </c>
      <c r="R55" s="37">
        <v>2</v>
      </c>
      <c r="S55" s="46">
        <f t="shared" si="0"/>
        <v>1104.96</v>
      </c>
      <c r="T55" s="33">
        <v>2209.92</v>
      </c>
      <c r="U55" s="30">
        <v>52</v>
      </c>
      <c r="V55" s="38" t="s">
        <v>47</v>
      </c>
      <c r="W55" s="2">
        <v>2</v>
      </c>
      <c r="X55" s="33">
        <f t="shared" si="2"/>
        <v>1275.92</v>
      </c>
      <c r="Y55" s="38">
        <v>2551.84</v>
      </c>
      <c r="AA55" s="38" t="s">
        <v>90</v>
      </c>
      <c r="AB55" s="2">
        <v>3</v>
      </c>
      <c r="AC55" s="33">
        <f t="shared" si="3"/>
        <v>1061.5266666666666</v>
      </c>
      <c r="AD55" s="38">
        <v>3184.58</v>
      </c>
      <c r="AE55" s="30">
        <v>52</v>
      </c>
      <c r="AH55" s="33" t="e">
        <f t="shared" si="4"/>
        <v>#DIV/0!</v>
      </c>
      <c r="AJ55" s="30">
        <v>52</v>
      </c>
      <c r="AL55" s="39"/>
      <c r="AM55" s="33" t="e">
        <f t="shared" si="5"/>
        <v>#DIV/0!</v>
      </c>
      <c r="AQ55" s="39"/>
      <c r="AR55" s="33" t="e">
        <f t="shared" si="6"/>
        <v>#DIV/0!</v>
      </c>
      <c r="AS55" s="40"/>
      <c r="AT55" s="30">
        <v>52</v>
      </c>
      <c r="AW55" s="33" t="e">
        <f t="shared" si="7"/>
        <v>#DIV/0!</v>
      </c>
      <c r="AY55" s="30">
        <v>52</v>
      </c>
      <c r="BB55" s="33" t="e">
        <f t="shared" si="8"/>
        <v>#DIV/0!</v>
      </c>
      <c r="BG55" s="33" t="e">
        <f t="shared" si="9"/>
        <v>#DIV/0!</v>
      </c>
      <c r="BI55" s="30">
        <v>52</v>
      </c>
      <c r="BJ55" s="38" t="s">
        <v>59</v>
      </c>
      <c r="BK55">
        <v>25</v>
      </c>
      <c r="BL55" s="33">
        <f t="shared" si="10"/>
        <v>1370.4544000000001</v>
      </c>
      <c r="BM55" s="40">
        <v>34261.360000000001</v>
      </c>
      <c r="BN55" s="111">
        <f t="shared" si="14"/>
        <v>8.9827889763213677E-4</v>
      </c>
    </row>
    <row r="56" spans="1:66" x14ac:dyDescent="0.35">
      <c r="A56" s="30">
        <v>53</v>
      </c>
      <c r="B56" s="38" t="s">
        <v>106</v>
      </c>
      <c r="C56" s="38">
        <v>6</v>
      </c>
      <c r="D56" s="33">
        <f t="shared" si="11"/>
        <v>1176.1400000000001</v>
      </c>
      <c r="E56" s="38">
        <v>7056.84</v>
      </c>
      <c r="F56" s="34">
        <v>53</v>
      </c>
      <c r="G56" s="38" t="s">
        <v>107</v>
      </c>
      <c r="H56" s="38">
        <v>5</v>
      </c>
      <c r="I56" s="33">
        <f t="shared" si="12"/>
        <v>1265.934</v>
      </c>
      <c r="J56" s="38">
        <v>6329.67</v>
      </c>
      <c r="L56" s="31" t="s">
        <v>54</v>
      </c>
      <c r="M56" s="36">
        <v>4</v>
      </c>
      <c r="N56" s="33">
        <f t="shared" si="13"/>
        <v>1472.345</v>
      </c>
      <c r="O56" s="35">
        <v>5889.38</v>
      </c>
      <c r="P56" s="30">
        <v>53</v>
      </c>
      <c r="Q56" s="38" t="s">
        <v>51</v>
      </c>
      <c r="R56" s="2">
        <v>2</v>
      </c>
      <c r="S56" s="33">
        <f t="shared" si="0"/>
        <v>1453.5</v>
      </c>
      <c r="T56" s="33">
        <v>2907</v>
      </c>
      <c r="U56" s="30">
        <v>53</v>
      </c>
      <c r="V56" s="38" t="s">
        <v>60</v>
      </c>
      <c r="W56" s="2">
        <v>1</v>
      </c>
      <c r="X56" s="33">
        <f t="shared" si="2"/>
        <v>1909.54</v>
      </c>
      <c r="Y56" s="38">
        <v>1909.54</v>
      </c>
      <c r="AA56" s="38" t="s">
        <v>91</v>
      </c>
      <c r="AB56" s="2">
        <v>3</v>
      </c>
      <c r="AC56" s="33">
        <f t="shared" si="3"/>
        <v>1010.6366666666667</v>
      </c>
      <c r="AD56" s="38">
        <v>3031.91</v>
      </c>
      <c r="AE56" s="30">
        <v>53</v>
      </c>
      <c r="AH56" s="33" t="e">
        <f t="shared" si="4"/>
        <v>#DIV/0!</v>
      </c>
      <c r="AJ56" s="30">
        <v>53</v>
      </c>
      <c r="AL56" s="39"/>
      <c r="AM56" s="33" t="e">
        <f t="shared" si="5"/>
        <v>#DIV/0!</v>
      </c>
      <c r="AQ56" s="39"/>
      <c r="AR56" s="33" t="e">
        <f t="shared" si="6"/>
        <v>#DIV/0!</v>
      </c>
      <c r="AS56" s="40"/>
      <c r="AT56" s="30">
        <v>53</v>
      </c>
      <c r="AW56" s="33" t="e">
        <f t="shared" si="7"/>
        <v>#DIV/0!</v>
      </c>
      <c r="AY56" s="30">
        <v>53</v>
      </c>
      <c r="BB56" s="33" t="e">
        <f t="shared" si="8"/>
        <v>#DIV/0!</v>
      </c>
      <c r="BG56" s="33" t="e">
        <f t="shared" si="9"/>
        <v>#DIV/0!</v>
      </c>
      <c r="BI56" s="30">
        <v>53</v>
      </c>
      <c r="BJ56" s="38" t="s">
        <v>92</v>
      </c>
      <c r="BK56">
        <v>24</v>
      </c>
      <c r="BL56" s="33">
        <f t="shared" si="10"/>
        <v>1531.8595833333331</v>
      </c>
      <c r="BM56" s="40">
        <v>36764.629999999997</v>
      </c>
      <c r="BN56" s="111">
        <f t="shared" si="14"/>
        <v>8.6234774172685134E-4</v>
      </c>
    </row>
    <row r="57" spans="1:66" x14ac:dyDescent="0.35">
      <c r="A57" s="30">
        <v>54</v>
      </c>
      <c r="B57" s="38" t="s">
        <v>47</v>
      </c>
      <c r="C57" s="38">
        <v>6</v>
      </c>
      <c r="D57" s="33">
        <f t="shared" si="11"/>
        <v>1352.3050000000001</v>
      </c>
      <c r="E57" s="38">
        <v>8113.83</v>
      </c>
      <c r="F57" s="34">
        <v>54</v>
      </c>
      <c r="G57" s="38" t="s">
        <v>44</v>
      </c>
      <c r="H57" s="38">
        <v>5</v>
      </c>
      <c r="I57" s="33">
        <f t="shared" si="12"/>
        <v>2059.38</v>
      </c>
      <c r="J57" s="38">
        <v>10296.9</v>
      </c>
      <c r="L57" s="31" t="s">
        <v>120</v>
      </c>
      <c r="M57" s="36">
        <v>4</v>
      </c>
      <c r="N57" s="33">
        <f t="shared" si="13"/>
        <v>1409.0625</v>
      </c>
      <c r="O57" s="35">
        <v>5636.25</v>
      </c>
      <c r="P57" s="30">
        <v>54</v>
      </c>
      <c r="Q57" s="38" t="s">
        <v>65</v>
      </c>
      <c r="R57" s="2">
        <v>2</v>
      </c>
      <c r="S57" s="33">
        <f t="shared" si="0"/>
        <v>1178.115</v>
      </c>
      <c r="T57" s="38">
        <v>2356.23</v>
      </c>
      <c r="U57" s="30">
        <v>54</v>
      </c>
      <c r="V57" s="38" t="s">
        <v>90</v>
      </c>
      <c r="W57" s="2">
        <v>1</v>
      </c>
      <c r="X57" s="33">
        <f t="shared" si="2"/>
        <v>1309.29</v>
      </c>
      <c r="Y57" s="38">
        <v>1309.29</v>
      </c>
      <c r="AA57" s="38" t="s">
        <v>50</v>
      </c>
      <c r="AB57" s="2">
        <v>3</v>
      </c>
      <c r="AC57" s="33">
        <f t="shared" si="3"/>
        <v>1103.9333333333334</v>
      </c>
      <c r="AD57" s="38">
        <v>3311.8</v>
      </c>
      <c r="AE57" s="30">
        <v>54</v>
      </c>
      <c r="AH57" s="33" t="e">
        <f t="shared" si="4"/>
        <v>#DIV/0!</v>
      </c>
      <c r="AL57" s="39"/>
      <c r="AM57" s="33" t="e">
        <f t="shared" si="5"/>
        <v>#DIV/0!</v>
      </c>
      <c r="AQ57" s="39"/>
      <c r="AR57" s="33" t="e">
        <f t="shared" si="6"/>
        <v>#DIV/0!</v>
      </c>
      <c r="AS57" s="40"/>
      <c r="AT57" s="30">
        <v>54</v>
      </c>
      <c r="AW57" s="33" t="e">
        <f t="shared" si="7"/>
        <v>#DIV/0!</v>
      </c>
      <c r="AY57" s="30">
        <v>54</v>
      </c>
      <c r="BB57" s="33" t="e">
        <f t="shared" si="8"/>
        <v>#DIV/0!</v>
      </c>
      <c r="BG57" s="33" t="e">
        <f t="shared" si="9"/>
        <v>#DIV/0!</v>
      </c>
      <c r="BI57" s="30">
        <v>54</v>
      </c>
      <c r="BJ57" s="38" t="s">
        <v>78</v>
      </c>
      <c r="BK57">
        <v>21</v>
      </c>
      <c r="BL57" s="33">
        <f t="shared" si="10"/>
        <v>1219.2638095238096</v>
      </c>
      <c r="BM57" s="40">
        <v>25604.54</v>
      </c>
      <c r="BN57" s="111">
        <f t="shared" si="14"/>
        <v>7.5455427401099494E-4</v>
      </c>
    </row>
    <row r="58" spans="1:66" x14ac:dyDescent="0.35">
      <c r="A58" s="30">
        <v>55</v>
      </c>
      <c r="B58" s="38" t="s">
        <v>102</v>
      </c>
      <c r="C58" s="38">
        <v>5</v>
      </c>
      <c r="D58" s="33">
        <f t="shared" si="11"/>
        <v>1547.1</v>
      </c>
      <c r="E58" s="38">
        <v>7735.5</v>
      </c>
      <c r="F58" s="34">
        <v>55</v>
      </c>
      <c r="G58" s="38" t="s">
        <v>102</v>
      </c>
      <c r="H58" s="38">
        <v>5</v>
      </c>
      <c r="I58" s="33">
        <f t="shared" si="12"/>
        <v>1746.0160000000001</v>
      </c>
      <c r="J58" s="38">
        <v>8730.08</v>
      </c>
      <c r="L58" s="31" t="s">
        <v>57</v>
      </c>
      <c r="M58" s="36">
        <v>4</v>
      </c>
      <c r="N58" s="33">
        <f t="shared" si="13"/>
        <v>1465.2049999999999</v>
      </c>
      <c r="O58" s="35">
        <v>5860.82</v>
      </c>
      <c r="P58" s="30">
        <v>55</v>
      </c>
      <c r="Q58" s="38" t="s">
        <v>49</v>
      </c>
      <c r="R58" s="2">
        <v>2</v>
      </c>
      <c r="S58" s="33">
        <f t="shared" si="0"/>
        <v>1456</v>
      </c>
      <c r="T58" s="38">
        <v>2912</v>
      </c>
      <c r="V58" s="38" t="s">
        <v>83</v>
      </c>
      <c r="W58" s="2">
        <v>1</v>
      </c>
      <c r="X58" s="33">
        <f t="shared" si="2"/>
        <v>1620.22</v>
      </c>
      <c r="Y58" s="38">
        <v>1620.22</v>
      </c>
      <c r="AA58" s="38" t="s">
        <v>62</v>
      </c>
      <c r="AB58" s="2">
        <v>2</v>
      </c>
      <c r="AC58" s="33">
        <f t="shared" si="3"/>
        <v>1099.675</v>
      </c>
      <c r="AD58" s="38">
        <v>2199.35</v>
      </c>
      <c r="AE58" s="30">
        <v>55</v>
      </c>
      <c r="AH58" s="33" t="e">
        <f t="shared" si="4"/>
        <v>#DIV/0!</v>
      </c>
      <c r="AL58" s="39"/>
      <c r="AM58" s="33" t="e">
        <f t="shared" si="5"/>
        <v>#DIV/0!</v>
      </c>
      <c r="AQ58" s="39"/>
      <c r="AR58" s="33" t="e">
        <f t="shared" si="6"/>
        <v>#DIV/0!</v>
      </c>
      <c r="AS58" s="40"/>
      <c r="AT58" s="30">
        <v>55</v>
      </c>
      <c r="AW58" s="33" t="e">
        <f t="shared" si="7"/>
        <v>#DIV/0!</v>
      </c>
      <c r="AY58" s="30">
        <v>55</v>
      </c>
      <c r="BB58" s="33" t="e">
        <f t="shared" si="8"/>
        <v>#DIV/0!</v>
      </c>
      <c r="BG58" s="33" t="e">
        <f t="shared" si="9"/>
        <v>#DIV/0!</v>
      </c>
      <c r="BI58" s="30">
        <v>55</v>
      </c>
      <c r="BJ58" s="38" t="s">
        <v>51</v>
      </c>
      <c r="BK58">
        <v>20</v>
      </c>
      <c r="BL58" s="33">
        <f t="shared" si="10"/>
        <v>1278.2864999999999</v>
      </c>
      <c r="BM58" s="40">
        <v>25565.73</v>
      </c>
      <c r="BN58" s="111">
        <f t="shared" si="14"/>
        <v>7.1862311810570951E-4</v>
      </c>
    </row>
    <row r="59" spans="1:66" x14ac:dyDescent="0.35">
      <c r="A59" s="30">
        <v>56</v>
      </c>
      <c r="B59" s="38" t="s">
        <v>65</v>
      </c>
      <c r="C59" s="38">
        <v>5</v>
      </c>
      <c r="D59" s="33">
        <f t="shared" si="11"/>
        <v>904.11399999999992</v>
      </c>
      <c r="E59" s="38">
        <v>4520.57</v>
      </c>
      <c r="F59" s="34">
        <v>56</v>
      </c>
      <c r="G59" s="38" t="s">
        <v>103</v>
      </c>
      <c r="H59" s="38">
        <v>5</v>
      </c>
      <c r="I59" s="33">
        <f t="shared" si="12"/>
        <v>1488.1179999999999</v>
      </c>
      <c r="J59" s="38">
        <v>7440.59</v>
      </c>
      <c r="L59" s="31" t="s">
        <v>45</v>
      </c>
      <c r="M59" s="36">
        <v>3</v>
      </c>
      <c r="N59" s="33">
        <f t="shared" si="13"/>
        <v>1147.5</v>
      </c>
      <c r="O59" s="35">
        <v>3442.5</v>
      </c>
      <c r="P59" s="30">
        <v>56</v>
      </c>
      <c r="Q59" s="38" t="s">
        <v>89</v>
      </c>
      <c r="R59" s="2">
        <v>2</v>
      </c>
      <c r="S59" s="33">
        <f t="shared" si="0"/>
        <v>2039.9349999999999</v>
      </c>
      <c r="T59" s="38">
        <v>4079.87</v>
      </c>
      <c r="V59" s="38" t="s">
        <v>93</v>
      </c>
      <c r="W59" s="2">
        <v>1</v>
      </c>
      <c r="X59" s="38"/>
      <c r="Y59" s="38">
        <v>1989.73</v>
      </c>
      <c r="AA59" s="38" t="s">
        <v>59</v>
      </c>
      <c r="AB59" s="2">
        <v>2</v>
      </c>
      <c r="AC59" s="33">
        <f t="shared" si="3"/>
        <v>1106.2</v>
      </c>
      <c r="AD59" s="38">
        <v>2212.4</v>
      </c>
      <c r="AE59" s="30">
        <v>56</v>
      </c>
      <c r="AH59" s="33" t="e">
        <f t="shared" si="4"/>
        <v>#DIV/0!</v>
      </c>
      <c r="AL59" s="39"/>
      <c r="AM59" s="33" t="e">
        <f t="shared" si="5"/>
        <v>#DIV/0!</v>
      </c>
      <c r="AQ59" s="39"/>
      <c r="AR59" s="39"/>
      <c r="AT59" s="30">
        <v>56</v>
      </c>
      <c r="AW59" s="33" t="e">
        <f t="shared" si="7"/>
        <v>#DIV/0!</v>
      </c>
      <c r="AY59" s="30">
        <v>56</v>
      </c>
      <c r="BB59" s="33" t="e">
        <f t="shared" si="8"/>
        <v>#DIV/0!</v>
      </c>
      <c r="BG59" s="33" t="e">
        <f t="shared" si="9"/>
        <v>#DIV/0!</v>
      </c>
      <c r="BI59" s="30">
        <v>56</v>
      </c>
      <c r="BJ59" s="38" t="s">
        <v>62</v>
      </c>
      <c r="BK59">
        <v>19</v>
      </c>
      <c r="BL59" s="33">
        <f t="shared" si="10"/>
        <v>1570.0615789473684</v>
      </c>
      <c r="BM59" s="40">
        <v>29831.17</v>
      </c>
      <c r="BN59" s="111">
        <f t="shared" si="14"/>
        <v>6.8269196220042397E-4</v>
      </c>
    </row>
    <row r="60" spans="1:66" x14ac:dyDescent="0.35">
      <c r="A60" s="30">
        <v>57</v>
      </c>
      <c r="B60" s="38" t="s">
        <v>83</v>
      </c>
      <c r="C60" s="38">
        <v>5</v>
      </c>
      <c r="D60" s="33">
        <f t="shared" si="11"/>
        <v>2357.9</v>
      </c>
      <c r="E60" s="38">
        <v>11789.5</v>
      </c>
      <c r="F60" s="34">
        <v>57</v>
      </c>
      <c r="G60" s="38" t="s">
        <v>62</v>
      </c>
      <c r="H60" s="38">
        <v>4</v>
      </c>
      <c r="I60" s="33">
        <f t="shared" si="12"/>
        <v>2135.7224999999999</v>
      </c>
      <c r="J60" s="38">
        <v>8542.89</v>
      </c>
      <c r="L60" s="31" t="s">
        <v>118</v>
      </c>
      <c r="M60" s="36">
        <v>3</v>
      </c>
      <c r="N60" s="33">
        <f t="shared" si="13"/>
        <v>1462.4733333333334</v>
      </c>
      <c r="O60" s="35">
        <v>4387.42</v>
      </c>
      <c r="P60" s="30">
        <v>57</v>
      </c>
      <c r="Q60" s="38" t="s">
        <v>76</v>
      </c>
      <c r="R60" s="2">
        <v>1</v>
      </c>
      <c r="S60" s="33">
        <f t="shared" si="0"/>
        <v>1444.35</v>
      </c>
      <c r="T60" s="38">
        <v>1444.35</v>
      </c>
      <c r="V60" s="38" t="s">
        <v>94</v>
      </c>
      <c r="W60" s="2">
        <v>1</v>
      </c>
      <c r="X60" s="38"/>
      <c r="Y60" s="38">
        <v>1360.24</v>
      </c>
      <c r="AA60" s="38" t="s">
        <v>39</v>
      </c>
      <c r="AB60" s="2">
        <v>2</v>
      </c>
      <c r="AC60" s="33">
        <f t="shared" si="3"/>
        <v>1521.08</v>
      </c>
      <c r="AD60" s="38">
        <v>3042.16</v>
      </c>
      <c r="AE60" s="30">
        <v>57</v>
      </c>
      <c r="AH60" s="33" t="e">
        <f t="shared" si="4"/>
        <v>#DIV/0!</v>
      </c>
      <c r="AL60" s="39"/>
      <c r="AM60" s="33" t="e">
        <f t="shared" si="5"/>
        <v>#DIV/0!</v>
      </c>
      <c r="AQ60" s="39"/>
      <c r="AR60" s="39"/>
      <c r="AT60" s="30">
        <v>57</v>
      </c>
      <c r="AW60" s="33" t="e">
        <f t="shared" si="7"/>
        <v>#DIV/0!</v>
      </c>
      <c r="AY60" s="30">
        <v>57</v>
      </c>
      <c r="BB60" s="33" t="e">
        <f t="shared" si="8"/>
        <v>#DIV/0!</v>
      </c>
      <c r="BG60" s="33" t="e">
        <f t="shared" si="9"/>
        <v>#DIV/0!</v>
      </c>
      <c r="BI60" s="30">
        <v>57</v>
      </c>
      <c r="BJ60" s="38" t="s">
        <v>95</v>
      </c>
      <c r="BK60">
        <v>19</v>
      </c>
      <c r="BL60" s="33">
        <f t="shared" si="10"/>
        <v>1420.25</v>
      </c>
      <c r="BM60" s="40">
        <v>26984.75</v>
      </c>
      <c r="BN60" s="111">
        <f t="shared" si="14"/>
        <v>6.8269196220042397E-4</v>
      </c>
    </row>
    <row r="61" spans="1:66" x14ac:dyDescent="0.35">
      <c r="A61" s="30">
        <v>58</v>
      </c>
      <c r="B61" s="38" t="s">
        <v>92</v>
      </c>
      <c r="C61" s="38">
        <v>4</v>
      </c>
      <c r="D61" s="33">
        <f t="shared" si="11"/>
        <v>1612.2125000000001</v>
      </c>
      <c r="E61" s="38">
        <v>6448.85</v>
      </c>
      <c r="F61" s="34">
        <v>58</v>
      </c>
      <c r="G61" s="38" t="s">
        <v>87</v>
      </c>
      <c r="H61" s="38">
        <v>4</v>
      </c>
      <c r="I61" s="33">
        <f t="shared" si="12"/>
        <v>1636.3525</v>
      </c>
      <c r="J61" s="38">
        <v>6545.41</v>
      </c>
      <c r="L61" s="38" t="s">
        <v>116</v>
      </c>
      <c r="M61" s="2">
        <v>3</v>
      </c>
      <c r="N61" s="33">
        <f t="shared" si="13"/>
        <v>1959.8966666666665</v>
      </c>
      <c r="O61" s="38">
        <v>5879.69</v>
      </c>
      <c r="P61" s="30">
        <v>58</v>
      </c>
      <c r="Q61" s="38" t="s">
        <v>96</v>
      </c>
      <c r="R61" s="2">
        <v>1</v>
      </c>
      <c r="S61" s="33">
        <f t="shared" si="0"/>
        <v>1647.38</v>
      </c>
      <c r="T61" s="38">
        <v>1647.38</v>
      </c>
      <c r="X61" s="38"/>
      <c r="AA61" s="38" t="s">
        <v>97</v>
      </c>
      <c r="AB61" s="2">
        <v>2</v>
      </c>
      <c r="AC61" s="33">
        <f t="shared" si="3"/>
        <v>769.78</v>
      </c>
      <c r="AD61" s="38">
        <v>1539.56</v>
      </c>
      <c r="AE61" s="30">
        <v>58</v>
      </c>
      <c r="AH61" s="33" t="e">
        <f t="shared" si="4"/>
        <v>#DIV/0!</v>
      </c>
      <c r="AM61" s="33" t="e">
        <f t="shared" si="5"/>
        <v>#DIV/0!</v>
      </c>
      <c r="AQ61" s="39"/>
      <c r="AR61" s="39"/>
      <c r="AT61" s="30">
        <v>58</v>
      </c>
      <c r="AW61" s="33" t="e">
        <f t="shared" si="7"/>
        <v>#DIV/0!</v>
      </c>
      <c r="AY61" s="30">
        <v>58</v>
      </c>
      <c r="BB61" s="33" t="e">
        <f t="shared" si="8"/>
        <v>#DIV/0!</v>
      </c>
      <c r="BG61" s="33" t="e">
        <f t="shared" si="9"/>
        <v>#DIV/0!</v>
      </c>
      <c r="BI61" s="30">
        <v>58</v>
      </c>
      <c r="BJ61" s="38" t="s">
        <v>98</v>
      </c>
      <c r="BK61">
        <v>17</v>
      </c>
      <c r="BL61" s="33">
        <f t="shared" si="10"/>
        <v>1365.8376470588237</v>
      </c>
      <c r="BM61" s="40">
        <v>23219.24</v>
      </c>
      <c r="BN61" s="111">
        <f t="shared" si="14"/>
        <v>6.1082965038985299E-4</v>
      </c>
    </row>
    <row r="62" spans="1:66" x14ac:dyDescent="0.35">
      <c r="A62" s="30">
        <v>59</v>
      </c>
      <c r="B62" s="38" t="s">
        <v>63</v>
      </c>
      <c r="C62" s="38">
        <v>4</v>
      </c>
      <c r="D62" s="33">
        <f t="shared" si="11"/>
        <v>1776.1125</v>
      </c>
      <c r="E62" s="38">
        <v>7104.45</v>
      </c>
      <c r="F62" s="34">
        <v>59</v>
      </c>
      <c r="G62" s="38" t="s">
        <v>80</v>
      </c>
      <c r="H62" s="38">
        <v>4</v>
      </c>
      <c r="I62" s="33">
        <f t="shared" si="12"/>
        <v>1501.69</v>
      </c>
      <c r="J62" s="38">
        <v>6006.76</v>
      </c>
      <c r="L62" s="38" t="s">
        <v>48</v>
      </c>
      <c r="M62" s="2">
        <v>3</v>
      </c>
      <c r="N62" s="33">
        <f t="shared" si="13"/>
        <v>1957.7733333333333</v>
      </c>
      <c r="O62" s="38">
        <v>5873.32</v>
      </c>
      <c r="P62" s="30">
        <v>59</v>
      </c>
      <c r="Q62" s="38" t="s">
        <v>99</v>
      </c>
      <c r="R62" s="2">
        <v>1</v>
      </c>
      <c r="S62" s="33">
        <f t="shared" si="0"/>
        <v>1549.7</v>
      </c>
      <c r="T62" s="38">
        <v>1549.7</v>
      </c>
      <c r="X62" s="38"/>
      <c r="AA62" s="38" t="s">
        <v>86</v>
      </c>
      <c r="AB62" s="2">
        <v>1</v>
      </c>
      <c r="AC62" s="33">
        <f t="shared" si="3"/>
        <v>1050</v>
      </c>
      <c r="AD62" s="38">
        <v>1050</v>
      </c>
      <c r="AH62" s="33" t="e">
        <f t="shared" si="4"/>
        <v>#DIV/0!</v>
      </c>
      <c r="AM62" s="33" t="e">
        <f t="shared" si="5"/>
        <v>#DIV/0!</v>
      </c>
      <c r="AQ62" s="39"/>
      <c r="AR62" s="39"/>
      <c r="AT62" s="30">
        <v>58</v>
      </c>
      <c r="AW62" s="33" t="e">
        <f t="shared" si="7"/>
        <v>#DIV/0!</v>
      </c>
      <c r="AY62" s="30">
        <v>59</v>
      </c>
      <c r="BB62" s="33" t="e">
        <f t="shared" si="8"/>
        <v>#DIV/0!</v>
      </c>
      <c r="BG62" s="33" t="e">
        <f t="shared" si="9"/>
        <v>#DIV/0!</v>
      </c>
      <c r="BI62" s="30">
        <v>59</v>
      </c>
      <c r="BJ62" s="38" t="s">
        <v>61</v>
      </c>
      <c r="BK62">
        <v>17</v>
      </c>
      <c r="BL62" s="33">
        <f t="shared" si="10"/>
        <v>1277.4029411764704</v>
      </c>
      <c r="BM62" s="40">
        <v>21715.85</v>
      </c>
      <c r="BN62" s="111">
        <f t="shared" si="14"/>
        <v>6.1082965038985299E-4</v>
      </c>
    </row>
    <row r="63" spans="1:66" x14ac:dyDescent="0.35">
      <c r="A63" s="30">
        <v>60</v>
      </c>
      <c r="B63" s="38" t="s">
        <v>96</v>
      </c>
      <c r="C63" s="38">
        <v>4</v>
      </c>
      <c r="D63" s="33">
        <f t="shared" si="11"/>
        <v>1696.9849999999999</v>
      </c>
      <c r="E63" s="38">
        <v>6787.94</v>
      </c>
      <c r="F63" s="34">
        <v>60</v>
      </c>
      <c r="G63" s="38" t="s">
        <v>59</v>
      </c>
      <c r="H63" s="38">
        <v>4</v>
      </c>
      <c r="I63" s="33">
        <f t="shared" si="12"/>
        <v>1745.9549999999999</v>
      </c>
      <c r="J63" s="38">
        <v>6983.82</v>
      </c>
      <c r="L63" s="38" t="s">
        <v>89</v>
      </c>
      <c r="M63" s="2">
        <v>3</v>
      </c>
      <c r="N63" s="33">
        <f t="shared" si="13"/>
        <v>1418.0433333333333</v>
      </c>
      <c r="O63" s="38">
        <v>4254.13</v>
      </c>
      <c r="Q63" s="38" t="s">
        <v>58</v>
      </c>
      <c r="R63" s="2">
        <v>1</v>
      </c>
      <c r="S63" s="33">
        <f t="shared" si="0"/>
        <v>2379.7800000000002</v>
      </c>
      <c r="T63" s="38">
        <v>2379.7800000000002</v>
      </c>
      <c r="X63" s="38"/>
      <c r="AA63" s="38" t="s">
        <v>46</v>
      </c>
      <c r="AB63" s="2">
        <v>1</v>
      </c>
      <c r="AC63" s="38"/>
      <c r="AD63" s="38">
        <v>1091.2</v>
      </c>
      <c r="AH63" s="33" t="e">
        <f t="shared" si="4"/>
        <v>#DIV/0!</v>
      </c>
      <c r="AQ63" s="39"/>
      <c r="AR63" s="39"/>
      <c r="AT63" s="30">
        <v>58</v>
      </c>
      <c r="AW63" s="33" t="e">
        <f t="shared" si="7"/>
        <v>#DIV/0!</v>
      </c>
      <c r="AY63" s="30">
        <v>60</v>
      </c>
      <c r="BB63" s="33" t="e">
        <f t="shared" si="8"/>
        <v>#DIV/0!</v>
      </c>
      <c r="BG63" s="33" t="e">
        <f t="shared" si="9"/>
        <v>#DIV/0!</v>
      </c>
      <c r="BI63" s="30">
        <v>60</v>
      </c>
      <c r="BJ63" s="38" t="s">
        <v>83</v>
      </c>
      <c r="BK63">
        <v>16</v>
      </c>
      <c r="BL63" s="33">
        <f t="shared" si="10"/>
        <v>1515.5443749999999</v>
      </c>
      <c r="BM63" s="40">
        <v>24248.71</v>
      </c>
      <c r="BN63" s="111">
        <f t="shared" si="14"/>
        <v>5.7489849448456756E-4</v>
      </c>
    </row>
    <row r="64" spans="1:66" x14ac:dyDescent="0.35">
      <c r="A64" s="30">
        <v>61</v>
      </c>
      <c r="B64" s="38" t="s">
        <v>112</v>
      </c>
      <c r="C64" s="38">
        <v>4</v>
      </c>
      <c r="D64" s="33">
        <f t="shared" si="11"/>
        <v>1247.4000000000001</v>
      </c>
      <c r="E64" s="38">
        <v>4989.6000000000004</v>
      </c>
      <c r="F64" s="34">
        <v>61</v>
      </c>
      <c r="G64" s="38" t="s">
        <v>63</v>
      </c>
      <c r="H64" s="38">
        <v>4</v>
      </c>
      <c r="I64" s="33">
        <f t="shared" si="12"/>
        <v>1462.5374999999999</v>
      </c>
      <c r="J64" s="38">
        <v>5850.15</v>
      </c>
      <c r="L64" s="38" t="s">
        <v>95</v>
      </c>
      <c r="M64" s="2">
        <v>3</v>
      </c>
      <c r="N64" s="33">
        <f t="shared" si="13"/>
        <v>1620.05</v>
      </c>
      <c r="O64" s="38">
        <v>4860.1499999999996</v>
      </c>
      <c r="Q64" s="38" t="s">
        <v>60</v>
      </c>
      <c r="R64" s="2">
        <v>1</v>
      </c>
      <c r="S64" s="33">
        <f t="shared" si="0"/>
        <v>934.58</v>
      </c>
      <c r="T64" s="38">
        <v>934.58</v>
      </c>
      <c r="X64" s="38"/>
      <c r="AA64" s="38" t="s">
        <v>93</v>
      </c>
      <c r="AB64" s="2">
        <v>1</v>
      </c>
      <c r="AC64" s="38"/>
      <c r="AD64" s="38">
        <v>940.93</v>
      </c>
      <c r="AH64" s="33" t="e">
        <f t="shared" si="4"/>
        <v>#DIV/0!</v>
      </c>
      <c r="AQ64" s="39"/>
      <c r="AR64" s="39"/>
      <c r="AW64" s="39"/>
      <c r="AY64" s="30">
        <v>61</v>
      </c>
      <c r="BB64" s="33" t="e">
        <f t="shared" si="8"/>
        <v>#DIV/0!</v>
      </c>
      <c r="BG64" s="33" t="e">
        <f t="shared" si="9"/>
        <v>#DIV/0!</v>
      </c>
      <c r="BI64" s="30">
        <v>61</v>
      </c>
      <c r="BJ64" s="38" t="s">
        <v>100</v>
      </c>
      <c r="BK64">
        <v>16</v>
      </c>
      <c r="BL64" s="33">
        <f t="shared" si="10"/>
        <v>1684.5062499999999</v>
      </c>
      <c r="BM64" s="40">
        <v>26952.1</v>
      </c>
      <c r="BN64" s="111">
        <f t="shared" si="14"/>
        <v>5.7489849448456756E-4</v>
      </c>
    </row>
    <row r="65" spans="1:66" x14ac:dyDescent="0.35">
      <c r="A65" s="30">
        <v>62</v>
      </c>
      <c r="B65" s="38" t="s">
        <v>79</v>
      </c>
      <c r="C65" s="38">
        <v>3</v>
      </c>
      <c r="D65" s="33">
        <f t="shared" si="11"/>
        <v>4015.1200000000003</v>
      </c>
      <c r="E65" s="38">
        <v>12045.36</v>
      </c>
      <c r="F65" s="34">
        <v>62</v>
      </c>
      <c r="G65" s="38" t="s">
        <v>89</v>
      </c>
      <c r="H65" s="38">
        <v>4</v>
      </c>
      <c r="I65" s="33">
        <f t="shared" si="12"/>
        <v>2124.625</v>
      </c>
      <c r="J65" s="38">
        <v>8498.5</v>
      </c>
      <c r="L65" s="38" t="s">
        <v>98</v>
      </c>
      <c r="M65" s="2">
        <v>2</v>
      </c>
      <c r="N65" s="33">
        <f t="shared" si="13"/>
        <v>1996.605</v>
      </c>
      <c r="O65" s="38">
        <v>3993.21</v>
      </c>
      <c r="Q65" s="38" t="s">
        <v>91</v>
      </c>
      <c r="S65" s="33" t="e">
        <f t="shared" si="0"/>
        <v>#DIV/0!</v>
      </c>
      <c r="T65" s="38">
        <v>934.58</v>
      </c>
      <c r="X65" s="38"/>
      <c r="AA65" s="38" t="s">
        <v>89</v>
      </c>
      <c r="AB65" s="2">
        <v>1</v>
      </c>
      <c r="AC65" s="38"/>
      <c r="AD65" s="38">
        <v>956.25</v>
      </c>
      <c r="AH65" s="38"/>
      <c r="AQ65" s="39"/>
      <c r="AR65" s="39"/>
      <c r="AW65" s="39"/>
      <c r="AY65" s="30">
        <v>62</v>
      </c>
      <c r="BB65" s="33" t="e">
        <f t="shared" si="8"/>
        <v>#DIV/0!</v>
      </c>
      <c r="BG65" s="33" t="e">
        <f t="shared" si="9"/>
        <v>#DIV/0!</v>
      </c>
      <c r="BI65" s="30">
        <v>62</v>
      </c>
      <c r="BJ65" s="38" t="s">
        <v>99</v>
      </c>
      <c r="BK65">
        <v>16</v>
      </c>
      <c r="BL65" s="33">
        <f t="shared" si="10"/>
        <v>1358.27</v>
      </c>
      <c r="BM65" s="40">
        <v>21732.32</v>
      </c>
      <c r="BN65" s="111">
        <f t="shared" si="14"/>
        <v>5.7489849448456756E-4</v>
      </c>
    </row>
    <row r="66" spans="1:66" x14ac:dyDescent="0.35">
      <c r="A66" s="30">
        <v>63</v>
      </c>
      <c r="B66" s="38" t="s">
        <v>107</v>
      </c>
      <c r="C66" s="38">
        <v>3</v>
      </c>
      <c r="D66" s="33">
        <f t="shared" si="11"/>
        <v>1289.53</v>
      </c>
      <c r="E66" s="38">
        <v>3868.59</v>
      </c>
      <c r="F66" s="34">
        <v>63</v>
      </c>
      <c r="G66" s="38" t="s">
        <v>108</v>
      </c>
      <c r="H66" s="38">
        <v>3</v>
      </c>
      <c r="I66" s="33">
        <f t="shared" si="12"/>
        <v>1701.1000000000001</v>
      </c>
      <c r="J66" s="38">
        <v>5103.3</v>
      </c>
      <c r="L66" s="38" t="s">
        <v>74</v>
      </c>
      <c r="M66" s="2">
        <v>2</v>
      </c>
      <c r="N66" s="33">
        <f t="shared" si="13"/>
        <v>1147.5</v>
      </c>
      <c r="O66" s="38">
        <v>2295</v>
      </c>
      <c r="S66" s="33"/>
      <c r="X66" s="38"/>
      <c r="AA66" s="38" t="s">
        <v>101</v>
      </c>
      <c r="AB66" s="2">
        <v>1</v>
      </c>
      <c r="AC66" s="38"/>
      <c r="AD66" s="38">
        <v>1189.46</v>
      </c>
      <c r="AH66" s="38"/>
      <c r="AQ66" s="39"/>
      <c r="AR66" s="39"/>
      <c r="AW66" s="39"/>
      <c r="AY66" s="30">
        <v>63</v>
      </c>
      <c r="BB66" s="33" t="e">
        <f t="shared" si="8"/>
        <v>#DIV/0!</v>
      </c>
      <c r="BG66" s="33" t="e">
        <f t="shared" si="9"/>
        <v>#DIV/0!</v>
      </c>
      <c r="BI66" s="30">
        <v>63</v>
      </c>
      <c r="BJ66" s="38" t="s">
        <v>79</v>
      </c>
      <c r="BK66">
        <v>15</v>
      </c>
      <c r="BL66" s="33">
        <f t="shared" si="10"/>
        <v>2095.1833333333334</v>
      </c>
      <c r="BM66" s="40">
        <v>31427.75</v>
      </c>
      <c r="BN66" s="111">
        <f t="shared" si="14"/>
        <v>5.3896733857928213E-4</v>
      </c>
    </row>
    <row r="67" spans="1:66" x14ac:dyDescent="0.35">
      <c r="A67" s="30">
        <v>64</v>
      </c>
      <c r="B67" s="38" t="s">
        <v>104</v>
      </c>
      <c r="C67" s="38">
        <v>3</v>
      </c>
      <c r="D67" s="33">
        <f t="shared" si="11"/>
        <v>1331.07</v>
      </c>
      <c r="E67" s="38">
        <v>3993.21</v>
      </c>
      <c r="F67" s="34">
        <v>64</v>
      </c>
      <c r="G67" s="38" t="s">
        <v>67</v>
      </c>
      <c r="H67" s="38">
        <v>3</v>
      </c>
      <c r="I67" s="33">
        <f t="shared" si="12"/>
        <v>1415.25</v>
      </c>
      <c r="J67" s="38">
        <v>4245.75</v>
      </c>
      <c r="L67" s="38" t="s">
        <v>59</v>
      </c>
      <c r="M67" s="2">
        <v>2</v>
      </c>
      <c r="N67" s="33">
        <f t="shared" si="13"/>
        <v>2134.84</v>
      </c>
      <c r="O67" s="38">
        <v>4269.68</v>
      </c>
      <c r="S67" s="33"/>
      <c r="X67" s="38"/>
      <c r="AA67" s="38" t="s">
        <v>45</v>
      </c>
      <c r="AB67" s="2">
        <v>0</v>
      </c>
      <c r="AC67" s="38"/>
      <c r="AD67" s="38">
        <v>934.58</v>
      </c>
      <c r="AH67" s="38"/>
      <c r="AQ67" s="39"/>
      <c r="AR67" s="39"/>
      <c r="AW67" s="39"/>
      <c r="BB67" s="33" t="e">
        <f t="shared" ref="BB67:BB73" si="15">BC67/BA67</f>
        <v>#DIV/0!</v>
      </c>
      <c r="BG67" s="33" t="e">
        <f t="shared" ref="BG67:BG71" si="16">BH67/BF67</f>
        <v>#DIV/0!</v>
      </c>
      <c r="BI67" s="30">
        <v>64</v>
      </c>
      <c r="BJ67" s="38" t="s">
        <v>88</v>
      </c>
      <c r="BK67">
        <v>14</v>
      </c>
      <c r="BL67" s="33">
        <f t="shared" si="10"/>
        <v>1588.9257142857143</v>
      </c>
      <c r="BM67" s="40">
        <v>22244.959999999999</v>
      </c>
      <c r="BN67" s="111">
        <f t="shared" si="14"/>
        <v>5.0303618267399659E-4</v>
      </c>
    </row>
    <row r="68" spans="1:66" x14ac:dyDescent="0.35">
      <c r="A68" s="30">
        <v>65</v>
      </c>
      <c r="B68" s="38" t="s">
        <v>64</v>
      </c>
      <c r="C68" s="38">
        <v>3</v>
      </c>
      <c r="D68" s="33">
        <f t="shared" si="11"/>
        <v>1678.5733333333335</v>
      </c>
      <c r="E68" s="38">
        <v>5035.72</v>
      </c>
      <c r="F68" s="34">
        <v>65</v>
      </c>
      <c r="G68" s="38" t="s">
        <v>92</v>
      </c>
      <c r="H68" s="38">
        <v>3</v>
      </c>
      <c r="I68" s="33">
        <f t="shared" si="12"/>
        <v>1945.3233333333335</v>
      </c>
      <c r="J68" s="38">
        <v>5835.97</v>
      </c>
      <c r="L68" s="38" t="s">
        <v>134</v>
      </c>
      <c r="M68" s="2">
        <v>2</v>
      </c>
      <c r="N68" s="33">
        <f t="shared" si="13"/>
        <v>1433.73</v>
      </c>
      <c r="O68" s="38">
        <v>2867.46</v>
      </c>
      <c r="S68" s="33"/>
      <c r="X68" s="38"/>
      <c r="AA68" s="38" t="s">
        <v>99</v>
      </c>
      <c r="AB68" s="2">
        <v>0</v>
      </c>
      <c r="AC68" s="38"/>
      <c r="AD68" s="38">
        <v>934.58</v>
      </c>
      <c r="AH68" s="38"/>
      <c r="AQ68" s="39"/>
      <c r="AR68" s="39"/>
      <c r="AW68" s="39"/>
      <c r="BB68" s="33" t="e">
        <f t="shared" si="15"/>
        <v>#DIV/0!</v>
      </c>
      <c r="BG68" s="33" t="e">
        <f t="shared" si="16"/>
        <v>#DIV/0!</v>
      </c>
      <c r="BI68" s="30">
        <v>65</v>
      </c>
      <c r="BJ68" s="38" t="s">
        <v>91</v>
      </c>
      <c r="BK68">
        <v>14</v>
      </c>
      <c r="BL68" s="33">
        <f t="shared" ref="BL68:BL104" si="17">BM68/BK68</f>
        <v>1430.1964285714287</v>
      </c>
      <c r="BM68" s="40">
        <v>20022.75</v>
      </c>
      <c r="BN68" s="111">
        <f t="shared" si="14"/>
        <v>5.0303618267399659E-4</v>
      </c>
    </row>
    <row r="69" spans="1:66" x14ac:dyDescent="0.35">
      <c r="A69" s="30">
        <v>66</v>
      </c>
      <c r="B69" s="38" t="s">
        <v>115</v>
      </c>
      <c r="C69" s="38">
        <v>3</v>
      </c>
      <c r="D69" s="33">
        <f t="shared" ref="D69:D117" si="18">E69/C69</f>
        <v>1678.7033333333331</v>
      </c>
      <c r="E69" s="38">
        <v>5036.1099999999997</v>
      </c>
      <c r="F69" s="34">
        <v>66</v>
      </c>
      <c r="G69" s="38" t="s">
        <v>68</v>
      </c>
      <c r="H69" s="38">
        <v>3</v>
      </c>
      <c r="I69" s="33">
        <f t="shared" ref="I69:I117" si="19">J69/H69</f>
        <v>1664.7733333333333</v>
      </c>
      <c r="J69" s="38">
        <v>4994.32</v>
      </c>
      <c r="L69" s="38" t="s">
        <v>40</v>
      </c>
      <c r="M69" s="2">
        <v>2</v>
      </c>
      <c r="N69" s="33">
        <f t="shared" ref="N69:N117" si="20">O69/M69</f>
        <v>1439.85</v>
      </c>
      <c r="O69" s="38">
        <v>2879.7</v>
      </c>
      <c r="S69" s="33"/>
      <c r="X69" s="38"/>
      <c r="AC69" s="38"/>
      <c r="AH69" s="38"/>
      <c r="AQ69" s="39"/>
      <c r="AR69" s="39"/>
      <c r="AW69" s="39"/>
      <c r="BB69" s="33" t="e">
        <f t="shared" si="15"/>
        <v>#DIV/0!</v>
      </c>
      <c r="BG69" s="33" t="e">
        <f t="shared" si="16"/>
        <v>#DIV/0!</v>
      </c>
      <c r="BI69" s="30">
        <v>66</v>
      </c>
      <c r="BJ69" s="38" t="s">
        <v>76</v>
      </c>
      <c r="BK69">
        <v>14</v>
      </c>
      <c r="BL69" s="33">
        <f t="shared" si="17"/>
        <v>1304.1742857142856</v>
      </c>
      <c r="BM69" s="40">
        <v>18258.439999999999</v>
      </c>
      <c r="BN69" s="111">
        <f t="shared" ref="BN69:BN99" si="21">BK69/$BK$3</f>
        <v>5.0303618267399659E-4</v>
      </c>
    </row>
    <row r="70" spans="1:66" x14ac:dyDescent="0.35">
      <c r="A70" s="30">
        <v>67</v>
      </c>
      <c r="B70" s="38" t="s">
        <v>91</v>
      </c>
      <c r="C70" s="38">
        <v>3</v>
      </c>
      <c r="D70" s="33">
        <f t="shared" si="18"/>
        <v>1764.0600000000002</v>
      </c>
      <c r="E70" s="38">
        <v>5292.18</v>
      </c>
      <c r="F70" s="34">
        <v>67</v>
      </c>
      <c r="G70" s="38" t="s">
        <v>78</v>
      </c>
      <c r="H70" s="38">
        <v>3</v>
      </c>
      <c r="I70" s="33">
        <f t="shared" si="19"/>
        <v>1663.88</v>
      </c>
      <c r="J70" s="38">
        <v>4991.6400000000003</v>
      </c>
      <c r="L70" s="38" t="s">
        <v>47</v>
      </c>
      <c r="M70" s="2">
        <v>2</v>
      </c>
      <c r="N70" s="33">
        <f t="shared" si="20"/>
        <v>1754.885</v>
      </c>
      <c r="O70" s="38">
        <v>3509.77</v>
      </c>
      <c r="S70" s="33"/>
      <c r="X70" s="38"/>
      <c r="AC70" s="38"/>
      <c r="AH70" s="38"/>
      <c r="AQ70" s="39"/>
      <c r="AR70" s="39"/>
      <c r="AW70" s="39"/>
      <c r="BB70" s="33" t="e">
        <f t="shared" si="15"/>
        <v>#DIV/0!</v>
      </c>
      <c r="BG70" s="33" t="e">
        <f t="shared" si="16"/>
        <v>#DIV/0!</v>
      </c>
      <c r="BI70" s="30">
        <v>67</v>
      </c>
      <c r="BJ70" s="38" t="s">
        <v>87</v>
      </c>
      <c r="BK70">
        <v>13</v>
      </c>
      <c r="BL70" s="33">
        <f t="shared" si="17"/>
        <v>1228.2238461538461</v>
      </c>
      <c r="BM70" s="40">
        <v>15966.91</v>
      </c>
      <c r="BN70" s="111">
        <f t="shared" si="21"/>
        <v>4.6710502676871116E-4</v>
      </c>
    </row>
    <row r="71" spans="1:66" x14ac:dyDescent="0.35">
      <c r="A71" s="30">
        <v>68</v>
      </c>
      <c r="B71" s="38" t="s">
        <v>75</v>
      </c>
      <c r="C71" s="38">
        <v>3</v>
      </c>
      <c r="D71" s="33">
        <f t="shared" si="18"/>
        <v>1721.7133333333334</v>
      </c>
      <c r="E71" s="38">
        <v>5165.1400000000003</v>
      </c>
      <c r="F71" s="34">
        <v>68</v>
      </c>
      <c r="G71" s="38" t="s">
        <v>129</v>
      </c>
      <c r="H71" s="38">
        <v>3</v>
      </c>
      <c r="I71" s="33">
        <f t="shared" si="19"/>
        <v>1597.57</v>
      </c>
      <c r="J71" s="38">
        <v>4792.71</v>
      </c>
      <c r="L71" s="38" t="s">
        <v>105</v>
      </c>
      <c r="M71" s="2">
        <v>1</v>
      </c>
      <c r="N71" s="33">
        <f t="shared" si="20"/>
        <v>1062.02</v>
      </c>
      <c r="O71" s="38">
        <v>1062.02</v>
      </c>
      <c r="S71" s="33"/>
      <c r="X71" s="38"/>
      <c r="AC71" s="38"/>
      <c r="AH71" s="38"/>
      <c r="AQ71" s="39"/>
      <c r="AR71" s="39"/>
      <c r="AW71" s="39"/>
      <c r="BB71" s="33" t="e">
        <f t="shared" si="15"/>
        <v>#DIV/0!</v>
      </c>
      <c r="BG71" s="33" t="e">
        <f t="shared" si="16"/>
        <v>#DIV/0!</v>
      </c>
      <c r="BI71" s="30">
        <v>68</v>
      </c>
      <c r="BJ71" s="38" t="s">
        <v>102</v>
      </c>
      <c r="BK71">
        <v>11</v>
      </c>
      <c r="BL71" s="33">
        <f t="shared" si="17"/>
        <v>1437.3181818181818</v>
      </c>
      <c r="BM71" s="40">
        <v>15810.5</v>
      </c>
      <c r="BN71" s="111">
        <f t="shared" si="21"/>
        <v>3.9524271495814018E-4</v>
      </c>
    </row>
    <row r="72" spans="1:66" x14ac:dyDescent="0.35">
      <c r="A72" s="30">
        <v>69</v>
      </c>
      <c r="B72" s="38" t="s">
        <v>76</v>
      </c>
      <c r="C72" s="38">
        <v>3</v>
      </c>
      <c r="D72" s="33">
        <f t="shared" si="18"/>
        <v>1230.7366666666667</v>
      </c>
      <c r="E72" s="38">
        <v>3692.21</v>
      </c>
      <c r="F72" s="34">
        <v>69</v>
      </c>
      <c r="G72" s="38" t="s">
        <v>77</v>
      </c>
      <c r="H72" s="38">
        <v>3</v>
      </c>
      <c r="I72" s="33">
        <f t="shared" si="19"/>
        <v>2025.1899999999998</v>
      </c>
      <c r="J72" s="38">
        <v>6075.57</v>
      </c>
      <c r="L72" s="38" t="s">
        <v>110</v>
      </c>
      <c r="M72" s="2">
        <v>1</v>
      </c>
      <c r="N72" s="33">
        <f t="shared" si="20"/>
        <v>1274.42</v>
      </c>
      <c r="O72" s="38">
        <v>1274.42</v>
      </c>
      <c r="S72" s="33"/>
      <c r="X72" s="38"/>
      <c r="AC72" s="38"/>
      <c r="AH72" s="38"/>
      <c r="AQ72" s="39"/>
      <c r="AR72" s="39"/>
      <c r="AW72" s="39"/>
      <c r="BB72" s="33" t="e">
        <f t="shared" si="15"/>
        <v>#DIV/0!</v>
      </c>
      <c r="BI72" s="30">
        <v>69</v>
      </c>
      <c r="BJ72" s="38" t="s">
        <v>75</v>
      </c>
      <c r="BK72">
        <v>10</v>
      </c>
      <c r="BL72" s="33">
        <f t="shared" si="17"/>
        <v>1278.162</v>
      </c>
      <c r="BM72" s="40">
        <v>12781.62</v>
      </c>
      <c r="BN72" s="111">
        <f t="shared" si="21"/>
        <v>3.5931155905285475E-4</v>
      </c>
    </row>
    <row r="73" spans="1:66" x14ac:dyDescent="0.35">
      <c r="A73" s="30">
        <v>70</v>
      </c>
      <c r="B73" s="38" t="s">
        <v>100</v>
      </c>
      <c r="C73" s="38">
        <v>3</v>
      </c>
      <c r="D73" s="33">
        <f t="shared" si="18"/>
        <v>1614.1266666666668</v>
      </c>
      <c r="E73" s="38">
        <v>4842.38</v>
      </c>
      <c r="F73" s="34">
        <v>70</v>
      </c>
      <c r="G73" s="38" t="s">
        <v>90</v>
      </c>
      <c r="H73" s="38">
        <v>3</v>
      </c>
      <c r="I73" s="33">
        <f t="shared" si="19"/>
        <v>1663.88</v>
      </c>
      <c r="J73" s="38">
        <v>4991.6400000000003</v>
      </c>
      <c r="N73" s="33" t="e">
        <f t="shared" si="20"/>
        <v>#DIV/0!</v>
      </c>
      <c r="O73" s="38">
        <v>1529.31</v>
      </c>
      <c r="S73" s="33"/>
      <c r="X73" s="38"/>
      <c r="AC73" s="38"/>
      <c r="AH73" s="38"/>
      <c r="AQ73" s="39"/>
      <c r="AR73" s="39"/>
      <c r="AW73" s="39"/>
      <c r="BB73" s="33" t="e">
        <f t="shared" si="15"/>
        <v>#DIV/0!</v>
      </c>
      <c r="BI73" s="30">
        <v>70</v>
      </c>
      <c r="BJ73" s="38" t="s">
        <v>67</v>
      </c>
      <c r="BK73">
        <v>9</v>
      </c>
      <c r="BL73" s="33">
        <f t="shared" si="17"/>
        <v>1170.3000000000002</v>
      </c>
      <c r="BM73" s="40">
        <v>10532.7</v>
      </c>
      <c r="BN73" s="111">
        <f t="shared" si="21"/>
        <v>3.2338040314756927E-4</v>
      </c>
    </row>
    <row r="74" spans="1:66" x14ac:dyDescent="0.35">
      <c r="A74" s="30">
        <v>71</v>
      </c>
      <c r="B74" s="38" t="s">
        <v>40</v>
      </c>
      <c r="C74" s="38">
        <v>3</v>
      </c>
      <c r="D74" s="33">
        <f t="shared" si="18"/>
        <v>1384.64</v>
      </c>
      <c r="E74" s="38">
        <v>4153.92</v>
      </c>
      <c r="F74" s="34">
        <v>71</v>
      </c>
      <c r="G74" s="38" t="s">
        <v>105</v>
      </c>
      <c r="H74" s="38">
        <v>3</v>
      </c>
      <c r="I74" s="33">
        <f t="shared" si="19"/>
        <v>1664.6599999999999</v>
      </c>
      <c r="J74" s="38">
        <v>4993.9799999999996</v>
      </c>
      <c r="N74" s="33" t="e">
        <f t="shared" si="20"/>
        <v>#DIV/0!</v>
      </c>
      <c r="S74" s="33"/>
      <c r="X74" s="38"/>
      <c r="AC74" s="38"/>
      <c r="AH74" s="38"/>
      <c r="BI74" s="30">
        <v>71</v>
      </c>
      <c r="BJ74" s="38" t="s">
        <v>74</v>
      </c>
      <c r="BK74">
        <v>9</v>
      </c>
      <c r="BL74" s="33">
        <f t="shared" si="17"/>
        <v>974.46444444444444</v>
      </c>
      <c r="BM74" s="40">
        <v>8770.18</v>
      </c>
      <c r="BN74" s="111">
        <f t="shared" si="21"/>
        <v>3.2338040314756927E-4</v>
      </c>
    </row>
    <row r="75" spans="1:66" x14ac:dyDescent="0.35">
      <c r="A75" s="30">
        <v>72</v>
      </c>
      <c r="B75" s="38" t="s">
        <v>94</v>
      </c>
      <c r="C75" s="38">
        <v>3</v>
      </c>
      <c r="D75" s="33">
        <f t="shared" si="18"/>
        <v>1327.6866666666667</v>
      </c>
      <c r="E75" s="38">
        <v>3983.06</v>
      </c>
      <c r="F75" s="34">
        <v>72</v>
      </c>
      <c r="G75" s="38" t="s">
        <v>76</v>
      </c>
      <c r="H75" s="38">
        <v>3</v>
      </c>
      <c r="I75" s="33">
        <f t="shared" si="19"/>
        <v>1504.67</v>
      </c>
      <c r="J75" s="38">
        <v>4514.01</v>
      </c>
      <c r="N75" s="33" t="e">
        <f t="shared" si="20"/>
        <v>#DIV/0!</v>
      </c>
      <c r="S75" s="33"/>
      <c r="X75" s="38"/>
      <c r="AC75" s="38"/>
      <c r="AH75" s="38"/>
      <c r="BI75" s="30">
        <v>72</v>
      </c>
      <c r="BJ75" s="38" t="s">
        <v>80</v>
      </c>
      <c r="BK75">
        <v>8</v>
      </c>
      <c r="BL75" s="33">
        <f t="shared" si="17"/>
        <v>1300.98</v>
      </c>
      <c r="BM75" s="40">
        <v>10407.84</v>
      </c>
      <c r="BN75" s="111">
        <f t="shared" si="21"/>
        <v>2.8744924724228378E-4</v>
      </c>
    </row>
    <row r="76" spans="1:66" x14ac:dyDescent="0.35">
      <c r="A76" s="30">
        <v>73</v>
      </c>
      <c r="B76" s="38" t="s">
        <v>118</v>
      </c>
      <c r="C76" s="38">
        <v>2</v>
      </c>
      <c r="D76" s="33">
        <f t="shared" si="18"/>
        <v>1246.04</v>
      </c>
      <c r="E76" s="38">
        <v>2492.08</v>
      </c>
      <c r="F76" s="34">
        <v>73</v>
      </c>
      <c r="G76" s="38" t="s">
        <v>127</v>
      </c>
      <c r="H76" s="38">
        <v>3</v>
      </c>
      <c r="I76" s="33">
        <f t="shared" si="19"/>
        <v>1950.1266666666668</v>
      </c>
      <c r="J76" s="38">
        <v>5850.38</v>
      </c>
      <c r="N76" s="33" t="e">
        <f t="shared" si="20"/>
        <v>#DIV/0!</v>
      </c>
      <c r="S76" s="33"/>
      <c r="X76" s="38"/>
      <c r="AC76" s="38"/>
      <c r="AH76" s="38"/>
      <c r="BI76" s="30">
        <v>73</v>
      </c>
      <c r="BJ76" s="38" t="s">
        <v>86</v>
      </c>
      <c r="BK76">
        <v>8</v>
      </c>
      <c r="BL76" s="33">
        <f t="shared" si="17"/>
        <v>1434.5225</v>
      </c>
      <c r="BM76" s="40">
        <v>11476.18</v>
      </c>
      <c r="BN76" s="111">
        <f t="shared" si="21"/>
        <v>2.8744924724228378E-4</v>
      </c>
    </row>
    <row r="77" spans="1:66" x14ac:dyDescent="0.35">
      <c r="A77" s="30">
        <v>74</v>
      </c>
      <c r="B77" s="38" t="s">
        <v>51</v>
      </c>
      <c r="C77" s="38">
        <v>2</v>
      </c>
      <c r="D77" s="33">
        <f t="shared" si="18"/>
        <v>1682.2449999999999</v>
      </c>
      <c r="E77" s="38">
        <v>3364.49</v>
      </c>
      <c r="F77" s="34">
        <v>74</v>
      </c>
      <c r="G77" s="38" t="s">
        <v>95</v>
      </c>
      <c r="H77" s="38">
        <v>3</v>
      </c>
      <c r="I77" s="33">
        <f t="shared" si="19"/>
        <v>1707.99</v>
      </c>
      <c r="J77" s="38">
        <v>5123.97</v>
      </c>
      <c r="N77" s="33" t="e">
        <f t="shared" si="20"/>
        <v>#DIV/0!</v>
      </c>
      <c r="S77" s="33"/>
      <c r="X77" s="38"/>
      <c r="AC77" s="38"/>
      <c r="AH77" s="38"/>
      <c r="BI77" s="30">
        <v>74</v>
      </c>
      <c r="BJ77" s="38" t="s">
        <v>64</v>
      </c>
      <c r="BK77">
        <v>8</v>
      </c>
      <c r="BL77" s="33">
        <f t="shared" si="17"/>
        <v>2207.4187499999998</v>
      </c>
      <c r="BM77" s="40">
        <v>17659.349999999999</v>
      </c>
      <c r="BN77" s="111">
        <f t="shared" si="21"/>
        <v>2.8744924724228378E-4</v>
      </c>
    </row>
    <row r="78" spans="1:66" x14ac:dyDescent="0.35">
      <c r="A78" s="30">
        <v>75</v>
      </c>
      <c r="B78" s="38" t="s">
        <v>119</v>
      </c>
      <c r="C78" s="38">
        <v>2</v>
      </c>
      <c r="D78" s="33">
        <f t="shared" si="18"/>
        <v>1156.06</v>
      </c>
      <c r="E78" s="38">
        <v>2312.12</v>
      </c>
      <c r="F78" s="34">
        <v>75</v>
      </c>
      <c r="G78" s="38" t="s">
        <v>82</v>
      </c>
      <c r="H78" s="38">
        <v>2</v>
      </c>
      <c r="I78" s="33">
        <f t="shared" si="19"/>
        <v>1450.23</v>
      </c>
      <c r="J78" s="38">
        <v>2900.46</v>
      </c>
      <c r="N78" s="33" t="e">
        <f t="shared" si="20"/>
        <v>#DIV/0!</v>
      </c>
      <c r="S78" s="33"/>
      <c r="X78" s="38"/>
      <c r="AC78" s="38"/>
      <c r="AH78" s="38"/>
      <c r="BI78" s="30">
        <v>75</v>
      </c>
      <c r="BJ78" s="38" t="s">
        <v>90</v>
      </c>
      <c r="BK78">
        <v>8</v>
      </c>
      <c r="BL78" s="33">
        <f t="shared" si="17"/>
        <v>1592.2525000000001</v>
      </c>
      <c r="BM78" s="40">
        <v>12738.02</v>
      </c>
      <c r="BN78" s="111">
        <f t="shared" si="21"/>
        <v>2.8744924724228378E-4</v>
      </c>
    </row>
    <row r="79" spans="1:66" x14ac:dyDescent="0.35">
      <c r="A79" s="30">
        <v>76</v>
      </c>
      <c r="B79" s="38" t="s">
        <v>52</v>
      </c>
      <c r="C79" s="38">
        <v>2</v>
      </c>
      <c r="D79" s="33">
        <f t="shared" si="18"/>
        <v>1795.69</v>
      </c>
      <c r="E79" s="38">
        <v>3591.38</v>
      </c>
      <c r="F79" s="34">
        <v>76</v>
      </c>
      <c r="G79" s="38" t="s">
        <v>137</v>
      </c>
      <c r="H79" s="38">
        <v>2</v>
      </c>
      <c r="I79" s="33">
        <f t="shared" si="19"/>
        <v>2103.5700000000002</v>
      </c>
      <c r="J79" s="38">
        <v>4207.1400000000003</v>
      </c>
      <c r="N79" s="33" t="e">
        <f t="shared" si="20"/>
        <v>#DIV/0!</v>
      </c>
      <c r="S79" s="33"/>
      <c r="X79" s="38"/>
      <c r="AC79" s="38"/>
      <c r="AH79" s="38"/>
      <c r="BI79" s="30">
        <v>76</v>
      </c>
      <c r="BJ79" s="38" t="s">
        <v>96</v>
      </c>
      <c r="BK79">
        <v>8</v>
      </c>
      <c r="BL79" s="33">
        <f t="shared" si="17"/>
        <v>1587.67</v>
      </c>
      <c r="BM79" s="40">
        <v>12701.36</v>
      </c>
      <c r="BN79" s="111">
        <f t="shared" si="21"/>
        <v>2.8744924724228378E-4</v>
      </c>
    </row>
    <row r="80" spans="1:66" x14ac:dyDescent="0.35">
      <c r="A80" s="30">
        <v>77</v>
      </c>
      <c r="B80" s="38" t="s">
        <v>62</v>
      </c>
      <c r="C80" s="38">
        <v>1</v>
      </c>
      <c r="D80" s="33">
        <f t="shared" si="18"/>
        <v>1641.79</v>
      </c>
      <c r="E80" s="38">
        <v>1641.79</v>
      </c>
      <c r="F80" s="34">
        <v>77</v>
      </c>
      <c r="G80" s="38" t="s">
        <v>57</v>
      </c>
      <c r="H80" s="38">
        <v>2</v>
      </c>
      <c r="I80" s="33">
        <f t="shared" si="19"/>
        <v>1581.6949999999999</v>
      </c>
      <c r="J80" s="38">
        <v>3163.39</v>
      </c>
      <c r="N80" s="33" t="e">
        <f t="shared" si="20"/>
        <v>#DIV/0!</v>
      </c>
      <c r="S80" s="38"/>
      <c r="X80" s="38"/>
      <c r="AC80" s="38"/>
      <c r="AH80" s="38"/>
      <c r="BI80" s="30">
        <v>77</v>
      </c>
      <c r="BJ80" s="38" t="s">
        <v>103</v>
      </c>
      <c r="BK80">
        <v>8</v>
      </c>
      <c r="BL80" s="33">
        <f t="shared" si="17"/>
        <v>1743.2987499999999</v>
      </c>
      <c r="BM80" s="40">
        <v>13946.39</v>
      </c>
      <c r="BN80" s="111">
        <f t="shared" si="21"/>
        <v>2.8744924724228378E-4</v>
      </c>
    </row>
    <row r="81" spans="1:66" x14ac:dyDescent="0.35">
      <c r="A81" s="30">
        <v>78</v>
      </c>
      <c r="B81" s="38" t="s">
        <v>121</v>
      </c>
      <c r="C81" s="38">
        <v>1</v>
      </c>
      <c r="D81" s="33">
        <f t="shared" si="18"/>
        <v>1530.08</v>
      </c>
      <c r="E81" s="38">
        <v>1530.08</v>
      </c>
      <c r="F81" s="34">
        <v>78</v>
      </c>
      <c r="G81" s="38" t="s">
        <v>40</v>
      </c>
      <c r="H81" s="38">
        <v>2</v>
      </c>
      <c r="I81" s="33">
        <f t="shared" si="19"/>
        <v>2216.9899999999998</v>
      </c>
      <c r="J81" s="38">
        <v>4433.9799999999996</v>
      </c>
      <c r="N81" s="33" t="e">
        <f t="shared" si="20"/>
        <v>#DIV/0!</v>
      </c>
      <c r="S81" s="38"/>
      <c r="X81" s="38"/>
      <c r="AC81" s="38"/>
      <c r="AH81" s="38"/>
      <c r="BI81" s="30">
        <v>78</v>
      </c>
      <c r="BJ81" s="38" t="s">
        <v>104</v>
      </c>
      <c r="BK81">
        <v>7</v>
      </c>
      <c r="BL81" s="33">
        <f t="shared" si="17"/>
        <v>1359.207142857143</v>
      </c>
      <c r="BM81" s="40">
        <v>9514.4500000000007</v>
      </c>
      <c r="BN81" s="111">
        <f t="shared" si="21"/>
        <v>2.5151809133699829E-4</v>
      </c>
    </row>
    <row r="82" spans="1:66" x14ac:dyDescent="0.35">
      <c r="A82" s="30">
        <v>79</v>
      </c>
      <c r="B82" s="38" t="s">
        <v>103</v>
      </c>
      <c r="C82" s="38">
        <v>1</v>
      </c>
      <c r="D82" s="33">
        <f t="shared" si="18"/>
        <v>2734.58</v>
      </c>
      <c r="E82" s="38">
        <v>2734.58</v>
      </c>
      <c r="F82" s="34">
        <v>79</v>
      </c>
      <c r="G82" s="38" t="s">
        <v>133</v>
      </c>
      <c r="H82" s="38">
        <v>2</v>
      </c>
      <c r="I82" s="33">
        <f t="shared" si="19"/>
        <v>1416.1</v>
      </c>
      <c r="J82" s="38">
        <v>2832.2</v>
      </c>
      <c r="N82" s="33" t="e">
        <f t="shared" si="20"/>
        <v>#DIV/0!</v>
      </c>
      <c r="S82" s="38"/>
      <c r="X82" s="38"/>
      <c r="AC82" s="38"/>
      <c r="AH82" s="38"/>
      <c r="BI82" s="30">
        <v>79</v>
      </c>
      <c r="BJ82" s="38" t="s">
        <v>81</v>
      </c>
      <c r="BK82">
        <v>6</v>
      </c>
      <c r="BL82" s="33">
        <f t="shared" si="17"/>
        <v>1199.6600000000001</v>
      </c>
      <c r="BM82" s="40">
        <v>7197.96</v>
      </c>
      <c r="BN82" s="111">
        <f t="shared" si="21"/>
        <v>2.1558693543171284E-4</v>
      </c>
    </row>
    <row r="83" spans="1:66" x14ac:dyDescent="0.35">
      <c r="D83" s="33" t="e">
        <f t="shared" si="18"/>
        <v>#DIV/0!</v>
      </c>
      <c r="F83" s="34">
        <v>80</v>
      </c>
      <c r="G83" s="38" t="s">
        <v>98</v>
      </c>
      <c r="H83" s="38">
        <v>1</v>
      </c>
      <c r="I83" s="33">
        <f t="shared" si="19"/>
        <v>1231.95</v>
      </c>
      <c r="J83" s="38">
        <v>1231.95</v>
      </c>
      <c r="N83" s="33" t="e">
        <f t="shared" si="20"/>
        <v>#DIV/0!</v>
      </c>
      <c r="S83" s="38"/>
      <c r="X83" s="38"/>
      <c r="AC83" s="38"/>
      <c r="AH83" s="38"/>
      <c r="BI83" s="30">
        <v>80</v>
      </c>
      <c r="BJ83" s="38" t="s">
        <v>105</v>
      </c>
      <c r="BK83">
        <v>6</v>
      </c>
      <c r="BL83" s="33">
        <f t="shared" si="17"/>
        <v>2197.15</v>
      </c>
      <c r="BM83" s="40">
        <v>13182.9</v>
      </c>
      <c r="BN83" s="111">
        <f t="shared" si="21"/>
        <v>2.1558693543171284E-4</v>
      </c>
    </row>
    <row r="84" spans="1:66" x14ac:dyDescent="0.35">
      <c r="D84" s="33" t="e">
        <f t="shared" si="18"/>
        <v>#DIV/0!</v>
      </c>
      <c r="F84" s="34">
        <v>81</v>
      </c>
      <c r="G84" s="38" t="s">
        <v>64</v>
      </c>
      <c r="H84" s="38">
        <v>1</v>
      </c>
      <c r="I84" s="33">
        <f t="shared" si="19"/>
        <v>2042.23</v>
      </c>
      <c r="J84" s="38">
        <v>2042.23</v>
      </c>
      <c r="N84" s="33" t="e">
        <f t="shared" si="20"/>
        <v>#DIV/0!</v>
      </c>
      <c r="S84" s="38"/>
      <c r="X84" s="38"/>
      <c r="AC84" s="38"/>
      <c r="AH84" s="38"/>
      <c r="BI84" s="30">
        <v>81</v>
      </c>
      <c r="BJ84" s="38" t="s">
        <v>106</v>
      </c>
      <c r="BK84">
        <v>6</v>
      </c>
      <c r="BL84" s="33">
        <f t="shared" si="17"/>
        <v>1176.1400000000001</v>
      </c>
      <c r="BM84" s="40">
        <v>7056.84</v>
      </c>
      <c r="BN84" s="111">
        <f t="shared" si="21"/>
        <v>2.1558693543171284E-4</v>
      </c>
    </row>
    <row r="85" spans="1:66" x14ac:dyDescent="0.35">
      <c r="D85" s="33" t="e">
        <f t="shared" si="18"/>
        <v>#DIV/0!</v>
      </c>
      <c r="F85" s="34">
        <v>82</v>
      </c>
      <c r="G85" s="38" t="s">
        <v>115</v>
      </c>
      <c r="H85" s="38">
        <v>1</v>
      </c>
      <c r="I85" s="33">
        <f t="shared" si="19"/>
        <v>1664.66</v>
      </c>
      <c r="J85" s="38">
        <v>1664.66</v>
      </c>
      <c r="N85" s="33" t="e">
        <f t="shared" si="20"/>
        <v>#DIV/0!</v>
      </c>
      <c r="S85" s="38"/>
      <c r="X85" s="38"/>
      <c r="AC85" s="38"/>
      <c r="AH85" s="38"/>
      <c r="BI85" s="30">
        <v>82</v>
      </c>
      <c r="BJ85" s="38" t="s">
        <v>107</v>
      </c>
      <c r="BK85">
        <v>5</v>
      </c>
      <c r="BL85" s="33">
        <f t="shared" si="17"/>
        <v>1130.6780000000001</v>
      </c>
      <c r="BM85" s="40">
        <v>5653.39</v>
      </c>
      <c r="BN85" s="111">
        <f t="shared" si="21"/>
        <v>1.7965577952642738E-4</v>
      </c>
    </row>
    <row r="86" spans="1:66" x14ac:dyDescent="0.35">
      <c r="D86" s="33" t="e">
        <f t="shared" si="18"/>
        <v>#DIV/0!</v>
      </c>
      <c r="F86" s="34">
        <v>83</v>
      </c>
      <c r="G86" s="38" t="s">
        <v>136</v>
      </c>
      <c r="H86" s="38">
        <v>1</v>
      </c>
      <c r="I86" s="33">
        <f t="shared" si="19"/>
        <v>2521.84</v>
      </c>
      <c r="J86" s="38">
        <v>2521.84</v>
      </c>
      <c r="N86" s="33" t="e">
        <f t="shared" si="20"/>
        <v>#DIV/0!</v>
      </c>
      <c r="S86" s="38"/>
      <c r="X86" s="38"/>
      <c r="AC86" s="38"/>
      <c r="AH86" s="38"/>
      <c r="BI86" s="30">
        <v>83</v>
      </c>
      <c r="BJ86" s="38" t="s">
        <v>101</v>
      </c>
      <c r="BK86">
        <v>5</v>
      </c>
      <c r="BL86" s="33">
        <f t="shared" si="17"/>
        <v>1201.3600000000001</v>
      </c>
      <c r="BM86" s="40">
        <v>6006.8</v>
      </c>
      <c r="BN86" s="111">
        <f t="shared" si="21"/>
        <v>1.7965577952642738E-4</v>
      </c>
    </row>
    <row r="87" spans="1:66" x14ac:dyDescent="0.35">
      <c r="D87" s="33" t="e">
        <f t="shared" si="18"/>
        <v>#DIV/0!</v>
      </c>
      <c r="F87" s="34">
        <v>84</v>
      </c>
      <c r="G87" s="38" t="s">
        <v>51</v>
      </c>
      <c r="H87" s="38">
        <v>1</v>
      </c>
      <c r="I87" s="33">
        <f t="shared" si="19"/>
        <v>1571.79</v>
      </c>
      <c r="J87" s="38">
        <v>1571.79</v>
      </c>
      <c r="N87" s="33" t="e">
        <f t="shared" si="20"/>
        <v>#DIV/0!</v>
      </c>
      <c r="S87" s="38"/>
      <c r="X87" s="38"/>
      <c r="AC87" s="38"/>
      <c r="AH87" s="38"/>
      <c r="BI87" s="30">
        <v>84</v>
      </c>
      <c r="BJ87" s="38" t="s">
        <v>108</v>
      </c>
      <c r="BK87" s="49">
        <v>4</v>
      </c>
      <c r="BL87" s="33">
        <f t="shared" si="17"/>
        <v>1211.69</v>
      </c>
      <c r="BM87" s="40">
        <v>4846.76</v>
      </c>
      <c r="BN87" s="111">
        <f t="shared" si="21"/>
        <v>1.4372462362114189E-4</v>
      </c>
    </row>
    <row r="88" spans="1:66" x14ac:dyDescent="0.35">
      <c r="D88" s="33" t="e">
        <f t="shared" si="18"/>
        <v>#DIV/0!</v>
      </c>
      <c r="F88" s="34">
        <v>85</v>
      </c>
      <c r="G88" s="38" t="s">
        <v>70</v>
      </c>
      <c r="H88" s="38">
        <v>1</v>
      </c>
      <c r="I88" s="33">
        <f t="shared" si="19"/>
        <v>2295</v>
      </c>
      <c r="J88" s="38">
        <v>2295</v>
      </c>
      <c r="N88" s="33" t="e">
        <f t="shared" si="20"/>
        <v>#DIV/0!</v>
      </c>
      <c r="S88" s="38"/>
      <c r="X88" s="38"/>
      <c r="AC88" s="38"/>
      <c r="AH88" s="38"/>
      <c r="BI88" s="30">
        <v>85</v>
      </c>
      <c r="BJ88" s="38" t="s">
        <v>82</v>
      </c>
      <c r="BK88" s="49">
        <v>4</v>
      </c>
      <c r="BL88" s="33">
        <f t="shared" si="17"/>
        <v>841.5</v>
      </c>
      <c r="BM88" s="40">
        <v>3366</v>
      </c>
      <c r="BN88" s="111">
        <f t="shared" si="21"/>
        <v>1.4372462362114189E-4</v>
      </c>
    </row>
    <row r="89" spans="1:66" x14ac:dyDescent="0.35">
      <c r="D89" s="33" t="e">
        <f t="shared" si="18"/>
        <v>#DIV/0!</v>
      </c>
      <c r="F89" s="34">
        <v>86</v>
      </c>
      <c r="G89" s="38" t="s">
        <v>139</v>
      </c>
      <c r="H89" s="38">
        <v>1</v>
      </c>
      <c r="I89" s="33">
        <f t="shared" si="19"/>
        <v>2557.35</v>
      </c>
      <c r="J89" s="38">
        <v>2557.35</v>
      </c>
      <c r="N89" s="33" t="e">
        <f t="shared" si="20"/>
        <v>#DIV/0!</v>
      </c>
      <c r="S89" s="38"/>
      <c r="X89" s="38"/>
      <c r="AC89" s="38"/>
      <c r="AH89" s="38"/>
      <c r="BI89" s="30">
        <v>86</v>
      </c>
      <c r="BJ89" s="38" t="s">
        <v>69</v>
      </c>
      <c r="BK89" s="49">
        <v>4</v>
      </c>
      <c r="BL89" s="33">
        <f t="shared" si="17"/>
        <v>1551.04</v>
      </c>
      <c r="BM89" s="40">
        <v>6204.16</v>
      </c>
      <c r="BN89" s="111">
        <f t="shared" si="21"/>
        <v>1.4372462362114189E-4</v>
      </c>
    </row>
    <row r="90" spans="1:66" x14ac:dyDescent="0.35">
      <c r="D90" s="33" t="e">
        <f t="shared" si="18"/>
        <v>#DIV/0!</v>
      </c>
      <c r="I90" s="33" t="e">
        <f t="shared" si="19"/>
        <v>#DIV/0!</v>
      </c>
      <c r="N90" s="33" t="e">
        <f t="shared" si="20"/>
        <v>#DIV/0!</v>
      </c>
      <c r="S90" s="38"/>
      <c r="X90" s="38"/>
      <c r="AC90" s="38"/>
      <c r="AH90" s="38"/>
      <c r="BI90" s="30">
        <v>87</v>
      </c>
      <c r="BJ90" s="38" t="s">
        <v>109</v>
      </c>
      <c r="BK90" s="49">
        <v>4</v>
      </c>
      <c r="BL90" s="33">
        <f t="shared" si="17"/>
        <v>2250</v>
      </c>
      <c r="BM90" s="40">
        <v>9000</v>
      </c>
      <c r="BN90" s="111">
        <f t="shared" si="21"/>
        <v>1.4372462362114189E-4</v>
      </c>
    </row>
    <row r="91" spans="1:66" x14ac:dyDescent="0.35">
      <c r="D91" s="33" t="e">
        <f t="shared" si="18"/>
        <v>#DIV/0!</v>
      </c>
      <c r="I91" s="33" t="e">
        <f t="shared" si="19"/>
        <v>#DIV/0!</v>
      </c>
      <c r="N91" s="33" t="e">
        <f t="shared" si="20"/>
        <v>#DIV/0!</v>
      </c>
      <c r="S91" s="38"/>
      <c r="X91" s="38"/>
      <c r="AC91" s="38"/>
      <c r="AH91" s="38"/>
      <c r="BI91" s="30">
        <v>88</v>
      </c>
      <c r="BJ91" s="38" t="s">
        <v>110</v>
      </c>
      <c r="BK91" s="49">
        <v>4</v>
      </c>
      <c r="BL91" s="33">
        <f t="shared" si="17"/>
        <v>1805.4</v>
      </c>
      <c r="BM91" s="40">
        <v>7221.6</v>
      </c>
      <c r="BN91" s="111">
        <f t="shared" si="21"/>
        <v>1.4372462362114189E-4</v>
      </c>
    </row>
    <row r="92" spans="1:66" x14ac:dyDescent="0.35">
      <c r="D92" s="33" t="e">
        <f t="shared" si="18"/>
        <v>#DIV/0!</v>
      </c>
      <c r="I92" s="33" t="e">
        <f t="shared" si="19"/>
        <v>#DIV/0!</v>
      </c>
      <c r="N92" s="33" t="e">
        <f t="shared" si="20"/>
        <v>#DIV/0!</v>
      </c>
      <c r="S92" s="38"/>
      <c r="X92" s="38"/>
      <c r="AC92" s="38"/>
      <c r="AH92" s="38"/>
      <c r="BI92" s="30">
        <v>89</v>
      </c>
      <c r="BJ92" s="38" t="s">
        <v>111</v>
      </c>
      <c r="BK92" s="49">
        <v>4</v>
      </c>
      <c r="BL92" s="33">
        <f t="shared" si="17"/>
        <v>1342.855</v>
      </c>
      <c r="BM92" s="40">
        <v>5371.42</v>
      </c>
      <c r="BN92" s="111">
        <f t="shared" si="21"/>
        <v>1.4372462362114189E-4</v>
      </c>
    </row>
    <row r="93" spans="1:66" x14ac:dyDescent="0.35">
      <c r="D93" s="33" t="e">
        <f t="shared" si="18"/>
        <v>#DIV/0!</v>
      </c>
      <c r="I93" s="33" t="e">
        <f t="shared" si="19"/>
        <v>#DIV/0!</v>
      </c>
      <c r="N93" s="33" t="e">
        <f t="shared" si="20"/>
        <v>#DIV/0!</v>
      </c>
      <c r="S93" s="38"/>
      <c r="X93" s="38"/>
      <c r="AC93" s="38"/>
      <c r="AH93" s="38"/>
      <c r="BI93" s="30">
        <v>90</v>
      </c>
      <c r="BJ93" s="38" t="s">
        <v>85</v>
      </c>
      <c r="BK93" s="49">
        <v>4</v>
      </c>
      <c r="BL93" s="33">
        <f t="shared" si="17"/>
        <v>1285.875</v>
      </c>
      <c r="BM93" s="40">
        <v>5143.5</v>
      </c>
      <c r="BN93" s="111">
        <f t="shared" si="21"/>
        <v>1.4372462362114189E-4</v>
      </c>
    </row>
    <row r="94" spans="1:66" x14ac:dyDescent="0.35">
      <c r="D94" s="33" t="e">
        <f t="shared" si="18"/>
        <v>#DIV/0!</v>
      </c>
      <c r="I94" s="33" t="e">
        <f t="shared" si="19"/>
        <v>#DIV/0!</v>
      </c>
      <c r="N94" s="33" t="e">
        <f t="shared" si="20"/>
        <v>#DIV/0!</v>
      </c>
      <c r="S94" s="38"/>
      <c r="X94" s="38"/>
      <c r="AC94" s="38"/>
      <c r="AH94" s="38"/>
      <c r="BI94" s="30">
        <v>91</v>
      </c>
      <c r="BJ94" s="38" t="s">
        <v>112</v>
      </c>
      <c r="BK94" s="49">
        <v>4</v>
      </c>
      <c r="BL94" s="33">
        <f t="shared" si="17"/>
        <v>1247.4000000000001</v>
      </c>
      <c r="BM94" s="40">
        <v>4989.6000000000004</v>
      </c>
      <c r="BN94" s="111">
        <f t="shared" si="21"/>
        <v>1.4372462362114189E-4</v>
      </c>
    </row>
    <row r="95" spans="1:66" x14ac:dyDescent="0.35">
      <c r="D95" s="33" t="e">
        <f t="shared" si="18"/>
        <v>#DIV/0!</v>
      </c>
      <c r="I95" s="33" t="e">
        <f t="shared" si="19"/>
        <v>#DIV/0!</v>
      </c>
      <c r="N95" s="33" t="e">
        <f t="shared" si="20"/>
        <v>#DIV/0!</v>
      </c>
      <c r="S95" s="38"/>
      <c r="X95" s="38"/>
      <c r="AC95" s="38"/>
      <c r="AH95" s="38"/>
      <c r="BI95" s="30">
        <v>92</v>
      </c>
      <c r="BJ95" s="38" t="s">
        <v>94</v>
      </c>
      <c r="BK95" s="49">
        <v>4</v>
      </c>
      <c r="BL95" s="33">
        <f t="shared" si="17"/>
        <v>1335.825</v>
      </c>
      <c r="BM95" s="40">
        <v>5343.3</v>
      </c>
      <c r="BN95" s="111">
        <f t="shared" si="21"/>
        <v>1.4372462362114189E-4</v>
      </c>
    </row>
    <row r="96" spans="1:66" x14ac:dyDescent="0.35">
      <c r="D96" s="33" t="e">
        <f t="shared" si="18"/>
        <v>#DIV/0!</v>
      </c>
      <c r="I96" s="33" t="e">
        <f t="shared" si="19"/>
        <v>#DIV/0!</v>
      </c>
      <c r="N96" s="33" t="e">
        <f t="shared" si="20"/>
        <v>#DIV/0!</v>
      </c>
      <c r="S96" s="38"/>
      <c r="X96" s="38"/>
      <c r="AC96" s="38"/>
      <c r="AH96" s="38"/>
      <c r="BI96" s="30">
        <v>93</v>
      </c>
      <c r="BJ96" s="38" t="s">
        <v>113</v>
      </c>
      <c r="BK96" s="49">
        <v>3</v>
      </c>
      <c r="BL96" s="33">
        <f t="shared" si="17"/>
        <v>1170.3399999999999</v>
      </c>
      <c r="BM96" s="40">
        <v>3511.02</v>
      </c>
      <c r="BN96" s="111">
        <f t="shared" si="21"/>
        <v>1.0779346771585642E-4</v>
      </c>
    </row>
    <row r="97" spans="4:66" x14ac:dyDescent="0.35">
      <c r="D97" s="33" t="e">
        <f t="shared" si="18"/>
        <v>#DIV/0!</v>
      </c>
      <c r="I97" s="33" t="e">
        <f t="shared" si="19"/>
        <v>#DIV/0!</v>
      </c>
      <c r="N97" s="33" t="e">
        <f t="shared" si="20"/>
        <v>#DIV/0!</v>
      </c>
      <c r="S97" s="38"/>
      <c r="X97" s="38"/>
      <c r="AC97" s="38"/>
      <c r="AH97" s="38"/>
      <c r="BI97" s="30">
        <v>94</v>
      </c>
      <c r="BJ97" s="38" t="s">
        <v>114</v>
      </c>
      <c r="BK97" s="49">
        <v>3</v>
      </c>
      <c r="BL97" s="33">
        <f t="shared" si="17"/>
        <v>1455</v>
      </c>
      <c r="BM97" s="40">
        <v>4365</v>
      </c>
      <c r="BN97" s="111">
        <f t="shared" si="21"/>
        <v>1.0779346771585642E-4</v>
      </c>
    </row>
    <row r="98" spans="4:66" x14ac:dyDescent="0.35">
      <c r="D98" s="33" t="e">
        <f t="shared" si="18"/>
        <v>#DIV/0!</v>
      </c>
      <c r="I98" s="33" t="e">
        <f t="shared" si="19"/>
        <v>#DIV/0!</v>
      </c>
      <c r="N98" s="33" t="e">
        <f t="shared" si="20"/>
        <v>#DIV/0!</v>
      </c>
      <c r="S98" s="38"/>
      <c r="X98" s="38"/>
      <c r="AC98" s="38"/>
      <c r="AH98" s="38"/>
      <c r="BI98" s="30">
        <v>95</v>
      </c>
      <c r="BJ98" s="38" t="s">
        <v>115</v>
      </c>
      <c r="BK98" s="49">
        <v>3</v>
      </c>
      <c r="BL98" s="33">
        <f t="shared" si="17"/>
        <v>1678.7033333333331</v>
      </c>
      <c r="BM98" s="40">
        <v>5036.1099999999997</v>
      </c>
      <c r="BN98" s="111">
        <f t="shared" si="21"/>
        <v>1.0779346771585642E-4</v>
      </c>
    </row>
    <row r="99" spans="4:66" x14ac:dyDescent="0.35">
      <c r="D99" s="33" t="e">
        <f t="shared" si="18"/>
        <v>#DIV/0!</v>
      </c>
      <c r="I99" s="33" t="e">
        <f t="shared" si="19"/>
        <v>#DIV/0!</v>
      </c>
      <c r="N99" s="33" t="e">
        <f t="shared" si="20"/>
        <v>#DIV/0!</v>
      </c>
      <c r="S99" s="38"/>
      <c r="X99" s="38"/>
      <c r="AC99" s="38"/>
      <c r="AH99" s="38"/>
      <c r="BI99" s="30">
        <v>96</v>
      </c>
      <c r="BJ99" s="38" t="s">
        <v>116</v>
      </c>
      <c r="BK99" s="49">
        <v>3</v>
      </c>
      <c r="BL99" s="33">
        <f t="shared" si="17"/>
        <v>1453.5</v>
      </c>
      <c r="BM99" s="40">
        <v>4360.5</v>
      </c>
      <c r="BN99" s="111">
        <f t="shared" si="21"/>
        <v>1.0779346771585642E-4</v>
      </c>
    </row>
    <row r="100" spans="4:66" x14ac:dyDescent="0.35">
      <c r="D100" s="33" t="e">
        <f t="shared" si="18"/>
        <v>#DIV/0!</v>
      </c>
      <c r="I100" s="33" t="e">
        <f t="shared" si="19"/>
        <v>#DIV/0!</v>
      </c>
      <c r="N100" s="33" t="e">
        <f t="shared" si="20"/>
        <v>#DIV/0!</v>
      </c>
      <c r="S100" s="38"/>
      <c r="X100" s="38"/>
      <c r="AC100" s="38"/>
      <c r="AH100" s="38"/>
      <c r="BI100" s="30">
        <v>97</v>
      </c>
      <c r="BJ100" s="38" t="s">
        <v>117</v>
      </c>
      <c r="BK100" s="49">
        <v>3</v>
      </c>
      <c r="BL100" s="33">
        <f t="shared" si="17"/>
        <v>1792.7066666666667</v>
      </c>
      <c r="BM100" s="40">
        <v>5378.12</v>
      </c>
    </row>
    <row r="101" spans="4:66" x14ac:dyDescent="0.35">
      <c r="D101" s="33" t="e">
        <f t="shared" si="18"/>
        <v>#DIV/0!</v>
      </c>
      <c r="I101" s="33" t="e">
        <f t="shared" si="19"/>
        <v>#DIV/0!</v>
      </c>
      <c r="N101" s="33" t="e">
        <f t="shared" si="20"/>
        <v>#DIV/0!</v>
      </c>
      <c r="S101" s="38"/>
      <c r="X101" s="38"/>
      <c r="AC101" s="38"/>
      <c r="AH101" s="38"/>
      <c r="BI101" s="30">
        <v>98</v>
      </c>
      <c r="BJ101" s="38" t="s">
        <v>118</v>
      </c>
      <c r="BK101" s="49">
        <v>2</v>
      </c>
      <c r="BL101" s="33">
        <f t="shared" si="17"/>
        <v>1246.04</v>
      </c>
      <c r="BM101" s="40">
        <v>2492.08</v>
      </c>
    </row>
    <row r="102" spans="4:66" x14ac:dyDescent="0.35">
      <c r="D102" s="33" t="e">
        <f t="shared" si="18"/>
        <v>#DIV/0!</v>
      </c>
      <c r="I102" s="33" t="e">
        <f t="shared" si="19"/>
        <v>#DIV/0!</v>
      </c>
      <c r="N102" s="33" t="e">
        <f t="shared" si="20"/>
        <v>#DIV/0!</v>
      </c>
      <c r="S102" s="38"/>
      <c r="X102" s="38"/>
      <c r="AC102" s="38"/>
      <c r="AH102" s="38"/>
      <c r="BI102" s="30">
        <v>99</v>
      </c>
      <c r="BJ102" s="38" t="s">
        <v>119</v>
      </c>
      <c r="BK102" s="49">
        <v>2</v>
      </c>
      <c r="BL102" s="33">
        <f t="shared" si="17"/>
        <v>1156.06</v>
      </c>
      <c r="BM102" s="40">
        <v>2312.12</v>
      </c>
    </row>
    <row r="103" spans="4:66" x14ac:dyDescent="0.35">
      <c r="D103" s="33" t="e">
        <f t="shared" si="18"/>
        <v>#DIV/0!</v>
      </c>
      <c r="I103" s="33" t="e">
        <f t="shared" si="19"/>
        <v>#DIV/0!</v>
      </c>
      <c r="N103" s="33" t="e">
        <f t="shared" si="20"/>
        <v>#DIV/0!</v>
      </c>
      <c r="S103" s="38"/>
      <c r="X103" s="38"/>
      <c r="AC103" s="38"/>
      <c r="AH103" s="38"/>
      <c r="BI103" s="30">
        <v>100</v>
      </c>
      <c r="BJ103" s="38" t="s">
        <v>93</v>
      </c>
      <c r="BK103" s="49">
        <v>2</v>
      </c>
      <c r="BL103" s="33">
        <f t="shared" si="17"/>
        <v>1465.33</v>
      </c>
      <c r="BM103" s="40">
        <v>2930.66</v>
      </c>
    </row>
    <row r="104" spans="4:66" x14ac:dyDescent="0.35">
      <c r="D104" s="33" t="e">
        <f t="shared" si="18"/>
        <v>#DIV/0!</v>
      </c>
      <c r="I104" s="33" t="e">
        <f t="shared" si="19"/>
        <v>#DIV/0!</v>
      </c>
      <c r="N104" s="33" t="e">
        <f t="shared" si="20"/>
        <v>#DIV/0!</v>
      </c>
      <c r="S104" s="38"/>
      <c r="X104" s="38"/>
      <c r="AC104" s="38"/>
      <c r="AH104" s="38"/>
      <c r="BI104" s="30">
        <v>101</v>
      </c>
      <c r="BJ104" s="38" t="s">
        <v>97</v>
      </c>
      <c r="BK104" s="49">
        <v>2</v>
      </c>
      <c r="BL104" s="33">
        <f t="shared" si="17"/>
        <v>769.78</v>
      </c>
      <c r="BM104" s="40">
        <v>1539.56</v>
      </c>
    </row>
    <row r="105" spans="4:66" x14ac:dyDescent="0.35">
      <c r="D105" s="33" t="e">
        <f t="shared" si="18"/>
        <v>#DIV/0!</v>
      </c>
      <c r="I105" s="33" t="e">
        <f t="shared" si="19"/>
        <v>#DIV/0!</v>
      </c>
      <c r="N105" s="33" t="e">
        <f t="shared" si="20"/>
        <v>#DIV/0!</v>
      </c>
      <c r="S105" s="38"/>
      <c r="X105" s="38"/>
      <c r="AC105" s="38"/>
      <c r="AH105" s="38"/>
      <c r="BI105" s="30">
        <v>102</v>
      </c>
      <c r="BJ105" s="38" t="s">
        <v>120</v>
      </c>
      <c r="BK105" s="49">
        <v>1</v>
      </c>
      <c r="BL105" s="33">
        <f t="shared" ref="BL105:BL117" si="22">BM105/BK105</f>
        <v>1709.77</v>
      </c>
      <c r="BM105" s="40">
        <v>1709.77</v>
      </c>
    </row>
    <row r="106" spans="4:66" x14ac:dyDescent="0.35">
      <c r="D106" s="33" t="e">
        <f t="shared" si="18"/>
        <v>#DIV/0!</v>
      </c>
      <c r="I106" s="33" t="e">
        <f t="shared" si="19"/>
        <v>#DIV/0!</v>
      </c>
      <c r="N106" s="33" t="e">
        <f t="shared" si="20"/>
        <v>#DIV/0!</v>
      </c>
      <c r="S106" s="38"/>
      <c r="X106" s="38"/>
      <c r="AC106" s="38"/>
      <c r="AH106" s="38"/>
      <c r="BI106" s="30">
        <v>103</v>
      </c>
      <c r="BJ106" s="38" t="s">
        <v>121</v>
      </c>
      <c r="BK106" s="49">
        <v>1</v>
      </c>
      <c r="BL106" s="33">
        <f t="shared" si="22"/>
        <v>1530.08</v>
      </c>
      <c r="BM106" s="40">
        <v>1530.08</v>
      </c>
    </row>
    <row r="107" spans="4:66" x14ac:dyDescent="0.35">
      <c r="D107" s="33" t="e">
        <f t="shared" si="18"/>
        <v>#DIV/0!</v>
      </c>
      <c r="I107" s="33" t="e">
        <f t="shared" si="19"/>
        <v>#DIV/0!</v>
      </c>
      <c r="N107" s="33" t="e">
        <f t="shared" si="20"/>
        <v>#DIV/0!</v>
      </c>
      <c r="S107" s="38"/>
      <c r="X107" s="38"/>
      <c r="AC107" s="38"/>
      <c r="AH107" s="38"/>
      <c r="BI107" s="30">
        <v>104</v>
      </c>
      <c r="BL107" s="33" t="e">
        <f t="shared" si="22"/>
        <v>#DIV/0!</v>
      </c>
    </row>
    <row r="108" spans="4:66" x14ac:dyDescent="0.35">
      <c r="D108" s="33" t="e">
        <f t="shared" si="18"/>
        <v>#DIV/0!</v>
      </c>
      <c r="I108" s="33" t="e">
        <f t="shared" si="19"/>
        <v>#DIV/0!</v>
      </c>
      <c r="N108" s="33" t="e">
        <f t="shared" si="20"/>
        <v>#DIV/0!</v>
      </c>
      <c r="S108" s="38"/>
      <c r="X108" s="38"/>
      <c r="AC108" s="38"/>
      <c r="AH108" s="38"/>
      <c r="BI108" s="30">
        <v>105</v>
      </c>
      <c r="BL108" s="33" t="e">
        <f t="shared" si="22"/>
        <v>#DIV/0!</v>
      </c>
    </row>
    <row r="109" spans="4:66" x14ac:dyDescent="0.35">
      <c r="D109" s="33" t="e">
        <f t="shared" si="18"/>
        <v>#DIV/0!</v>
      </c>
      <c r="I109" s="33" t="e">
        <f t="shared" si="19"/>
        <v>#DIV/0!</v>
      </c>
      <c r="N109" s="33" t="e">
        <f t="shared" si="20"/>
        <v>#DIV/0!</v>
      </c>
      <c r="S109" s="38"/>
      <c r="X109" s="38"/>
      <c r="AC109" s="38"/>
      <c r="AH109" s="38"/>
      <c r="BI109" s="30">
        <v>106</v>
      </c>
      <c r="BL109" s="33" t="e">
        <f t="shared" si="22"/>
        <v>#DIV/0!</v>
      </c>
    </row>
    <row r="110" spans="4:66" x14ac:dyDescent="0.35">
      <c r="D110" s="33" t="e">
        <f t="shared" si="18"/>
        <v>#DIV/0!</v>
      </c>
      <c r="I110" s="33" t="e">
        <f t="shared" si="19"/>
        <v>#DIV/0!</v>
      </c>
      <c r="N110" s="33" t="e">
        <f t="shared" si="20"/>
        <v>#DIV/0!</v>
      </c>
      <c r="S110" s="38"/>
      <c r="X110" s="38"/>
      <c r="AC110" s="38"/>
      <c r="AH110" s="38"/>
      <c r="BI110" s="30">
        <v>107</v>
      </c>
      <c r="BL110" s="33" t="e">
        <f t="shared" si="22"/>
        <v>#DIV/0!</v>
      </c>
    </row>
    <row r="111" spans="4:66" x14ac:dyDescent="0.35">
      <c r="D111" s="33" t="e">
        <f t="shared" si="18"/>
        <v>#DIV/0!</v>
      </c>
      <c r="I111" s="33" t="e">
        <f t="shared" si="19"/>
        <v>#DIV/0!</v>
      </c>
      <c r="N111" s="33" t="e">
        <f t="shared" si="20"/>
        <v>#DIV/0!</v>
      </c>
      <c r="S111" s="38"/>
      <c r="X111" s="38"/>
      <c r="AC111" s="38"/>
      <c r="AH111" s="38"/>
      <c r="BL111" s="33" t="e">
        <f t="shared" si="22"/>
        <v>#DIV/0!</v>
      </c>
    </row>
    <row r="112" spans="4:66" x14ac:dyDescent="0.35">
      <c r="D112" s="33" t="e">
        <f t="shared" si="18"/>
        <v>#DIV/0!</v>
      </c>
      <c r="I112" s="33" t="e">
        <f t="shared" si="19"/>
        <v>#DIV/0!</v>
      </c>
      <c r="N112" s="33" t="e">
        <f t="shared" si="20"/>
        <v>#DIV/0!</v>
      </c>
      <c r="S112" s="38"/>
      <c r="X112" s="38"/>
      <c r="AC112" s="38"/>
      <c r="AH112" s="38"/>
      <c r="BL112" s="33" t="e">
        <f t="shared" si="22"/>
        <v>#DIV/0!</v>
      </c>
    </row>
    <row r="113" spans="4:64" x14ac:dyDescent="0.35">
      <c r="D113" s="33" t="e">
        <f t="shared" si="18"/>
        <v>#DIV/0!</v>
      </c>
      <c r="I113" s="33" t="e">
        <f t="shared" si="19"/>
        <v>#DIV/0!</v>
      </c>
      <c r="N113" s="33" t="e">
        <f t="shared" si="20"/>
        <v>#DIV/0!</v>
      </c>
      <c r="S113" s="38"/>
      <c r="X113" s="38"/>
      <c r="AC113" s="38"/>
      <c r="AH113" s="38"/>
      <c r="BL113" s="33" t="e">
        <f t="shared" si="22"/>
        <v>#DIV/0!</v>
      </c>
    </row>
    <row r="114" spans="4:64" x14ac:dyDescent="0.35">
      <c r="D114" s="33" t="e">
        <f t="shared" si="18"/>
        <v>#DIV/0!</v>
      </c>
      <c r="I114" s="33" t="e">
        <f t="shared" si="19"/>
        <v>#DIV/0!</v>
      </c>
      <c r="N114" s="33" t="e">
        <f t="shared" si="20"/>
        <v>#DIV/0!</v>
      </c>
      <c r="S114" s="38"/>
      <c r="X114" s="38"/>
      <c r="AC114" s="38"/>
      <c r="AH114" s="38"/>
      <c r="BL114" s="33" t="e">
        <f t="shared" si="22"/>
        <v>#DIV/0!</v>
      </c>
    </row>
    <row r="115" spans="4:64" x14ac:dyDescent="0.35">
      <c r="D115" s="33" t="e">
        <f t="shared" si="18"/>
        <v>#DIV/0!</v>
      </c>
      <c r="I115" s="33" t="e">
        <f t="shared" si="19"/>
        <v>#DIV/0!</v>
      </c>
      <c r="N115" s="33" t="e">
        <f t="shared" si="20"/>
        <v>#DIV/0!</v>
      </c>
      <c r="S115" s="38"/>
      <c r="X115" s="38"/>
      <c r="AC115" s="38"/>
      <c r="AH115" s="38"/>
      <c r="BL115" s="33" t="e">
        <f t="shared" si="22"/>
        <v>#DIV/0!</v>
      </c>
    </row>
    <row r="116" spans="4:64" x14ac:dyDescent="0.35">
      <c r="D116" s="33" t="e">
        <f t="shared" si="18"/>
        <v>#DIV/0!</v>
      </c>
      <c r="I116" s="33" t="e">
        <f t="shared" si="19"/>
        <v>#DIV/0!</v>
      </c>
      <c r="N116" s="33" t="e">
        <f t="shared" si="20"/>
        <v>#DIV/0!</v>
      </c>
      <c r="S116" s="38"/>
      <c r="X116" s="38"/>
      <c r="AC116" s="38"/>
      <c r="AH116" s="38"/>
      <c r="BL116" s="33" t="e">
        <f t="shared" si="22"/>
        <v>#DIV/0!</v>
      </c>
    </row>
    <row r="117" spans="4:64" x14ac:dyDescent="0.35">
      <c r="D117" s="33" t="e">
        <f t="shared" si="18"/>
        <v>#DIV/0!</v>
      </c>
      <c r="I117" s="33" t="e">
        <f t="shared" si="19"/>
        <v>#DIV/0!</v>
      </c>
      <c r="N117" s="33" t="e">
        <f t="shared" si="20"/>
        <v>#DIV/0!</v>
      </c>
      <c r="S117" s="38"/>
      <c r="X117" s="38"/>
      <c r="AC117" s="38"/>
      <c r="AH117" s="38"/>
      <c r="BL117" s="33" t="e">
        <f t="shared" si="22"/>
        <v>#DIV/0!</v>
      </c>
    </row>
    <row r="118" spans="4:64" x14ac:dyDescent="0.35">
      <c r="D118" s="38"/>
      <c r="I118" s="38"/>
      <c r="N118" s="38"/>
      <c r="S118" s="38"/>
      <c r="X118" s="38"/>
      <c r="AC118" s="38"/>
      <c r="AH118" s="38"/>
      <c r="BL118" s="38"/>
    </row>
    <row r="119" spans="4:64" x14ac:dyDescent="0.35">
      <c r="D119" s="38"/>
      <c r="I119" s="38"/>
      <c r="N119" s="38"/>
      <c r="S119" s="38"/>
      <c r="X119" s="38"/>
      <c r="AC119" s="38"/>
      <c r="AH119" s="38"/>
      <c r="BL119" s="38"/>
    </row>
    <row r="120" spans="4:64" x14ac:dyDescent="0.35">
      <c r="D120" s="38"/>
      <c r="I120" s="38"/>
      <c r="N120" s="38"/>
      <c r="S120" s="38"/>
      <c r="X120" s="38"/>
      <c r="AC120" s="38"/>
      <c r="AH120" s="38"/>
      <c r="BL120" s="38"/>
    </row>
    <row r="121" spans="4:64" x14ac:dyDescent="0.35">
      <c r="D121" s="38"/>
      <c r="I121" s="38"/>
      <c r="N121" s="38"/>
      <c r="S121" s="38"/>
      <c r="X121" s="38"/>
      <c r="AC121" s="38"/>
      <c r="AH121" s="38"/>
      <c r="BL121" s="38"/>
    </row>
    <row r="122" spans="4:64" x14ac:dyDescent="0.35">
      <c r="D122" s="38"/>
      <c r="I122" s="38"/>
      <c r="N122" s="38"/>
      <c r="S122" s="38"/>
      <c r="X122" s="38"/>
      <c r="AC122" s="38"/>
      <c r="AH122" s="38"/>
      <c r="BL122" s="38"/>
    </row>
    <row r="123" spans="4:64" x14ac:dyDescent="0.35">
      <c r="D123" s="38"/>
      <c r="I123" s="38"/>
      <c r="N123" s="38"/>
      <c r="S123" s="38"/>
      <c r="X123" s="38"/>
      <c r="AC123" s="38"/>
      <c r="AH123" s="38"/>
      <c r="BL123" s="38"/>
    </row>
    <row r="124" spans="4:64" x14ac:dyDescent="0.35">
      <c r="D124" s="38"/>
      <c r="I124" s="38"/>
      <c r="N124" s="38"/>
      <c r="S124" s="38"/>
      <c r="X124" s="38"/>
      <c r="AC124" s="38"/>
      <c r="AH124" s="38"/>
      <c r="BL124" s="38"/>
    </row>
    <row r="125" spans="4:64" x14ac:dyDescent="0.35">
      <c r="D125" s="38"/>
      <c r="I125" s="38"/>
      <c r="N125" s="38"/>
      <c r="S125" s="38"/>
      <c r="X125" s="38"/>
      <c r="AC125" s="38"/>
      <c r="AH125" s="38"/>
      <c r="BL125" s="38"/>
    </row>
    <row r="126" spans="4:64" x14ac:dyDescent="0.35">
      <c r="D126" s="38"/>
      <c r="I126" s="38"/>
      <c r="N126" s="38"/>
      <c r="S126" s="38"/>
      <c r="X126" s="38"/>
      <c r="AC126" s="38"/>
      <c r="AH126" s="38"/>
      <c r="BL126" s="38"/>
    </row>
    <row r="127" spans="4:64" x14ac:dyDescent="0.35">
      <c r="D127" s="38"/>
      <c r="I127" s="38"/>
      <c r="N127" s="38"/>
      <c r="S127" s="38"/>
      <c r="X127" s="38"/>
      <c r="AC127" s="38"/>
      <c r="AH127" s="38"/>
      <c r="BL127" s="38"/>
    </row>
    <row r="128" spans="4:64" x14ac:dyDescent="0.35">
      <c r="D128" s="38"/>
      <c r="I128" s="38"/>
      <c r="N128" s="38"/>
      <c r="S128" s="38"/>
      <c r="X128" s="38"/>
      <c r="AC128" s="38"/>
      <c r="AH128" s="38"/>
      <c r="BL128" s="38"/>
    </row>
    <row r="129" spans="4:64" x14ac:dyDescent="0.35">
      <c r="D129" s="38"/>
      <c r="I129" s="38"/>
      <c r="N129" s="38"/>
      <c r="S129" s="38"/>
      <c r="X129" s="38"/>
      <c r="AC129" s="38"/>
      <c r="AH129" s="38"/>
      <c r="BL129" s="38"/>
    </row>
    <row r="130" spans="4:64" x14ac:dyDescent="0.35">
      <c r="D130" s="38"/>
      <c r="I130" s="38"/>
      <c r="N130" s="38"/>
      <c r="S130" s="38"/>
      <c r="X130" s="38"/>
      <c r="AC130" s="38"/>
      <c r="AH130" s="38"/>
      <c r="BL130" s="38"/>
    </row>
    <row r="131" spans="4:64" x14ac:dyDescent="0.35">
      <c r="D131" s="38"/>
      <c r="I131" s="38"/>
      <c r="N131" s="38"/>
      <c r="S131" s="38"/>
      <c r="X131" s="38"/>
      <c r="AC131" s="38"/>
      <c r="AH131" s="38"/>
      <c r="BL131" s="38"/>
    </row>
    <row r="132" spans="4:64" x14ac:dyDescent="0.35">
      <c r="D132" s="38"/>
      <c r="I132" s="38"/>
      <c r="N132" s="38"/>
      <c r="S132" s="38"/>
      <c r="X132" s="38"/>
      <c r="AC132" s="38"/>
      <c r="AH132" s="38"/>
      <c r="BL132" s="38"/>
    </row>
    <row r="133" spans="4:64" x14ac:dyDescent="0.35">
      <c r="D133" s="38"/>
      <c r="I133" s="38"/>
      <c r="N133" s="38"/>
      <c r="S133" s="38"/>
      <c r="X133" s="38"/>
      <c r="AC133" s="38"/>
      <c r="AH133" s="38"/>
      <c r="BL133" s="38"/>
    </row>
    <row r="134" spans="4:64" x14ac:dyDescent="0.35">
      <c r="D134" s="38"/>
      <c r="I134" s="38"/>
      <c r="N134" s="38"/>
      <c r="S134" s="38"/>
      <c r="X134" s="38"/>
      <c r="AC134" s="38"/>
      <c r="AH134" s="38"/>
      <c r="BL134" s="38"/>
    </row>
    <row r="135" spans="4:64" x14ac:dyDescent="0.35">
      <c r="D135" s="38"/>
      <c r="I135" s="38"/>
      <c r="N135" s="38"/>
      <c r="S135" s="38"/>
      <c r="X135" s="38"/>
      <c r="AC135" s="38"/>
      <c r="AH135" s="38"/>
      <c r="BL135" s="38"/>
    </row>
    <row r="136" spans="4:64" x14ac:dyDescent="0.35">
      <c r="D136" s="38"/>
      <c r="I136" s="38"/>
      <c r="N136" s="38"/>
      <c r="S136" s="38"/>
      <c r="X136" s="38"/>
      <c r="AC136" s="38"/>
      <c r="AH136" s="38"/>
      <c r="BL136" s="38"/>
    </row>
    <row r="137" spans="4:64" x14ac:dyDescent="0.35">
      <c r="D137" s="38"/>
      <c r="I137" s="38"/>
      <c r="N137" s="38"/>
      <c r="S137" s="38"/>
      <c r="X137" s="38"/>
      <c r="AC137" s="38"/>
      <c r="AH137" s="38"/>
      <c r="BL137" s="38"/>
    </row>
    <row r="138" spans="4:64" x14ac:dyDescent="0.35">
      <c r="D138" s="38"/>
      <c r="I138" s="38"/>
      <c r="N138" s="38"/>
      <c r="S138" s="38"/>
      <c r="X138" s="38"/>
      <c r="AC138" s="38"/>
      <c r="AH138" s="38"/>
      <c r="BL138" s="38"/>
    </row>
    <row r="139" spans="4:64" x14ac:dyDescent="0.35">
      <c r="D139" s="38"/>
      <c r="I139" s="38"/>
      <c r="N139" s="38"/>
      <c r="S139" s="38"/>
      <c r="X139" s="38"/>
      <c r="AC139" s="38"/>
      <c r="AH139" s="38"/>
      <c r="BL139" s="38"/>
    </row>
    <row r="140" spans="4:64" x14ac:dyDescent="0.35">
      <c r="D140" s="38"/>
      <c r="I140" s="38"/>
      <c r="N140" s="38"/>
      <c r="S140" s="38"/>
      <c r="X140" s="38"/>
      <c r="AC140" s="38"/>
      <c r="AH140" s="38"/>
      <c r="BL140" s="38"/>
    </row>
    <row r="141" spans="4:64" x14ac:dyDescent="0.35">
      <c r="D141" s="38"/>
      <c r="I141" s="38"/>
      <c r="N141" s="38"/>
      <c r="S141" s="38"/>
      <c r="X141" s="38"/>
      <c r="AC141" s="38"/>
      <c r="AH141" s="38"/>
      <c r="BL141" s="38"/>
    </row>
    <row r="142" spans="4:64" x14ac:dyDescent="0.35">
      <c r="D142" s="38"/>
      <c r="I142" s="38"/>
      <c r="N142" s="38"/>
      <c r="S142" s="38"/>
      <c r="X142" s="38"/>
      <c r="AC142" s="38"/>
      <c r="AH142" s="38"/>
      <c r="BL142" s="38"/>
    </row>
    <row r="143" spans="4:64" x14ac:dyDescent="0.35">
      <c r="D143" s="38"/>
      <c r="I143" s="38"/>
      <c r="N143" s="38"/>
      <c r="S143" s="38"/>
      <c r="X143" s="38"/>
      <c r="AC143" s="38"/>
      <c r="AH143" s="38"/>
      <c r="BL143" s="38"/>
    </row>
    <row r="144" spans="4:64" x14ac:dyDescent="0.35">
      <c r="D144" s="38"/>
      <c r="I144" s="38"/>
      <c r="N144" s="38"/>
      <c r="S144" s="38"/>
      <c r="X144" s="38"/>
      <c r="AC144" s="38"/>
      <c r="AH144" s="38"/>
      <c r="BL144" s="38"/>
    </row>
    <row r="145" spans="4:64" x14ac:dyDescent="0.35">
      <c r="D145" s="38"/>
      <c r="I145" s="38"/>
      <c r="N145" s="38"/>
      <c r="S145" s="38"/>
      <c r="X145" s="38"/>
      <c r="AC145" s="38"/>
      <c r="AH145" s="38"/>
      <c r="BL145" s="38"/>
    </row>
    <row r="146" spans="4:64" x14ac:dyDescent="0.35">
      <c r="D146" s="38"/>
      <c r="I146" s="38"/>
      <c r="N146" s="38"/>
      <c r="S146" s="38"/>
      <c r="X146" s="38"/>
      <c r="AC146" s="38"/>
      <c r="AH146" s="38"/>
      <c r="BL146" s="38"/>
    </row>
    <row r="147" spans="4:64" x14ac:dyDescent="0.35">
      <c r="D147" s="38"/>
      <c r="I147" s="38"/>
      <c r="N147" s="38"/>
      <c r="S147" s="38"/>
      <c r="X147" s="38"/>
      <c r="AC147" s="38"/>
      <c r="AH147" s="38"/>
      <c r="BL147" s="38"/>
    </row>
    <row r="148" spans="4:64" x14ac:dyDescent="0.35">
      <c r="D148" s="38"/>
      <c r="I148" s="38"/>
      <c r="N148" s="38"/>
      <c r="S148" s="38"/>
      <c r="X148" s="38"/>
      <c r="AC148" s="38"/>
      <c r="AH148" s="38"/>
      <c r="BL148" s="38"/>
    </row>
    <row r="149" spans="4:64" x14ac:dyDescent="0.35">
      <c r="D149" s="38"/>
      <c r="I149" s="38"/>
      <c r="N149" s="38"/>
      <c r="S149" s="38"/>
      <c r="X149" s="38"/>
      <c r="AC149" s="38"/>
      <c r="AH149" s="38"/>
      <c r="BL149" s="38"/>
    </row>
    <row r="150" spans="4:64" x14ac:dyDescent="0.35">
      <c r="D150" s="38"/>
      <c r="I150" s="38"/>
      <c r="N150" s="38"/>
      <c r="S150" s="38"/>
      <c r="X150" s="38"/>
      <c r="AC150" s="38"/>
      <c r="AH150" s="38"/>
      <c r="BL150" s="38"/>
    </row>
    <row r="151" spans="4:64" x14ac:dyDescent="0.35">
      <c r="D151" s="38"/>
      <c r="I151" s="38"/>
      <c r="N151" s="38"/>
      <c r="S151" s="38"/>
      <c r="X151" s="38"/>
      <c r="AC151" s="38"/>
      <c r="AH151" s="38"/>
      <c r="BL151" s="38"/>
    </row>
    <row r="152" spans="4:64" x14ac:dyDescent="0.35">
      <c r="D152" s="38"/>
      <c r="I152" s="38"/>
      <c r="N152" s="38"/>
      <c r="S152" s="38"/>
      <c r="X152" s="38"/>
      <c r="AC152" s="38"/>
      <c r="AH152" s="38"/>
      <c r="BL152" s="38"/>
    </row>
    <row r="153" spans="4:64" x14ac:dyDescent="0.35">
      <c r="D153" s="38"/>
      <c r="I153" s="38"/>
      <c r="N153" s="38"/>
      <c r="S153" s="38"/>
      <c r="X153" s="38"/>
      <c r="AC153" s="38"/>
      <c r="AH153" s="38"/>
      <c r="BL153" s="38"/>
    </row>
    <row r="154" spans="4:64" x14ac:dyDescent="0.35">
      <c r="D154" s="38"/>
      <c r="I154" s="38"/>
      <c r="N154" s="38"/>
      <c r="S154" s="38"/>
      <c r="X154" s="38"/>
      <c r="AC154" s="38"/>
      <c r="AH154" s="38"/>
      <c r="BL154" s="38"/>
    </row>
    <row r="155" spans="4:64" x14ac:dyDescent="0.35">
      <c r="D155" s="38"/>
      <c r="I155" s="38"/>
      <c r="N155" s="38"/>
      <c r="S155" s="38"/>
      <c r="X155" s="38"/>
      <c r="AC155" s="38"/>
      <c r="AH155" s="38"/>
      <c r="BL155" s="38"/>
    </row>
    <row r="156" spans="4:64" x14ac:dyDescent="0.35">
      <c r="D156" s="38"/>
      <c r="I156" s="38"/>
      <c r="N156" s="38"/>
      <c r="S156" s="38"/>
      <c r="X156" s="38"/>
      <c r="AC156" s="38"/>
      <c r="AH156" s="38"/>
      <c r="BL156" s="38"/>
    </row>
    <row r="157" spans="4:64" x14ac:dyDescent="0.35">
      <c r="D157" s="38"/>
      <c r="I157" s="38"/>
      <c r="N157" s="38"/>
      <c r="S157" s="38"/>
      <c r="X157" s="38"/>
      <c r="AC157" s="38"/>
      <c r="AH157" s="38"/>
      <c r="BL157" s="38"/>
    </row>
    <row r="158" spans="4:64" x14ac:dyDescent="0.35">
      <c r="D158" s="38"/>
      <c r="I158" s="38"/>
      <c r="N158" s="38"/>
      <c r="S158" s="38"/>
      <c r="X158" s="38"/>
      <c r="AC158" s="38"/>
      <c r="AH158" s="38"/>
      <c r="BL158" s="38"/>
    </row>
    <row r="159" spans="4:64" x14ac:dyDescent="0.35">
      <c r="D159" s="38"/>
      <c r="I159" s="38"/>
      <c r="N159" s="38"/>
      <c r="S159" s="38"/>
      <c r="X159" s="38"/>
      <c r="AC159" s="38"/>
      <c r="AH159" s="38"/>
      <c r="BL159" s="38"/>
    </row>
    <row r="160" spans="4:64" x14ac:dyDescent="0.35">
      <c r="D160" s="38"/>
      <c r="I160" s="38"/>
      <c r="N160" s="38"/>
      <c r="S160" s="38"/>
      <c r="X160" s="38"/>
      <c r="AC160" s="38"/>
      <c r="AH160" s="38"/>
      <c r="BL160" s="38"/>
    </row>
    <row r="161" spans="4:64" x14ac:dyDescent="0.35">
      <c r="D161" s="38"/>
      <c r="I161" s="38"/>
      <c r="N161" s="38"/>
      <c r="S161" s="38"/>
      <c r="X161" s="38"/>
      <c r="AC161" s="38"/>
      <c r="AH161" s="38"/>
      <c r="BL161" s="38"/>
    </row>
    <row r="162" spans="4:64" x14ac:dyDescent="0.35">
      <c r="D162" s="38"/>
      <c r="I162" s="38"/>
      <c r="N162" s="38"/>
      <c r="S162" s="38"/>
      <c r="X162" s="38"/>
      <c r="AC162" s="38"/>
      <c r="AH162" s="38"/>
      <c r="BL162" s="38"/>
    </row>
    <row r="163" spans="4:64" x14ac:dyDescent="0.35">
      <c r="D163" s="38"/>
      <c r="I163" s="38"/>
      <c r="N163" s="38"/>
      <c r="S163" s="38"/>
      <c r="X163" s="38"/>
      <c r="AC163" s="38"/>
      <c r="AH163" s="38"/>
      <c r="BL163" s="38"/>
    </row>
    <row r="164" spans="4:64" x14ac:dyDescent="0.35">
      <c r="D164" s="38"/>
      <c r="I164" s="38"/>
      <c r="N164" s="38"/>
      <c r="S164" s="38"/>
      <c r="X164" s="38"/>
      <c r="AC164" s="38"/>
      <c r="AH164" s="38"/>
      <c r="BL164" s="38"/>
    </row>
    <row r="165" spans="4:64" x14ac:dyDescent="0.35">
      <c r="D165" s="38"/>
      <c r="I165" s="38"/>
      <c r="N165" s="38"/>
      <c r="S165" s="38"/>
      <c r="X165" s="38"/>
      <c r="AC165" s="38"/>
      <c r="AH165" s="38"/>
      <c r="BL165" s="38"/>
    </row>
    <row r="166" spans="4:64" x14ac:dyDescent="0.35">
      <c r="D166" s="38"/>
      <c r="I166" s="38"/>
      <c r="N166" s="38"/>
      <c r="S166" s="38"/>
      <c r="X166" s="38"/>
      <c r="AC166" s="38"/>
      <c r="AH166" s="38"/>
      <c r="BL166" s="38"/>
    </row>
    <row r="167" spans="4:64" x14ac:dyDescent="0.35">
      <c r="D167" s="38"/>
      <c r="I167" s="38"/>
      <c r="N167" s="38"/>
      <c r="S167" s="38"/>
      <c r="X167" s="38"/>
      <c r="AC167" s="38"/>
      <c r="AH167" s="38"/>
      <c r="BL167" s="38"/>
    </row>
    <row r="168" spans="4:64" x14ac:dyDescent="0.35">
      <c r="D168" s="38"/>
      <c r="I168" s="38"/>
      <c r="N168" s="38"/>
      <c r="S168" s="38"/>
      <c r="X168" s="38"/>
      <c r="AC168" s="38"/>
      <c r="AH168" s="38"/>
      <c r="BL168" s="38"/>
    </row>
    <row r="169" spans="4:64" x14ac:dyDescent="0.35">
      <c r="D169" s="38"/>
      <c r="I169" s="38"/>
      <c r="N169" s="38"/>
      <c r="S169" s="38"/>
      <c r="X169" s="38"/>
      <c r="AC169" s="38"/>
      <c r="AH169" s="38"/>
      <c r="BL169" s="38"/>
    </row>
    <row r="170" spans="4:64" x14ac:dyDescent="0.35">
      <c r="D170" s="38"/>
      <c r="I170" s="38"/>
      <c r="N170" s="38"/>
      <c r="S170" s="38"/>
      <c r="X170" s="38"/>
      <c r="AC170" s="38"/>
      <c r="AH170" s="38"/>
      <c r="BL170" s="38"/>
    </row>
    <row r="171" spans="4:64" x14ac:dyDescent="0.35">
      <c r="D171" s="38"/>
      <c r="I171" s="38"/>
      <c r="N171" s="38"/>
      <c r="S171" s="38"/>
      <c r="X171" s="38"/>
      <c r="AC171" s="38"/>
      <c r="AH171" s="38"/>
      <c r="BL171" s="38"/>
    </row>
    <row r="172" spans="4:64" x14ac:dyDescent="0.35">
      <c r="D172" s="38"/>
      <c r="I172" s="38"/>
      <c r="N172" s="38"/>
      <c r="S172" s="38"/>
      <c r="X172" s="38"/>
      <c r="AC172" s="38"/>
      <c r="AH172" s="38"/>
      <c r="BL172" s="38"/>
    </row>
    <row r="173" spans="4:64" x14ac:dyDescent="0.35">
      <c r="D173" s="38"/>
      <c r="I173" s="38"/>
      <c r="N173" s="38"/>
      <c r="S173" s="38"/>
      <c r="X173" s="38"/>
      <c r="AC173" s="38"/>
      <c r="AH173" s="38"/>
      <c r="BL173" s="38"/>
    </row>
    <row r="174" spans="4:64" x14ac:dyDescent="0.35">
      <c r="D174" s="38"/>
      <c r="I174" s="38"/>
      <c r="N174" s="38"/>
      <c r="S174" s="38"/>
      <c r="X174" s="38"/>
      <c r="AC174" s="38"/>
      <c r="AH174" s="38"/>
      <c r="BL174" s="38"/>
    </row>
    <row r="175" spans="4:64" x14ac:dyDescent="0.35">
      <c r="D175" s="38"/>
      <c r="I175" s="38"/>
      <c r="N175" s="38"/>
      <c r="S175" s="38"/>
      <c r="X175" s="38"/>
      <c r="AC175" s="38"/>
      <c r="AH175" s="38"/>
      <c r="BL175" s="38"/>
    </row>
    <row r="176" spans="4:64" x14ac:dyDescent="0.35">
      <c r="D176" s="38"/>
      <c r="I176" s="38"/>
      <c r="N176" s="38"/>
      <c r="S176" s="38"/>
      <c r="X176" s="38"/>
      <c r="AC176" s="38"/>
      <c r="AH176" s="38"/>
      <c r="BL176" s="38"/>
    </row>
    <row r="177" spans="4:64" x14ac:dyDescent="0.35">
      <c r="D177" s="38"/>
      <c r="I177" s="38"/>
      <c r="N177" s="38"/>
      <c r="S177" s="38"/>
      <c r="X177" s="38"/>
      <c r="AC177" s="38"/>
      <c r="AH177" s="38"/>
      <c r="BL177" s="38"/>
    </row>
    <row r="178" spans="4:64" x14ac:dyDescent="0.35">
      <c r="D178" s="38"/>
      <c r="I178" s="38"/>
      <c r="N178" s="38"/>
      <c r="S178" s="38"/>
      <c r="X178" s="38"/>
      <c r="AC178" s="38"/>
      <c r="AH178" s="38"/>
      <c r="BL178" s="38"/>
    </row>
    <row r="179" spans="4:64" x14ac:dyDescent="0.35">
      <c r="D179" s="38"/>
      <c r="I179" s="38"/>
      <c r="N179" s="38"/>
      <c r="S179" s="38"/>
      <c r="X179" s="38"/>
      <c r="AC179" s="38"/>
      <c r="AH179" s="38"/>
      <c r="BL179" s="38"/>
    </row>
    <row r="180" spans="4:64" x14ac:dyDescent="0.35">
      <c r="D180" s="38"/>
      <c r="I180" s="38"/>
      <c r="N180" s="38"/>
      <c r="S180" s="38"/>
      <c r="X180" s="38"/>
      <c r="AC180" s="38"/>
      <c r="AH180" s="38"/>
      <c r="BL180" s="38"/>
    </row>
    <row r="181" spans="4:64" x14ac:dyDescent="0.35">
      <c r="D181" s="38"/>
      <c r="I181" s="38"/>
      <c r="N181" s="38"/>
      <c r="S181" s="38"/>
      <c r="X181" s="38"/>
      <c r="AC181" s="38"/>
      <c r="AH181" s="38"/>
      <c r="BL181" s="38"/>
    </row>
    <row r="182" spans="4:64" x14ac:dyDescent="0.35">
      <c r="D182" s="38"/>
      <c r="I182" s="38"/>
      <c r="N182" s="38"/>
      <c r="S182" s="38"/>
      <c r="X182" s="38"/>
      <c r="AC182" s="38"/>
      <c r="AH182" s="38"/>
      <c r="BL182" s="38"/>
    </row>
    <row r="183" spans="4:64" x14ac:dyDescent="0.35">
      <c r="D183" s="38"/>
      <c r="I183" s="38"/>
      <c r="N183" s="38"/>
      <c r="S183" s="38"/>
      <c r="X183" s="38"/>
      <c r="AC183" s="38"/>
      <c r="AH183" s="38"/>
      <c r="BL183" s="38"/>
    </row>
    <row r="184" spans="4:64" x14ac:dyDescent="0.35">
      <c r="D184" s="38"/>
      <c r="I184" s="38"/>
      <c r="N184" s="38"/>
      <c r="S184" s="38"/>
      <c r="X184" s="38"/>
      <c r="AC184" s="38"/>
      <c r="AH184" s="38"/>
      <c r="BL184" s="38"/>
    </row>
    <row r="185" spans="4:64" x14ac:dyDescent="0.35">
      <c r="D185" s="38"/>
      <c r="I185" s="38"/>
      <c r="N185" s="38"/>
      <c r="S185" s="38"/>
      <c r="X185" s="38"/>
      <c r="AC185" s="38"/>
      <c r="AH185" s="38"/>
      <c r="BL185" s="38"/>
    </row>
    <row r="186" spans="4:64" x14ac:dyDescent="0.35">
      <c r="D186" s="38"/>
      <c r="I186" s="38"/>
      <c r="N186" s="38"/>
      <c r="S186" s="38"/>
      <c r="X186" s="38"/>
      <c r="AC186" s="38"/>
      <c r="AH186" s="38"/>
      <c r="BL186" s="38"/>
    </row>
    <row r="187" spans="4:64" x14ac:dyDescent="0.35">
      <c r="D187" s="38"/>
      <c r="I187" s="38"/>
      <c r="N187" s="38"/>
      <c r="S187" s="38"/>
      <c r="X187" s="38"/>
      <c r="AC187" s="38"/>
      <c r="AH187" s="38"/>
      <c r="BL187" s="38"/>
    </row>
    <row r="188" spans="4:64" x14ac:dyDescent="0.35">
      <c r="D188" s="38"/>
      <c r="I188" s="38"/>
      <c r="N188" s="38"/>
      <c r="S188" s="38"/>
      <c r="X188" s="38"/>
      <c r="AC188" s="38"/>
      <c r="AH188" s="38"/>
      <c r="BL188" s="38"/>
    </row>
    <row r="189" spans="4:64" x14ac:dyDescent="0.35">
      <c r="D189" s="38"/>
      <c r="I189" s="38"/>
      <c r="N189" s="38"/>
      <c r="S189" s="38"/>
      <c r="X189" s="38"/>
      <c r="AC189" s="38"/>
      <c r="AH189" s="38"/>
      <c r="BL189" s="38"/>
    </row>
    <row r="190" spans="4:64" x14ac:dyDescent="0.35">
      <c r="D190" s="38"/>
      <c r="I190" s="38"/>
      <c r="N190" s="38"/>
      <c r="S190" s="38"/>
      <c r="X190" s="38"/>
      <c r="AC190" s="38"/>
      <c r="AH190" s="38"/>
      <c r="BL190" s="38"/>
    </row>
    <row r="191" spans="4:64" x14ac:dyDescent="0.35">
      <c r="D191" s="38"/>
      <c r="I191" s="38"/>
      <c r="N191" s="38"/>
      <c r="S191" s="38"/>
      <c r="X191" s="38"/>
      <c r="AC191" s="38"/>
      <c r="AH191" s="38"/>
      <c r="BL191" s="38"/>
    </row>
    <row r="192" spans="4:64" x14ac:dyDescent="0.35">
      <c r="D192" s="38"/>
      <c r="I192" s="38"/>
      <c r="N192" s="38"/>
      <c r="S192" s="38"/>
      <c r="X192" s="38"/>
      <c r="AC192" s="38"/>
      <c r="AH192" s="38"/>
      <c r="BL192" s="38"/>
    </row>
    <row r="193" spans="4:64" x14ac:dyDescent="0.35">
      <c r="D193" s="38"/>
      <c r="I193" s="38"/>
      <c r="N193" s="38"/>
      <c r="S193" s="38"/>
      <c r="X193" s="38"/>
      <c r="AC193" s="38"/>
      <c r="AH193" s="38"/>
      <c r="BL193" s="38"/>
    </row>
    <row r="194" spans="4:64" x14ac:dyDescent="0.35">
      <c r="D194" s="38"/>
      <c r="I194" s="38"/>
      <c r="N194" s="38"/>
      <c r="S194" s="38"/>
      <c r="X194" s="38"/>
      <c r="AC194" s="38"/>
      <c r="AH194" s="38"/>
      <c r="BL194" s="38"/>
    </row>
    <row r="195" spans="4:64" x14ac:dyDescent="0.35">
      <c r="D195" s="38"/>
      <c r="I195" s="38"/>
      <c r="N195" s="38"/>
      <c r="S195" s="38"/>
      <c r="X195" s="38"/>
      <c r="AC195" s="38"/>
      <c r="AH195" s="38"/>
      <c r="BL195" s="38"/>
    </row>
    <row r="196" spans="4:64" x14ac:dyDescent="0.35">
      <c r="D196" s="38"/>
      <c r="I196" s="38"/>
      <c r="N196" s="38"/>
      <c r="S196" s="38"/>
      <c r="X196" s="38"/>
      <c r="AC196" s="38"/>
      <c r="AH196" s="38"/>
      <c r="BL196" s="38"/>
    </row>
    <row r="197" spans="4:64" x14ac:dyDescent="0.35">
      <c r="D197" s="38"/>
      <c r="I197" s="38"/>
      <c r="N197" s="38"/>
      <c r="S197" s="38"/>
      <c r="X197" s="38"/>
      <c r="AC197" s="38"/>
      <c r="AH197" s="38"/>
      <c r="BL197" s="38"/>
    </row>
    <row r="198" spans="4:64" x14ac:dyDescent="0.35">
      <c r="D198" s="38"/>
      <c r="I198" s="38"/>
      <c r="N198" s="38"/>
      <c r="S198" s="38"/>
      <c r="X198" s="38"/>
      <c r="AC198" s="38"/>
      <c r="AH198" s="38"/>
      <c r="BL198" s="38"/>
    </row>
    <row r="199" spans="4:64" x14ac:dyDescent="0.35">
      <c r="D199" s="38"/>
      <c r="I199" s="38"/>
      <c r="N199" s="38"/>
      <c r="S199" s="38"/>
      <c r="X199" s="38"/>
      <c r="AC199" s="38"/>
      <c r="AH199" s="38"/>
      <c r="BL199" s="38"/>
    </row>
    <row r="200" spans="4:64" x14ac:dyDescent="0.35">
      <c r="D200" s="38"/>
      <c r="I200" s="38"/>
      <c r="N200" s="38"/>
      <c r="S200" s="38"/>
      <c r="X200" s="38"/>
      <c r="AC200" s="38"/>
      <c r="AH200" s="38"/>
      <c r="BL200" s="38"/>
    </row>
    <row r="201" spans="4:64" x14ac:dyDescent="0.35">
      <c r="D201" s="38"/>
      <c r="I201" s="38"/>
      <c r="N201" s="38"/>
      <c r="S201" s="38"/>
      <c r="X201" s="38"/>
      <c r="AC201" s="38"/>
      <c r="AH201" s="38"/>
      <c r="BL201" s="38"/>
    </row>
    <row r="202" spans="4:64" x14ac:dyDescent="0.35">
      <c r="D202" s="38"/>
      <c r="I202" s="38"/>
      <c r="N202" s="38"/>
      <c r="S202" s="38"/>
      <c r="X202" s="38"/>
      <c r="AC202" s="38"/>
      <c r="AH202" s="38"/>
      <c r="BL202" s="38"/>
    </row>
    <row r="203" spans="4:64" x14ac:dyDescent="0.35">
      <c r="D203" s="38"/>
      <c r="I203" s="38"/>
      <c r="N203" s="38"/>
      <c r="S203" s="38"/>
      <c r="X203" s="38"/>
      <c r="AC203" s="38"/>
      <c r="AH203" s="38"/>
      <c r="BL203" s="38"/>
    </row>
    <row r="204" spans="4:64" x14ac:dyDescent="0.35">
      <c r="D204" s="38"/>
      <c r="I204" s="38"/>
      <c r="N204" s="38"/>
      <c r="S204" s="38"/>
      <c r="X204" s="38"/>
      <c r="AC204" s="38"/>
      <c r="AH204" s="38"/>
      <c r="BL204" s="38"/>
    </row>
    <row r="205" spans="4:64" x14ac:dyDescent="0.35">
      <c r="D205" s="38"/>
      <c r="I205" s="38"/>
      <c r="N205" s="38"/>
      <c r="S205" s="38"/>
      <c r="X205" s="38"/>
      <c r="AC205" s="38"/>
      <c r="AH205" s="38"/>
      <c r="BL205" s="38"/>
    </row>
    <row r="206" spans="4:64" x14ac:dyDescent="0.35">
      <c r="D206" s="38"/>
      <c r="I206" s="38"/>
      <c r="N206" s="38"/>
      <c r="S206" s="38"/>
      <c r="X206" s="38"/>
      <c r="AC206" s="38"/>
      <c r="AH206" s="38"/>
      <c r="BL206" s="38"/>
    </row>
    <row r="207" spans="4:64" x14ac:dyDescent="0.35">
      <c r="D207" s="38"/>
      <c r="I207" s="38"/>
      <c r="N207" s="38"/>
      <c r="S207" s="38"/>
      <c r="X207" s="38"/>
      <c r="AC207" s="38"/>
      <c r="AH207" s="38"/>
      <c r="BL207" s="38"/>
    </row>
    <row r="208" spans="4:64" x14ac:dyDescent="0.35">
      <c r="D208" s="38"/>
      <c r="I208" s="38"/>
      <c r="N208" s="38"/>
      <c r="S208" s="38"/>
      <c r="X208" s="38"/>
      <c r="AC208" s="38"/>
      <c r="AH208" s="38"/>
      <c r="BL208" s="38"/>
    </row>
    <row r="209" spans="4:64" x14ac:dyDescent="0.35">
      <c r="D209" s="38"/>
      <c r="I209" s="38"/>
      <c r="N209" s="38"/>
      <c r="S209" s="38"/>
      <c r="X209" s="38"/>
      <c r="AC209" s="38"/>
      <c r="AH209" s="38"/>
      <c r="BL209" s="38"/>
    </row>
    <row r="210" spans="4:64" x14ac:dyDescent="0.35">
      <c r="D210" s="38"/>
      <c r="I210" s="38"/>
      <c r="N210" s="38"/>
      <c r="S210" s="38"/>
      <c r="X210" s="38"/>
      <c r="AC210" s="38"/>
      <c r="AH210" s="38"/>
      <c r="BL210" s="38"/>
    </row>
    <row r="211" spans="4:64" x14ac:dyDescent="0.35">
      <c r="D211" s="38"/>
      <c r="I211" s="38"/>
      <c r="N211" s="38"/>
      <c r="S211" s="38"/>
      <c r="X211" s="38"/>
      <c r="AC211" s="38"/>
      <c r="AH211" s="38"/>
      <c r="BL211" s="38"/>
    </row>
    <row r="212" spans="4:64" x14ac:dyDescent="0.35">
      <c r="D212" s="38"/>
      <c r="I212" s="38"/>
      <c r="N212" s="38"/>
      <c r="S212" s="38"/>
      <c r="X212" s="38"/>
      <c r="AC212" s="38"/>
      <c r="AH212" s="38"/>
      <c r="BL212" s="38"/>
    </row>
    <row r="213" spans="4:64" x14ac:dyDescent="0.35">
      <c r="D213" s="38"/>
      <c r="I213" s="38"/>
      <c r="N213" s="38"/>
      <c r="S213" s="38"/>
      <c r="X213" s="38"/>
      <c r="AC213" s="38"/>
      <c r="AH213" s="38"/>
      <c r="BL213" s="38"/>
    </row>
    <row r="214" spans="4:64" x14ac:dyDescent="0.35">
      <c r="D214" s="38"/>
      <c r="I214" s="38"/>
      <c r="N214" s="38"/>
      <c r="S214" s="38"/>
      <c r="X214" s="38"/>
      <c r="AC214" s="38"/>
      <c r="AH214" s="38"/>
      <c r="BL214" s="38"/>
    </row>
    <row r="215" spans="4:64" x14ac:dyDescent="0.35">
      <c r="D215" s="38"/>
      <c r="I215" s="38"/>
      <c r="N215" s="38"/>
      <c r="S215" s="38"/>
      <c r="X215" s="38"/>
      <c r="AC215" s="38"/>
      <c r="AH215" s="38"/>
      <c r="BL215" s="38"/>
    </row>
    <row r="216" spans="4:64" x14ac:dyDescent="0.35">
      <c r="D216" s="38"/>
      <c r="I216" s="38"/>
      <c r="N216" s="38"/>
      <c r="S216" s="38"/>
      <c r="X216" s="38"/>
      <c r="AC216" s="38"/>
      <c r="AH216" s="38"/>
      <c r="BL216" s="38"/>
    </row>
    <row r="217" spans="4:64" x14ac:dyDescent="0.35">
      <c r="D217" s="38"/>
      <c r="I217" s="38"/>
      <c r="N217" s="38"/>
      <c r="S217" s="38"/>
      <c r="X217" s="38"/>
      <c r="AC217" s="38"/>
      <c r="AH217" s="38"/>
      <c r="BL217" s="38"/>
    </row>
    <row r="218" spans="4:64" x14ac:dyDescent="0.35">
      <c r="D218" s="38"/>
      <c r="I218" s="38"/>
      <c r="N218" s="38"/>
      <c r="S218" s="38"/>
      <c r="X218" s="38"/>
      <c r="AC218" s="38"/>
      <c r="AH218" s="38"/>
      <c r="BL218" s="38"/>
    </row>
    <row r="219" spans="4:64" x14ac:dyDescent="0.35">
      <c r="D219" s="38"/>
      <c r="I219" s="38"/>
      <c r="N219" s="38"/>
      <c r="S219" s="38"/>
      <c r="X219" s="38"/>
      <c r="AC219" s="38"/>
      <c r="AH219" s="38"/>
      <c r="BL219" s="38"/>
    </row>
    <row r="220" spans="4:64" x14ac:dyDescent="0.35">
      <c r="D220" s="38"/>
      <c r="I220" s="38"/>
      <c r="N220" s="38"/>
      <c r="S220" s="38"/>
      <c r="X220" s="38"/>
      <c r="AC220" s="38"/>
      <c r="AH220" s="38"/>
      <c r="BL220" s="38"/>
    </row>
    <row r="221" spans="4:64" x14ac:dyDescent="0.35">
      <c r="D221" s="38"/>
      <c r="I221" s="38"/>
      <c r="N221" s="38"/>
      <c r="S221" s="38"/>
      <c r="X221" s="38"/>
      <c r="AC221" s="38"/>
      <c r="AH221" s="38"/>
      <c r="BL221" s="38"/>
    </row>
    <row r="222" spans="4:64" x14ac:dyDescent="0.35">
      <c r="D222" s="38"/>
      <c r="I222" s="38"/>
      <c r="N222" s="38"/>
      <c r="S222" s="38"/>
      <c r="X222" s="38"/>
      <c r="AC222" s="38"/>
      <c r="AH222" s="38"/>
      <c r="BL222" s="38"/>
    </row>
    <row r="223" spans="4:64" x14ac:dyDescent="0.35">
      <c r="D223" s="38"/>
      <c r="I223" s="38"/>
      <c r="N223" s="38"/>
      <c r="S223" s="38"/>
      <c r="X223" s="38"/>
      <c r="AC223" s="38"/>
      <c r="AH223" s="38"/>
      <c r="BL223" s="38"/>
    </row>
    <row r="224" spans="4:64" x14ac:dyDescent="0.35">
      <c r="D224" s="38"/>
      <c r="I224" s="38"/>
      <c r="N224" s="38"/>
      <c r="S224" s="38"/>
      <c r="X224" s="38"/>
      <c r="AC224" s="38"/>
      <c r="AH224" s="38"/>
      <c r="BL224" s="38"/>
    </row>
    <row r="225" spans="4:64" x14ac:dyDescent="0.35">
      <c r="D225" s="38"/>
      <c r="I225" s="38"/>
      <c r="N225" s="38"/>
      <c r="S225" s="38"/>
      <c r="X225" s="38"/>
      <c r="AC225" s="38"/>
      <c r="AH225" s="38"/>
      <c r="BL225" s="38"/>
    </row>
    <row r="226" spans="4:64" x14ac:dyDescent="0.35">
      <c r="D226" s="38"/>
      <c r="I226" s="38"/>
      <c r="N226" s="38"/>
      <c r="S226" s="38"/>
      <c r="X226" s="38"/>
      <c r="AC226" s="38"/>
      <c r="AH226" s="38"/>
      <c r="BL226" s="38"/>
    </row>
    <row r="227" spans="4:64" x14ac:dyDescent="0.35">
      <c r="D227" s="38"/>
      <c r="I227" s="38"/>
      <c r="N227" s="38"/>
      <c r="S227" s="38"/>
      <c r="X227" s="38"/>
      <c r="AC227" s="38"/>
      <c r="AH227" s="38"/>
      <c r="BL227" s="38"/>
    </row>
    <row r="228" spans="4:64" x14ac:dyDescent="0.35">
      <c r="D228" s="38"/>
      <c r="I228" s="38"/>
      <c r="N228" s="38"/>
      <c r="S228" s="38"/>
      <c r="X228" s="38"/>
      <c r="AC228" s="38"/>
      <c r="AH228" s="38"/>
      <c r="BL228" s="38"/>
    </row>
    <row r="229" spans="4:64" x14ac:dyDescent="0.35">
      <c r="D229" s="38"/>
      <c r="I229" s="38"/>
      <c r="N229" s="38"/>
      <c r="S229" s="38"/>
      <c r="X229" s="38"/>
      <c r="AC229" s="38"/>
      <c r="AH229" s="38"/>
      <c r="BL229" s="38"/>
    </row>
    <row r="230" spans="4:64" x14ac:dyDescent="0.35">
      <c r="D230" s="38"/>
      <c r="I230" s="38"/>
      <c r="N230" s="38"/>
      <c r="S230" s="38"/>
      <c r="X230" s="38"/>
      <c r="AC230" s="38"/>
      <c r="AH230" s="38"/>
      <c r="BL230" s="38"/>
    </row>
    <row r="231" spans="4:64" x14ac:dyDescent="0.35">
      <c r="D231" s="38"/>
      <c r="I231" s="38"/>
      <c r="N231" s="38"/>
      <c r="S231" s="38"/>
      <c r="X231" s="38"/>
      <c r="AC231" s="38"/>
      <c r="AH231" s="38"/>
      <c r="BL231" s="38"/>
    </row>
    <row r="232" spans="4:64" x14ac:dyDescent="0.35">
      <c r="D232" s="38"/>
      <c r="I232" s="38"/>
      <c r="N232" s="38"/>
      <c r="S232" s="38"/>
      <c r="X232" s="38"/>
      <c r="AC232" s="38"/>
      <c r="AH232" s="38"/>
      <c r="BL232" s="38"/>
    </row>
    <row r="233" spans="4:64" x14ac:dyDescent="0.35">
      <c r="D233" s="38"/>
      <c r="I233" s="38"/>
      <c r="N233" s="38"/>
      <c r="S233" s="38"/>
      <c r="X233" s="38"/>
      <c r="AC233" s="38"/>
      <c r="AH233" s="38"/>
      <c r="BL233" s="38"/>
    </row>
    <row r="234" spans="4:64" x14ac:dyDescent="0.35">
      <c r="D234" s="38"/>
      <c r="I234" s="38"/>
      <c r="N234" s="38"/>
      <c r="S234" s="38"/>
      <c r="X234" s="38"/>
      <c r="AC234" s="38"/>
      <c r="AH234" s="38"/>
      <c r="BL234" s="38"/>
    </row>
    <row r="235" spans="4:64" x14ac:dyDescent="0.35">
      <c r="D235" s="38"/>
      <c r="I235" s="38"/>
      <c r="N235" s="38"/>
      <c r="S235" s="38"/>
      <c r="X235" s="38"/>
      <c r="AC235" s="38"/>
      <c r="AH235" s="38"/>
      <c r="BL235" s="38"/>
    </row>
    <row r="236" spans="4:64" x14ac:dyDescent="0.35">
      <c r="D236" s="38"/>
      <c r="I236" s="38"/>
      <c r="N236" s="38"/>
      <c r="S236" s="38"/>
      <c r="X236" s="38"/>
      <c r="AC236" s="38"/>
      <c r="AH236" s="38"/>
      <c r="BL236" s="38"/>
    </row>
    <row r="237" spans="4:64" x14ac:dyDescent="0.35">
      <c r="D237" s="38"/>
      <c r="I237" s="38"/>
      <c r="N237" s="38"/>
      <c r="S237" s="38"/>
      <c r="X237" s="38"/>
      <c r="AC237" s="38"/>
      <c r="AH237" s="38"/>
      <c r="BL237" s="38"/>
    </row>
    <row r="238" spans="4:64" x14ac:dyDescent="0.35">
      <c r="D238" s="38"/>
      <c r="I238" s="38"/>
      <c r="N238" s="38"/>
      <c r="S238" s="38"/>
      <c r="X238" s="38"/>
      <c r="AC238" s="38"/>
      <c r="AH238" s="38"/>
      <c r="BL238" s="38"/>
    </row>
    <row r="239" spans="4:64" x14ac:dyDescent="0.35">
      <c r="D239" s="38"/>
      <c r="I239" s="38"/>
      <c r="N239" s="38"/>
      <c r="S239" s="38"/>
      <c r="X239" s="38"/>
      <c r="AC239" s="38"/>
      <c r="AH239" s="38"/>
      <c r="BL239" s="38"/>
    </row>
    <row r="240" spans="4:64" x14ac:dyDescent="0.35">
      <c r="D240" s="38"/>
      <c r="I240" s="38"/>
      <c r="N240" s="38"/>
      <c r="S240" s="38"/>
      <c r="X240" s="38"/>
      <c r="AC240" s="38"/>
      <c r="AH240" s="38"/>
      <c r="BL240" s="38"/>
    </row>
    <row r="241" spans="4:64" x14ac:dyDescent="0.35">
      <c r="D241" s="38"/>
      <c r="I241" s="38"/>
      <c r="N241" s="38"/>
      <c r="S241" s="38"/>
      <c r="X241" s="38"/>
      <c r="AC241" s="38"/>
      <c r="AH241" s="38"/>
      <c r="BL241" s="38"/>
    </row>
    <row r="242" spans="4:64" x14ac:dyDescent="0.35">
      <c r="D242" s="38"/>
      <c r="I242" s="38"/>
      <c r="N242" s="38"/>
      <c r="S242" s="38"/>
      <c r="X242" s="38"/>
      <c r="AC242" s="38"/>
      <c r="AH242" s="38"/>
      <c r="BL242" s="38"/>
    </row>
    <row r="243" spans="4:64" x14ac:dyDescent="0.35">
      <c r="D243" s="38"/>
      <c r="I243" s="38"/>
      <c r="N243" s="38"/>
      <c r="S243" s="38"/>
      <c r="X243" s="38"/>
      <c r="AC243" s="38"/>
      <c r="AH243" s="38"/>
      <c r="BL243" s="38"/>
    </row>
    <row r="244" spans="4:64" x14ac:dyDescent="0.35">
      <c r="D244" s="38"/>
      <c r="I244" s="38"/>
      <c r="N244" s="38"/>
      <c r="S244" s="38"/>
      <c r="X244" s="38"/>
      <c r="AC244" s="38"/>
      <c r="AH244" s="38"/>
      <c r="BL244" s="38"/>
    </row>
    <row r="245" spans="4:64" x14ac:dyDescent="0.35">
      <c r="D245" s="38"/>
      <c r="I245" s="38"/>
      <c r="N245" s="38"/>
      <c r="S245" s="38"/>
      <c r="X245" s="38"/>
      <c r="AC245" s="38"/>
      <c r="AH245" s="38"/>
      <c r="BL245" s="38"/>
    </row>
    <row r="246" spans="4:64" x14ac:dyDescent="0.35">
      <c r="D246" s="38"/>
      <c r="I246" s="38"/>
      <c r="N246" s="38"/>
      <c r="S246" s="38"/>
      <c r="X246" s="38"/>
      <c r="AC246" s="38"/>
      <c r="AH246" s="38"/>
      <c r="BL246" s="38"/>
    </row>
    <row r="247" spans="4:64" x14ac:dyDescent="0.35">
      <c r="D247" s="38"/>
      <c r="I247" s="38"/>
      <c r="N247" s="38"/>
      <c r="S247" s="38"/>
      <c r="X247" s="38"/>
      <c r="AC247" s="38"/>
      <c r="AH247" s="38"/>
      <c r="BL247" s="38"/>
    </row>
    <row r="248" spans="4:64" x14ac:dyDescent="0.35">
      <c r="D248" s="38"/>
      <c r="I248" s="38"/>
      <c r="N248" s="38"/>
      <c r="S248" s="38"/>
      <c r="X248" s="38"/>
      <c r="AC248" s="38"/>
      <c r="AH248" s="38"/>
      <c r="BL248" s="38"/>
    </row>
    <row r="249" spans="4:64" x14ac:dyDescent="0.35">
      <c r="D249" s="38"/>
      <c r="I249" s="38"/>
      <c r="N249" s="38"/>
      <c r="S249" s="38"/>
      <c r="X249" s="38"/>
      <c r="AC249" s="38"/>
      <c r="AH249" s="38"/>
      <c r="BL249" s="38"/>
    </row>
    <row r="250" spans="4:64" x14ac:dyDescent="0.35">
      <c r="D250" s="38"/>
      <c r="I250" s="38"/>
      <c r="N250" s="38"/>
      <c r="S250" s="38"/>
      <c r="X250" s="38"/>
      <c r="AC250" s="38"/>
      <c r="AH250" s="38"/>
      <c r="BL250" s="38"/>
    </row>
    <row r="251" spans="4:64" x14ac:dyDescent="0.35">
      <c r="D251" s="38"/>
      <c r="I251" s="38"/>
      <c r="N251" s="38"/>
      <c r="S251" s="38"/>
      <c r="X251" s="38"/>
      <c r="AC251" s="38"/>
      <c r="AH251" s="38"/>
      <c r="BL251" s="38"/>
    </row>
    <row r="252" spans="4:64" x14ac:dyDescent="0.35">
      <c r="D252" s="38"/>
      <c r="I252" s="38"/>
      <c r="N252" s="38"/>
      <c r="S252" s="38"/>
      <c r="X252" s="38"/>
      <c r="AC252" s="38"/>
      <c r="AH252" s="38"/>
      <c r="BL252" s="38"/>
    </row>
    <row r="253" spans="4:64" x14ac:dyDescent="0.35">
      <c r="D253" s="38"/>
      <c r="I253" s="38"/>
      <c r="N253" s="38"/>
      <c r="S253" s="38"/>
      <c r="X253" s="38"/>
      <c r="AC253" s="38"/>
      <c r="AH253" s="38"/>
      <c r="BL253" s="38"/>
    </row>
    <row r="254" spans="4:64" x14ac:dyDescent="0.35">
      <c r="D254" s="38"/>
      <c r="I254" s="38"/>
      <c r="N254" s="38"/>
      <c r="S254" s="38"/>
      <c r="X254" s="38"/>
      <c r="AC254" s="38"/>
      <c r="AH254" s="38"/>
      <c r="BL254" s="38"/>
    </row>
    <row r="255" spans="4:64" x14ac:dyDescent="0.35">
      <c r="D255" s="38"/>
      <c r="I255" s="38"/>
      <c r="N255" s="38"/>
      <c r="S255" s="38"/>
      <c r="X255" s="38"/>
      <c r="AC255" s="38"/>
      <c r="AH255" s="38"/>
      <c r="BL255" s="38"/>
    </row>
    <row r="256" spans="4:64" x14ac:dyDescent="0.35">
      <c r="D256" s="38"/>
      <c r="I256" s="38"/>
      <c r="N256" s="38"/>
      <c r="S256" s="38"/>
      <c r="X256" s="38"/>
      <c r="AC256" s="38"/>
      <c r="AH256" s="38"/>
      <c r="BL256" s="38"/>
    </row>
    <row r="257" spans="4:64" x14ac:dyDescent="0.35">
      <c r="D257" s="38"/>
      <c r="I257" s="38"/>
      <c r="N257" s="38"/>
      <c r="S257" s="38"/>
      <c r="X257" s="38"/>
      <c r="AC257" s="38"/>
      <c r="AH257" s="38"/>
      <c r="BL257" s="38"/>
    </row>
    <row r="258" spans="4:64" x14ac:dyDescent="0.35">
      <c r="D258" s="38"/>
      <c r="I258" s="38"/>
      <c r="N258" s="38"/>
      <c r="S258" s="38"/>
      <c r="X258" s="38"/>
      <c r="AC258" s="38"/>
      <c r="AH258" s="38"/>
      <c r="BL258" s="38"/>
    </row>
    <row r="259" spans="4:64" x14ac:dyDescent="0.35">
      <c r="D259" s="38"/>
      <c r="I259" s="38"/>
      <c r="N259" s="38"/>
      <c r="S259" s="38"/>
      <c r="X259" s="38"/>
      <c r="AC259" s="38"/>
      <c r="AH259" s="38"/>
      <c r="BL259" s="38"/>
    </row>
    <row r="260" spans="4:64" x14ac:dyDescent="0.35">
      <c r="D260" s="38"/>
      <c r="I260" s="38"/>
      <c r="N260" s="38"/>
      <c r="S260" s="38"/>
      <c r="X260" s="38"/>
      <c r="AC260" s="38"/>
      <c r="AH260" s="38"/>
      <c r="BL260" s="38"/>
    </row>
    <row r="261" spans="4:64" x14ac:dyDescent="0.35">
      <c r="D261" s="38"/>
      <c r="I261" s="38"/>
      <c r="N261" s="38"/>
      <c r="S261" s="38"/>
      <c r="X261" s="38"/>
      <c r="AC261" s="38"/>
      <c r="AH261" s="38"/>
      <c r="BL261" s="38"/>
    </row>
    <row r="262" spans="4:64" x14ac:dyDescent="0.35">
      <c r="D262" s="38"/>
      <c r="I262" s="38"/>
      <c r="N262" s="38"/>
      <c r="S262" s="38"/>
      <c r="X262" s="38"/>
      <c r="AC262" s="38"/>
      <c r="AH262" s="38"/>
      <c r="BL262" s="38"/>
    </row>
    <row r="263" spans="4:64" x14ac:dyDescent="0.35">
      <c r="D263" s="38"/>
      <c r="I263" s="38"/>
      <c r="N263" s="38"/>
      <c r="S263" s="38"/>
      <c r="X263" s="38"/>
      <c r="AC263" s="38"/>
      <c r="AH263" s="38"/>
      <c r="BL263" s="38"/>
    </row>
    <row r="264" spans="4:64" x14ac:dyDescent="0.35">
      <c r="D264" s="38"/>
      <c r="I264" s="38"/>
      <c r="N264" s="38"/>
      <c r="S264" s="38"/>
      <c r="X264" s="38"/>
      <c r="AC264" s="38"/>
      <c r="AH264" s="38"/>
      <c r="BL264" s="38"/>
    </row>
    <row r="265" spans="4:64" x14ac:dyDescent="0.35">
      <c r="D265" s="38"/>
      <c r="I265" s="38"/>
      <c r="N265" s="38"/>
      <c r="S265" s="38"/>
      <c r="X265" s="38"/>
      <c r="AC265" s="38"/>
      <c r="AH265" s="38"/>
      <c r="BL265" s="38"/>
    </row>
    <row r="266" spans="4:64" ht="15" thickBot="1" x14ac:dyDescent="0.4">
      <c r="D266" s="38"/>
      <c r="I266" s="38"/>
      <c r="N266" s="38"/>
      <c r="S266" s="38"/>
      <c r="X266" s="48"/>
      <c r="AC266" s="48"/>
      <c r="AH266" s="48"/>
      <c r="BL266" s="38"/>
    </row>
    <row r="267" spans="4:64" x14ac:dyDescent="0.35">
      <c r="D267" s="38"/>
      <c r="I267" s="38"/>
      <c r="N267" s="38"/>
      <c r="S267" s="38"/>
      <c r="BL267" s="38"/>
    </row>
    <row r="268" spans="4:64" x14ac:dyDescent="0.35">
      <c r="D268" s="38"/>
      <c r="I268" s="38"/>
      <c r="N268" s="38"/>
      <c r="S268" s="38"/>
      <c r="BL268" s="38"/>
    </row>
    <row r="269" spans="4:64" x14ac:dyDescent="0.35">
      <c r="D269" s="38"/>
      <c r="I269" s="38"/>
      <c r="N269" s="38"/>
      <c r="S269" s="38"/>
      <c r="BL269" s="38"/>
    </row>
    <row r="270" spans="4:64" x14ac:dyDescent="0.35">
      <c r="D270" s="38"/>
      <c r="I270" s="38"/>
      <c r="N270" s="38"/>
      <c r="S270" s="38"/>
      <c r="BL270" s="38"/>
    </row>
    <row r="271" spans="4:64" x14ac:dyDescent="0.35">
      <c r="D271" s="38"/>
      <c r="I271" s="38"/>
      <c r="N271" s="38"/>
      <c r="S271" s="38"/>
      <c r="BL271" s="38"/>
    </row>
    <row r="272" spans="4:64" x14ac:dyDescent="0.35">
      <c r="D272" s="38"/>
      <c r="I272" s="38"/>
      <c r="N272" s="38"/>
      <c r="S272" s="38"/>
      <c r="BL272" s="38"/>
    </row>
    <row r="273" spans="4:64" x14ac:dyDescent="0.35">
      <c r="D273" s="38"/>
      <c r="I273" s="38"/>
      <c r="N273" s="38"/>
      <c r="S273" s="38"/>
      <c r="BL273" s="38"/>
    </row>
    <row r="274" spans="4:64" x14ac:dyDescent="0.35">
      <c r="D274" s="38"/>
      <c r="I274" s="38"/>
      <c r="N274" s="38"/>
      <c r="S274" s="38"/>
      <c r="BL274" s="38"/>
    </row>
    <row r="275" spans="4:64" x14ac:dyDescent="0.35">
      <c r="D275" s="38"/>
      <c r="I275" s="38"/>
      <c r="N275" s="38"/>
      <c r="S275" s="38"/>
      <c r="BL275" s="38"/>
    </row>
    <row r="276" spans="4:64" x14ac:dyDescent="0.35">
      <c r="D276" s="38"/>
      <c r="I276" s="38"/>
      <c r="N276" s="38"/>
      <c r="S276" s="38"/>
      <c r="BL276" s="38"/>
    </row>
    <row r="277" spans="4:64" x14ac:dyDescent="0.35">
      <c r="D277" s="38"/>
      <c r="I277" s="38"/>
      <c r="N277" s="38"/>
      <c r="S277" s="38"/>
      <c r="BL277" s="38"/>
    </row>
    <row r="278" spans="4:64" x14ac:dyDescent="0.35">
      <c r="D278" s="38"/>
      <c r="I278" s="38"/>
      <c r="N278" s="38"/>
      <c r="S278" s="38"/>
      <c r="BL278" s="38"/>
    </row>
    <row r="279" spans="4:64" x14ac:dyDescent="0.35">
      <c r="D279" s="38"/>
      <c r="I279" s="38"/>
      <c r="N279" s="38"/>
      <c r="S279" s="38"/>
      <c r="BL279" s="38"/>
    </row>
    <row r="280" spans="4:64" x14ac:dyDescent="0.35">
      <c r="D280" s="38"/>
      <c r="I280" s="38"/>
      <c r="N280" s="38"/>
      <c r="S280" s="38"/>
      <c r="BL280" s="38"/>
    </row>
    <row r="281" spans="4:64" x14ac:dyDescent="0.35">
      <c r="D281" s="38"/>
      <c r="I281" s="38"/>
      <c r="N281" s="38"/>
      <c r="S281" s="38"/>
      <c r="BL281" s="38"/>
    </row>
    <row r="282" spans="4:64" x14ac:dyDescent="0.35">
      <c r="D282" s="38"/>
      <c r="I282" s="38"/>
      <c r="N282" s="38"/>
      <c r="S282" s="38"/>
      <c r="BL282" s="38"/>
    </row>
    <row r="283" spans="4:64" x14ac:dyDescent="0.35">
      <c r="D283" s="38"/>
      <c r="I283" s="38"/>
      <c r="N283" s="38"/>
      <c r="S283" s="38"/>
      <c r="BL283" s="38"/>
    </row>
    <row r="284" spans="4:64" x14ac:dyDescent="0.35">
      <c r="D284" s="38"/>
      <c r="I284" s="38"/>
      <c r="N284" s="38"/>
      <c r="S284" s="38"/>
      <c r="BL284" s="38"/>
    </row>
    <row r="285" spans="4:64" x14ac:dyDescent="0.35">
      <c r="D285" s="38"/>
      <c r="I285" s="38"/>
      <c r="N285" s="38"/>
      <c r="S285" s="38"/>
      <c r="BL285" s="38"/>
    </row>
    <row r="286" spans="4:64" x14ac:dyDescent="0.35">
      <c r="D286" s="38"/>
      <c r="I286" s="38"/>
      <c r="N286" s="38"/>
      <c r="S286" s="38"/>
      <c r="BL286" s="38"/>
    </row>
    <row r="287" spans="4:64" x14ac:dyDescent="0.35">
      <c r="D287" s="38"/>
      <c r="I287" s="38"/>
      <c r="N287" s="38"/>
      <c r="S287" s="38"/>
      <c r="BL287" s="38"/>
    </row>
    <row r="288" spans="4:64" x14ac:dyDescent="0.35">
      <c r="D288" s="38"/>
      <c r="I288" s="38"/>
      <c r="N288" s="38"/>
      <c r="S288" s="38"/>
      <c r="BL288" s="38"/>
    </row>
    <row r="289" spans="4:64" x14ac:dyDescent="0.35">
      <c r="D289" s="38"/>
      <c r="I289" s="38"/>
      <c r="N289" s="38"/>
      <c r="S289" s="38"/>
      <c r="BL289" s="38"/>
    </row>
    <row r="290" spans="4:64" x14ac:dyDescent="0.35">
      <c r="D290" s="38"/>
      <c r="I290" s="38"/>
      <c r="N290" s="38"/>
      <c r="S290" s="38"/>
      <c r="BL290" s="38"/>
    </row>
    <row r="291" spans="4:64" x14ac:dyDescent="0.35">
      <c r="D291" s="38"/>
      <c r="I291" s="38"/>
      <c r="N291" s="38"/>
      <c r="S291" s="38"/>
      <c r="BL291" s="38"/>
    </row>
    <row r="292" spans="4:64" x14ac:dyDescent="0.35">
      <c r="D292" s="38"/>
      <c r="I292" s="38"/>
      <c r="N292" s="38"/>
      <c r="S292" s="38"/>
      <c r="BL292" s="38"/>
    </row>
    <row r="293" spans="4:64" x14ac:dyDescent="0.35">
      <c r="D293" s="38"/>
      <c r="I293" s="38"/>
      <c r="N293" s="38"/>
      <c r="S293" s="38"/>
      <c r="BL293" s="38"/>
    </row>
    <row r="294" spans="4:64" x14ac:dyDescent="0.35">
      <c r="D294" s="38"/>
      <c r="I294" s="38"/>
      <c r="N294" s="38"/>
      <c r="S294" s="38"/>
      <c r="BL294" s="38"/>
    </row>
    <row r="295" spans="4:64" x14ac:dyDescent="0.35">
      <c r="D295" s="38"/>
      <c r="I295" s="38"/>
      <c r="N295" s="38"/>
      <c r="S295" s="38"/>
      <c r="BL295" s="38"/>
    </row>
    <row r="296" spans="4:64" x14ac:dyDescent="0.35">
      <c r="D296" s="38"/>
      <c r="I296" s="38"/>
      <c r="N296" s="38"/>
      <c r="S296" s="38"/>
      <c r="BL296" s="38"/>
    </row>
    <row r="297" spans="4:64" x14ac:dyDescent="0.35">
      <c r="D297" s="38"/>
      <c r="I297" s="38"/>
      <c r="N297" s="38"/>
      <c r="S297" s="38"/>
      <c r="BL297" s="38"/>
    </row>
    <row r="298" spans="4:64" x14ac:dyDescent="0.35">
      <c r="D298" s="38"/>
      <c r="I298" s="38"/>
      <c r="N298" s="38"/>
      <c r="S298" s="38"/>
      <c r="BL298" s="38"/>
    </row>
    <row r="299" spans="4:64" x14ac:dyDescent="0.35">
      <c r="D299" s="38"/>
      <c r="I299" s="38"/>
      <c r="N299" s="38"/>
      <c r="S299" s="38"/>
      <c r="BL299" s="38"/>
    </row>
    <row r="300" spans="4:64" x14ac:dyDescent="0.35">
      <c r="D300" s="38"/>
      <c r="I300" s="38"/>
      <c r="N300" s="38"/>
      <c r="S300" s="38"/>
      <c r="BL300" s="38"/>
    </row>
    <row r="301" spans="4:64" x14ac:dyDescent="0.35">
      <c r="D301" s="38"/>
      <c r="I301" s="38"/>
      <c r="N301" s="38"/>
      <c r="S301" s="38"/>
      <c r="BL301" s="38"/>
    </row>
    <row r="302" spans="4:64" x14ac:dyDescent="0.35">
      <c r="D302" s="38"/>
      <c r="I302" s="38"/>
      <c r="N302" s="38"/>
      <c r="S302" s="38"/>
      <c r="BL302" s="38"/>
    </row>
    <row r="303" spans="4:64" x14ac:dyDescent="0.35">
      <c r="D303" s="38"/>
      <c r="I303" s="38"/>
      <c r="N303" s="38"/>
      <c r="S303" s="38"/>
      <c r="BL303" s="38"/>
    </row>
    <row r="304" spans="4:64" x14ac:dyDescent="0.35">
      <c r="D304" s="38"/>
      <c r="I304" s="38"/>
      <c r="N304" s="38"/>
      <c r="S304" s="38"/>
      <c r="BL304" s="38"/>
    </row>
    <row r="305" spans="4:64" x14ac:dyDescent="0.35">
      <c r="D305" s="38"/>
      <c r="I305" s="38"/>
      <c r="N305" s="38"/>
      <c r="S305" s="38"/>
      <c r="BL305" s="38"/>
    </row>
    <row r="306" spans="4:64" x14ac:dyDescent="0.35">
      <c r="D306" s="38"/>
      <c r="I306" s="38"/>
      <c r="N306" s="38"/>
      <c r="S306" s="38"/>
      <c r="BL306" s="38"/>
    </row>
    <row r="307" spans="4:64" x14ac:dyDescent="0.35">
      <c r="D307" s="38"/>
      <c r="I307" s="38"/>
      <c r="N307" s="38"/>
      <c r="S307" s="38"/>
      <c r="BL307" s="38"/>
    </row>
    <row r="308" spans="4:64" x14ac:dyDescent="0.35">
      <c r="D308" s="38"/>
      <c r="I308" s="38"/>
      <c r="N308" s="38"/>
      <c r="S308" s="38"/>
      <c r="BL308" s="38"/>
    </row>
    <row r="309" spans="4:64" x14ac:dyDescent="0.35">
      <c r="D309" s="38"/>
      <c r="I309" s="38"/>
      <c r="N309" s="38"/>
      <c r="S309" s="38"/>
      <c r="BL309" s="38"/>
    </row>
    <row r="310" spans="4:64" x14ac:dyDescent="0.35">
      <c r="D310" s="38"/>
      <c r="I310" s="38"/>
      <c r="N310" s="38"/>
      <c r="S310" s="38"/>
      <c r="BL310" s="38"/>
    </row>
    <row r="311" spans="4:64" x14ac:dyDescent="0.35">
      <c r="D311" s="38"/>
      <c r="I311" s="38"/>
      <c r="N311" s="38"/>
      <c r="S311" s="38"/>
      <c r="BL311" s="38"/>
    </row>
    <row r="312" spans="4:64" x14ac:dyDescent="0.35">
      <c r="D312" s="38"/>
      <c r="I312" s="38"/>
      <c r="N312" s="38"/>
      <c r="S312" s="38"/>
      <c r="BL312" s="38"/>
    </row>
    <row r="313" spans="4:64" x14ac:dyDescent="0.35">
      <c r="D313" s="38"/>
      <c r="I313" s="38"/>
      <c r="N313" s="38"/>
      <c r="S313" s="38"/>
      <c r="BL313" s="38"/>
    </row>
    <row r="314" spans="4:64" x14ac:dyDescent="0.35">
      <c r="D314" s="38"/>
      <c r="I314" s="38"/>
      <c r="N314" s="38"/>
      <c r="S314" s="38"/>
      <c r="BL314" s="38"/>
    </row>
    <row r="315" spans="4:64" x14ac:dyDescent="0.35">
      <c r="D315" s="38"/>
      <c r="I315" s="38"/>
      <c r="N315" s="38"/>
      <c r="S315" s="38"/>
      <c r="BL315" s="38"/>
    </row>
    <row r="316" spans="4:64" x14ac:dyDescent="0.35">
      <c r="D316" s="38"/>
      <c r="I316" s="38"/>
      <c r="N316" s="38"/>
      <c r="S316" s="38"/>
      <c r="BL316" s="38"/>
    </row>
    <row r="317" spans="4:64" x14ac:dyDescent="0.35">
      <c r="D317" s="38"/>
      <c r="I317" s="38"/>
      <c r="N317" s="38"/>
      <c r="S317" s="38"/>
      <c r="BL317" s="38"/>
    </row>
    <row r="318" spans="4:64" x14ac:dyDescent="0.35">
      <c r="D318" s="38"/>
      <c r="I318" s="38"/>
      <c r="N318" s="38"/>
      <c r="S318" s="38"/>
      <c r="BL318" s="38"/>
    </row>
    <row r="319" spans="4:64" x14ac:dyDescent="0.35">
      <c r="D319" s="38"/>
      <c r="I319" s="38"/>
      <c r="N319" s="38"/>
      <c r="S319" s="38"/>
      <c r="BL319" s="38"/>
    </row>
    <row r="320" spans="4:64" x14ac:dyDescent="0.35">
      <c r="D320" s="38"/>
      <c r="I320" s="38"/>
      <c r="N320" s="38"/>
      <c r="S320" s="38"/>
      <c r="BL320" s="38"/>
    </row>
    <row r="321" spans="4:64" x14ac:dyDescent="0.35">
      <c r="D321" s="38"/>
      <c r="I321" s="38"/>
      <c r="N321" s="38"/>
      <c r="S321" s="38"/>
      <c r="BL321" s="38"/>
    </row>
    <row r="322" spans="4:64" x14ac:dyDescent="0.35">
      <c r="D322" s="38"/>
      <c r="I322" s="38"/>
      <c r="N322" s="38"/>
      <c r="S322" s="38"/>
      <c r="BL322" s="38"/>
    </row>
    <row r="323" spans="4:64" x14ac:dyDescent="0.35">
      <c r="D323" s="38"/>
      <c r="I323" s="38"/>
      <c r="N323" s="38"/>
      <c r="S323" s="38"/>
      <c r="BL323" s="38"/>
    </row>
    <row r="324" spans="4:64" x14ac:dyDescent="0.35">
      <c r="D324" s="38"/>
      <c r="I324" s="38"/>
      <c r="N324" s="38"/>
      <c r="S324" s="38"/>
      <c r="BL324" s="38"/>
    </row>
    <row r="325" spans="4:64" x14ac:dyDescent="0.35">
      <c r="D325" s="38"/>
      <c r="I325" s="38"/>
      <c r="N325" s="38"/>
      <c r="S325" s="38"/>
      <c r="BL325" s="38"/>
    </row>
    <row r="326" spans="4:64" x14ac:dyDescent="0.35">
      <c r="D326" s="38"/>
      <c r="I326" s="38"/>
      <c r="N326" s="38"/>
      <c r="S326" s="38"/>
      <c r="BL326" s="38"/>
    </row>
    <row r="327" spans="4:64" x14ac:dyDescent="0.35">
      <c r="D327" s="38"/>
      <c r="I327" s="38"/>
      <c r="N327" s="38"/>
      <c r="S327" s="38"/>
      <c r="BL327" s="38"/>
    </row>
    <row r="328" spans="4:64" x14ac:dyDescent="0.35">
      <c r="D328" s="38"/>
      <c r="I328" s="38"/>
      <c r="N328" s="38"/>
      <c r="S328" s="38"/>
      <c r="BL328" s="38"/>
    </row>
    <row r="329" spans="4:64" x14ac:dyDescent="0.35">
      <c r="D329" s="38"/>
      <c r="I329" s="38"/>
      <c r="N329" s="38"/>
      <c r="S329" s="38"/>
      <c r="BL329" s="38"/>
    </row>
    <row r="330" spans="4:64" x14ac:dyDescent="0.35">
      <c r="D330" s="38"/>
      <c r="I330" s="38"/>
      <c r="N330" s="38"/>
      <c r="S330" s="38"/>
      <c r="BL330" s="38"/>
    </row>
    <row r="331" spans="4:64" x14ac:dyDescent="0.35">
      <c r="D331" s="38"/>
      <c r="I331" s="38"/>
      <c r="N331" s="38"/>
      <c r="S331" s="38"/>
      <c r="BL331" s="38"/>
    </row>
    <row r="332" spans="4:64" x14ac:dyDescent="0.35">
      <c r="D332" s="38"/>
      <c r="I332" s="38"/>
      <c r="N332" s="38"/>
      <c r="S332" s="38"/>
      <c r="BL332" s="38"/>
    </row>
    <row r="333" spans="4:64" ht="15" thickBot="1" x14ac:dyDescent="0.4">
      <c r="D333" s="48"/>
      <c r="I333" s="48"/>
      <c r="N333" s="48"/>
      <c r="S333" s="48"/>
      <c r="BL333" s="48"/>
    </row>
  </sheetData>
  <autoFilter ref="B2:E37" xr:uid="{91EFB2D1-608A-41D1-8845-2487E031925C}"/>
  <mergeCells count="13">
    <mergeCell ref="BK1:BM1"/>
    <mergeCell ref="AG1:AI1"/>
    <mergeCell ref="AL1:AN1"/>
    <mergeCell ref="AQ1:AS1"/>
    <mergeCell ref="AV1:AX1"/>
    <mergeCell ref="BA1:BC1"/>
    <mergeCell ref="BF1:BH1"/>
    <mergeCell ref="AB1:AD1"/>
    <mergeCell ref="C1:E1"/>
    <mergeCell ref="H1:J1"/>
    <mergeCell ref="M1:O1"/>
    <mergeCell ref="R1:T1"/>
    <mergeCell ref="W1:Y1"/>
  </mergeCells>
  <pageMargins left="0.7" right="0.7" top="0.75" bottom="0.75" header="0.3" footer="0.3"/>
  <pageSetup paperSize="9" orientation="portrait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FE854D-B964-4DF8-9316-D63CE379F40A}">
  <sheetPr>
    <pageSetUpPr fitToPage="1"/>
  </sheetPr>
  <dimension ref="B1:AK162"/>
  <sheetViews>
    <sheetView showGridLines="0" topLeftCell="M1" zoomScale="85" zoomScaleNormal="100" workbookViewId="0">
      <selection activeCell="AI8" sqref="AI8"/>
    </sheetView>
  </sheetViews>
  <sheetFormatPr defaultColWidth="9.1796875" defaultRowHeight="14.5" x14ac:dyDescent="0.35"/>
  <cols>
    <col min="1" max="1" width="13.81640625" style="1" customWidth="1"/>
    <col min="2" max="2" width="17.1796875" style="1" customWidth="1"/>
    <col min="3" max="3" width="15.81640625" style="1" customWidth="1"/>
    <col min="4" max="13" width="13.81640625" style="1" customWidth="1"/>
    <col min="14" max="14" width="9.1796875" style="1"/>
    <col min="15" max="15" width="15.1796875" style="1" customWidth="1"/>
    <col min="16" max="17" width="9.1796875" style="1"/>
    <col min="18" max="18" width="6.1796875" style="1" customWidth="1"/>
    <col min="19" max="19" width="5" style="100" customWidth="1"/>
    <col min="20" max="20" width="21.81640625" style="101" customWidth="1"/>
    <col min="21" max="21" width="9.1796875" style="101"/>
    <col min="22" max="22" width="13.81640625" style="101" bestFit="1" customWidth="1"/>
    <col min="23" max="23" width="20.81640625" style="101" customWidth="1"/>
    <col min="24" max="24" width="9.1796875" style="101"/>
    <col min="25" max="25" width="13.81640625" style="101" bestFit="1" customWidth="1"/>
    <col min="26" max="26" width="4" style="1" customWidth="1"/>
    <col min="27" max="27" width="5.1796875" style="1" customWidth="1"/>
    <col min="28" max="28" width="18.1796875" style="1" customWidth="1"/>
    <col min="29" max="29" width="9.81640625" style="1" customWidth="1"/>
    <col min="30" max="30" width="16.1796875" style="1" customWidth="1"/>
    <col min="31" max="31" width="19.81640625" style="1" customWidth="1"/>
    <col min="32" max="32" width="10.1796875" style="1" bestFit="1" customWidth="1"/>
    <col min="33" max="33" width="15.1796875" style="1" customWidth="1"/>
    <col min="34" max="34" width="14.54296875" style="1" customWidth="1"/>
    <col min="35" max="16384" width="9.1796875" style="1"/>
  </cols>
  <sheetData>
    <row r="1" spans="2:37" ht="13.5" thickBot="1" x14ac:dyDescent="0.35">
      <c r="S1" s="1"/>
      <c r="T1" s="1"/>
      <c r="U1" s="1"/>
      <c r="V1" s="1"/>
      <c r="W1" s="1"/>
      <c r="X1" s="1"/>
      <c r="Y1" s="1"/>
    </row>
    <row r="2" spans="2:37" ht="15" thickBot="1" x14ac:dyDescent="0.35">
      <c r="S2" s="50"/>
      <c r="T2" s="51" t="s">
        <v>122</v>
      </c>
      <c r="U2" s="152">
        <v>2026</v>
      </c>
      <c r="V2" s="153"/>
      <c r="W2" s="51" t="s">
        <v>122</v>
      </c>
      <c r="X2" s="152">
        <v>2025</v>
      </c>
      <c r="Y2" s="154"/>
      <c r="AA2" s="50"/>
      <c r="AB2" s="51" t="s">
        <v>29</v>
      </c>
      <c r="AC2" s="152">
        <v>2026</v>
      </c>
      <c r="AD2" s="153"/>
      <c r="AE2" s="52" t="s">
        <v>29</v>
      </c>
      <c r="AF2" s="152">
        <v>2025</v>
      </c>
      <c r="AG2" s="154"/>
    </row>
    <row r="3" spans="2:37" ht="17.25" customHeight="1" thickBot="1" x14ac:dyDescent="0.4">
      <c r="S3" s="53"/>
      <c r="T3" s="54" t="s">
        <v>2</v>
      </c>
      <c r="U3" s="54" t="s">
        <v>3</v>
      </c>
      <c r="V3" s="55" t="s">
        <v>4</v>
      </c>
      <c r="W3" s="54" t="s">
        <v>2</v>
      </c>
      <c r="X3" s="54" t="s">
        <v>3</v>
      </c>
      <c r="Y3" s="55" t="s">
        <v>4</v>
      </c>
      <c r="AA3" s="56"/>
      <c r="AB3" s="54" t="s">
        <v>2</v>
      </c>
      <c r="AC3" s="54" t="s">
        <v>3</v>
      </c>
      <c r="AD3" s="55" t="s">
        <v>4</v>
      </c>
      <c r="AE3" s="54" t="s">
        <v>2</v>
      </c>
      <c r="AF3" s="54" t="s">
        <v>3</v>
      </c>
      <c r="AG3" s="55" t="s">
        <v>4</v>
      </c>
    </row>
    <row r="4" spans="2:37" ht="15" thickBot="1" x14ac:dyDescent="0.4">
      <c r="B4" s="57" t="s">
        <v>123</v>
      </c>
      <c r="S4" s="50"/>
      <c r="T4" s="58" t="s">
        <v>5</v>
      </c>
      <c r="U4" s="59">
        <v>4088</v>
      </c>
      <c r="V4" s="60">
        <v>4442890.05</v>
      </c>
      <c r="W4" s="61" t="s">
        <v>5</v>
      </c>
      <c r="X4" s="62">
        <v>4138</v>
      </c>
      <c r="Y4" s="61">
        <v>4813965.5399999963</v>
      </c>
      <c r="AA4" s="56"/>
      <c r="AB4" s="63" t="s">
        <v>5</v>
      </c>
      <c r="AC4" s="64">
        <v>27831</v>
      </c>
      <c r="AD4" s="65">
        <v>38199467.479999997</v>
      </c>
      <c r="AE4" s="63" t="s">
        <v>5</v>
      </c>
      <c r="AF4" s="64">
        <v>27807</v>
      </c>
      <c r="AG4" s="65">
        <v>39061285.610000007</v>
      </c>
      <c r="AH4" s="66"/>
    </row>
    <row r="5" spans="2:37" ht="18.75" customHeight="1" x14ac:dyDescent="0.35">
      <c r="S5" s="50">
        <v>1</v>
      </c>
      <c r="T5" s="67" t="s">
        <v>6</v>
      </c>
      <c r="U5" s="68">
        <v>1098</v>
      </c>
      <c r="V5" s="69">
        <v>1129652.24</v>
      </c>
      <c r="W5" s="69" t="s">
        <v>6</v>
      </c>
      <c r="X5" s="68">
        <v>702</v>
      </c>
      <c r="Y5" s="69">
        <v>793877.36</v>
      </c>
      <c r="AA5" s="50">
        <v>1</v>
      </c>
      <c r="AB5" s="67" t="s">
        <v>6</v>
      </c>
      <c r="AC5" s="68">
        <v>6141</v>
      </c>
      <c r="AD5" s="69">
        <v>7830372.5</v>
      </c>
      <c r="AE5" s="69" t="s">
        <v>6</v>
      </c>
      <c r="AF5" s="68">
        <v>4642</v>
      </c>
      <c r="AG5" s="69">
        <v>6327477.0300000003</v>
      </c>
      <c r="AH5" s="66"/>
      <c r="AI5" s="70"/>
      <c r="AK5" s="66"/>
    </row>
    <row r="6" spans="2:37" x14ac:dyDescent="0.35">
      <c r="S6" s="56">
        <v>2</v>
      </c>
      <c r="T6" s="71" t="s">
        <v>7</v>
      </c>
      <c r="U6" s="72">
        <v>568</v>
      </c>
      <c r="V6" s="73">
        <v>599897.17000000004</v>
      </c>
      <c r="W6" s="71" t="s">
        <v>10</v>
      </c>
      <c r="X6" s="72">
        <v>459</v>
      </c>
      <c r="Y6" s="73">
        <v>542118.22</v>
      </c>
      <c r="AA6" s="56">
        <v>2</v>
      </c>
      <c r="AB6" s="71" t="s">
        <v>7</v>
      </c>
      <c r="AC6" s="72">
        <v>3034</v>
      </c>
      <c r="AD6" s="73">
        <v>3723158.98</v>
      </c>
      <c r="AE6" s="71" t="s">
        <v>10</v>
      </c>
      <c r="AF6" s="72">
        <v>2762</v>
      </c>
      <c r="AG6" s="73">
        <v>3779720.65</v>
      </c>
      <c r="AH6" s="66"/>
      <c r="AI6" s="70"/>
      <c r="AK6" s="66"/>
    </row>
    <row r="7" spans="2:37" x14ac:dyDescent="0.35">
      <c r="S7" s="56">
        <v>3</v>
      </c>
      <c r="T7" s="71" t="s">
        <v>8</v>
      </c>
      <c r="U7" s="72">
        <v>319</v>
      </c>
      <c r="V7" s="73">
        <v>336967.31</v>
      </c>
      <c r="W7" s="71" t="s">
        <v>8</v>
      </c>
      <c r="X7" s="72">
        <v>433</v>
      </c>
      <c r="Y7" s="73">
        <v>492616.66</v>
      </c>
      <c r="AA7" s="56">
        <v>3</v>
      </c>
      <c r="AB7" s="71" t="s">
        <v>10</v>
      </c>
      <c r="AC7" s="72">
        <v>2336</v>
      </c>
      <c r="AD7" s="73">
        <v>3109788.43</v>
      </c>
      <c r="AE7" s="71" t="s">
        <v>9</v>
      </c>
      <c r="AF7" s="72">
        <v>2138</v>
      </c>
      <c r="AG7" s="73">
        <v>2989507.59</v>
      </c>
      <c r="AI7" s="70"/>
    </row>
    <row r="8" spans="2:37" x14ac:dyDescent="0.35">
      <c r="S8" s="56">
        <v>4</v>
      </c>
      <c r="T8" s="71" t="s">
        <v>9</v>
      </c>
      <c r="U8" s="72">
        <v>308</v>
      </c>
      <c r="V8" s="73">
        <v>331261.69</v>
      </c>
      <c r="W8" s="71" t="s">
        <v>9</v>
      </c>
      <c r="X8" s="72">
        <v>277</v>
      </c>
      <c r="Y8" s="73">
        <v>325538.96000000002</v>
      </c>
      <c r="AA8" s="56">
        <v>4</v>
      </c>
      <c r="AB8" s="71" t="s">
        <v>9</v>
      </c>
      <c r="AC8" s="72">
        <v>2114</v>
      </c>
      <c r="AD8" s="73">
        <v>2821158.85</v>
      </c>
      <c r="AE8" s="71" t="s">
        <v>30</v>
      </c>
      <c r="AF8" s="72">
        <v>2000</v>
      </c>
      <c r="AG8" s="73">
        <v>3118305.49</v>
      </c>
      <c r="AI8" s="70"/>
    </row>
    <row r="9" spans="2:37" x14ac:dyDescent="0.35">
      <c r="S9" s="56">
        <v>5</v>
      </c>
      <c r="T9" s="71" t="s">
        <v>10</v>
      </c>
      <c r="U9" s="72">
        <v>262</v>
      </c>
      <c r="V9" s="73">
        <v>278457.09999999998</v>
      </c>
      <c r="W9" s="71" t="s">
        <v>7</v>
      </c>
      <c r="X9" s="72">
        <v>207</v>
      </c>
      <c r="Y9" s="73">
        <v>245563.87</v>
      </c>
      <c r="AA9" s="56">
        <v>5</v>
      </c>
      <c r="AB9" s="71" t="s">
        <v>11</v>
      </c>
      <c r="AC9" s="72">
        <v>1524</v>
      </c>
      <c r="AD9" s="73">
        <v>2032223.49</v>
      </c>
      <c r="AE9" s="71" t="s">
        <v>8</v>
      </c>
      <c r="AF9" s="72">
        <v>1872</v>
      </c>
      <c r="AG9" s="73">
        <v>2455926.2599999998</v>
      </c>
      <c r="AI9" s="70"/>
    </row>
    <row r="10" spans="2:37" x14ac:dyDescent="0.35">
      <c r="S10" s="56">
        <v>6</v>
      </c>
      <c r="T10" s="71" t="s">
        <v>11</v>
      </c>
      <c r="U10" s="72">
        <v>221</v>
      </c>
      <c r="V10" s="73">
        <v>242643.23</v>
      </c>
      <c r="W10" s="71" t="s">
        <v>11</v>
      </c>
      <c r="X10" s="72">
        <v>207</v>
      </c>
      <c r="Y10" s="73">
        <v>248071.44</v>
      </c>
      <c r="AA10" s="56">
        <v>6</v>
      </c>
      <c r="AB10" s="71" t="s">
        <v>8</v>
      </c>
      <c r="AC10" s="72">
        <v>1462</v>
      </c>
      <c r="AD10" s="73">
        <v>1898290.16</v>
      </c>
      <c r="AE10" s="71" t="s">
        <v>31</v>
      </c>
      <c r="AF10" s="72">
        <v>1201</v>
      </c>
      <c r="AG10" s="73">
        <v>1747277</v>
      </c>
      <c r="AI10" s="70"/>
    </row>
    <row r="11" spans="2:37" x14ac:dyDescent="0.35">
      <c r="S11" s="56">
        <v>7</v>
      </c>
      <c r="T11" s="71" t="s">
        <v>12</v>
      </c>
      <c r="U11" s="72">
        <v>173</v>
      </c>
      <c r="V11" s="73">
        <v>193694.28</v>
      </c>
      <c r="W11" s="71" t="s">
        <v>12</v>
      </c>
      <c r="X11" s="72">
        <v>206</v>
      </c>
      <c r="Y11" s="73">
        <v>246479.88</v>
      </c>
      <c r="AA11" s="56">
        <v>7</v>
      </c>
      <c r="AB11" s="71" t="s">
        <v>30</v>
      </c>
      <c r="AC11" s="72">
        <v>1440</v>
      </c>
      <c r="AD11" s="73">
        <v>2312066.54</v>
      </c>
      <c r="AE11" s="71" t="s">
        <v>11</v>
      </c>
      <c r="AF11" s="72">
        <v>1200</v>
      </c>
      <c r="AG11" s="73">
        <v>1644960.13</v>
      </c>
      <c r="AI11" s="70"/>
    </row>
    <row r="12" spans="2:37" x14ac:dyDescent="0.35">
      <c r="S12" s="56">
        <v>8</v>
      </c>
      <c r="T12" s="71" t="s">
        <v>13</v>
      </c>
      <c r="U12" s="72">
        <v>126</v>
      </c>
      <c r="V12" s="73">
        <v>132500.01999999999</v>
      </c>
      <c r="W12" s="71" t="s">
        <v>13</v>
      </c>
      <c r="X12" s="72">
        <v>177</v>
      </c>
      <c r="Y12" s="73">
        <v>209576.38</v>
      </c>
      <c r="AA12" s="56">
        <v>8</v>
      </c>
      <c r="AB12" s="71" t="s">
        <v>16</v>
      </c>
      <c r="AC12" s="72">
        <v>1038</v>
      </c>
      <c r="AD12" s="73">
        <v>1442181.64</v>
      </c>
      <c r="AE12" s="71" t="s">
        <v>7</v>
      </c>
      <c r="AF12" s="72">
        <v>1017</v>
      </c>
      <c r="AG12" s="73">
        <v>1461105.57</v>
      </c>
      <c r="AI12" s="70"/>
    </row>
    <row r="13" spans="2:37" x14ac:dyDescent="0.35">
      <c r="S13" s="56">
        <v>9</v>
      </c>
      <c r="T13" s="71" t="s">
        <v>14</v>
      </c>
      <c r="U13" s="72">
        <v>118</v>
      </c>
      <c r="V13" s="73">
        <v>120296.47</v>
      </c>
      <c r="W13" s="71" t="s">
        <v>14</v>
      </c>
      <c r="X13" s="72">
        <v>177</v>
      </c>
      <c r="Y13" s="73">
        <v>217522.9</v>
      </c>
      <c r="AA13" s="56">
        <v>9</v>
      </c>
      <c r="AB13" s="71" t="s">
        <v>31</v>
      </c>
      <c r="AC13" s="72">
        <v>810</v>
      </c>
      <c r="AD13" s="73">
        <v>1221534.6599999999</v>
      </c>
      <c r="AE13" s="71" t="s">
        <v>16</v>
      </c>
      <c r="AF13" s="72">
        <v>926</v>
      </c>
      <c r="AG13" s="73">
        <v>1315625.6200000001</v>
      </c>
      <c r="AI13" s="70"/>
    </row>
    <row r="14" spans="2:37" ht="15" thickBot="1" x14ac:dyDescent="0.4">
      <c r="S14" s="53">
        <v>10</v>
      </c>
      <c r="T14" s="74" t="s">
        <v>15</v>
      </c>
      <c r="U14" s="75">
        <v>104</v>
      </c>
      <c r="V14" s="76">
        <v>114427.09</v>
      </c>
      <c r="W14" s="71" t="s">
        <v>15</v>
      </c>
      <c r="X14" s="72">
        <v>162</v>
      </c>
      <c r="Y14" s="73">
        <v>192840.79</v>
      </c>
      <c r="AA14" s="53">
        <v>10</v>
      </c>
      <c r="AB14" s="74" t="s">
        <v>25</v>
      </c>
      <c r="AC14" s="75">
        <v>735</v>
      </c>
      <c r="AD14" s="76">
        <v>1096669.57</v>
      </c>
      <c r="AE14" s="71" t="s">
        <v>32</v>
      </c>
      <c r="AF14" s="72">
        <v>890</v>
      </c>
      <c r="AG14" s="73">
        <v>1227382.24</v>
      </c>
      <c r="AI14" s="70"/>
    </row>
    <row r="15" spans="2:37" x14ac:dyDescent="0.35">
      <c r="S15" s="50">
        <v>11</v>
      </c>
      <c r="T15" s="67" t="s">
        <v>16</v>
      </c>
      <c r="U15" s="68">
        <v>97</v>
      </c>
      <c r="V15" s="69">
        <v>108932.32</v>
      </c>
      <c r="W15" s="67" t="s">
        <v>16</v>
      </c>
      <c r="X15" s="68">
        <v>135</v>
      </c>
      <c r="Y15" s="69">
        <v>162234.71</v>
      </c>
      <c r="AA15" s="56">
        <v>11</v>
      </c>
      <c r="AB15" s="67" t="s">
        <v>14</v>
      </c>
      <c r="AC15" s="68">
        <v>645</v>
      </c>
      <c r="AD15" s="69">
        <v>848014.63</v>
      </c>
      <c r="AE15" s="67" t="s">
        <v>19</v>
      </c>
      <c r="AF15" s="68">
        <v>888</v>
      </c>
      <c r="AG15" s="69">
        <v>1257402.82</v>
      </c>
      <c r="AI15" s="77"/>
    </row>
    <row r="16" spans="2:37" x14ac:dyDescent="0.35">
      <c r="S16" s="56">
        <v>12</v>
      </c>
      <c r="T16" s="71" t="s">
        <v>17</v>
      </c>
      <c r="U16" s="72">
        <v>84</v>
      </c>
      <c r="V16" s="73">
        <v>92567.21</v>
      </c>
      <c r="W16" s="71" t="s">
        <v>19</v>
      </c>
      <c r="X16" s="72">
        <v>111</v>
      </c>
      <c r="Y16" s="73">
        <v>131053.2</v>
      </c>
      <c r="AA16" s="56">
        <v>12</v>
      </c>
      <c r="AB16" s="71" t="s">
        <v>13</v>
      </c>
      <c r="AC16" s="72">
        <v>603</v>
      </c>
      <c r="AD16" s="73">
        <v>777916.6</v>
      </c>
      <c r="AE16" s="71" t="s">
        <v>14</v>
      </c>
      <c r="AF16" s="72">
        <v>852</v>
      </c>
      <c r="AG16" s="73">
        <v>1193901.21</v>
      </c>
    </row>
    <row r="17" spans="2:33" x14ac:dyDescent="0.35">
      <c r="S17" s="56">
        <v>13</v>
      </c>
      <c r="T17" s="71" t="s">
        <v>18</v>
      </c>
      <c r="U17" s="72">
        <v>68</v>
      </c>
      <c r="V17" s="73">
        <v>81805.95</v>
      </c>
      <c r="W17" s="73" t="s">
        <v>21</v>
      </c>
      <c r="X17" s="72">
        <v>107</v>
      </c>
      <c r="Y17" s="73">
        <v>125169.71</v>
      </c>
      <c r="AA17" s="56">
        <v>13</v>
      </c>
      <c r="AB17" s="71" t="s">
        <v>15</v>
      </c>
      <c r="AC17" s="72">
        <v>530</v>
      </c>
      <c r="AD17" s="73">
        <v>672801.17</v>
      </c>
      <c r="AE17" s="73" t="s">
        <v>15</v>
      </c>
      <c r="AF17" s="72">
        <v>765</v>
      </c>
      <c r="AG17" s="73">
        <v>1083731.48</v>
      </c>
    </row>
    <row r="18" spans="2:33" x14ac:dyDescent="0.35">
      <c r="S18" s="56">
        <v>14</v>
      </c>
      <c r="T18" s="71" t="s">
        <v>19</v>
      </c>
      <c r="U18" s="72">
        <v>62</v>
      </c>
      <c r="V18" s="73">
        <v>69802.8</v>
      </c>
      <c r="W18" s="73" t="s">
        <v>17</v>
      </c>
      <c r="X18" s="72">
        <v>105</v>
      </c>
      <c r="Y18" s="73">
        <v>130308.24</v>
      </c>
      <c r="AA18" s="56">
        <v>14</v>
      </c>
      <c r="AB18" s="71" t="s">
        <v>19</v>
      </c>
      <c r="AC18" s="72">
        <v>481</v>
      </c>
      <c r="AD18" s="73">
        <v>690378.56</v>
      </c>
      <c r="AE18" s="73" t="s">
        <v>25</v>
      </c>
      <c r="AF18" s="72">
        <v>755</v>
      </c>
      <c r="AG18" s="73">
        <v>1195895.24</v>
      </c>
    </row>
    <row r="19" spans="2:33" x14ac:dyDescent="0.35">
      <c r="S19" s="56">
        <v>15</v>
      </c>
      <c r="T19" s="71" t="s">
        <v>20</v>
      </c>
      <c r="U19" s="72">
        <v>40</v>
      </c>
      <c r="V19" s="73">
        <v>40987.47</v>
      </c>
      <c r="W19" s="71" t="s">
        <v>25</v>
      </c>
      <c r="X19" s="72">
        <v>68</v>
      </c>
      <c r="Y19" s="73">
        <v>86030.02</v>
      </c>
      <c r="AA19" s="56">
        <v>15</v>
      </c>
      <c r="AB19" s="71" t="s">
        <v>32</v>
      </c>
      <c r="AC19" s="72">
        <v>470</v>
      </c>
      <c r="AD19" s="73">
        <v>642168.05000000005</v>
      </c>
      <c r="AE19" s="71" t="s">
        <v>13</v>
      </c>
      <c r="AF19" s="72">
        <v>752</v>
      </c>
      <c r="AG19" s="73">
        <v>1028092.89</v>
      </c>
    </row>
    <row r="20" spans="2:33" x14ac:dyDescent="0.35">
      <c r="S20" s="56">
        <v>16</v>
      </c>
      <c r="T20" s="71" t="s">
        <v>21</v>
      </c>
      <c r="U20" s="72">
        <v>40</v>
      </c>
      <c r="V20" s="73">
        <v>44354.48</v>
      </c>
      <c r="W20" s="71" t="s">
        <v>20</v>
      </c>
      <c r="X20" s="78">
        <v>56</v>
      </c>
      <c r="Y20" s="78">
        <v>64178.37</v>
      </c>
      <c r="AA20" s="56">
        <v>16</v>
      </c>
      <c r="AB20" s="71" t="s">
        <v>26</v>
      </c>
      <c r="AC20" s="72">
        <v>399</v>
      </c>
      <c r="AD20" s="73">
        <v>625222.18000000005</v>
      </c>
      <c r="AE20" s="71" t="s">
        <v>26</v>
      </c>
      <c r="AF20" s="78">
        <v>419</v>
      </c>
      <c r="AG20" s="78">
        <v>686079.55</v>
      </c>
    </row>
    <row r="21" spans="2:33" x14ac:dyDescent="0.35">
      <c r="S21" s="56">
        <v>17</v>
      </c>
      <c r="T21" s="71" t="s">
        <v>25</v>
      </c>
      <c r="U21" s="72">
        <v>32</v>
      </c>
      <c r="V21" s="73">
        <v>35579.449999999997</v>
      </c>
      <c r="W21" s="73" t="s">
        <v>35</v>
      </c>
      <c r="X21" s="72">
        <v>51</v>
      </c>
      <c r="Y21" s="73">
        <v>60022.39</v>
      </c>
      <c r="AA21" s="56">
        <v>17</v>
      </c>
      <c r="AB21" s="71" t="s">
        <v>27</v>
      </c>
      <c r="AC21" s="72">
        <v>382</v>
      </c>
      <c r="AD21" s="73">
        <v>546514.16</v>
      </c>
      <c r="AE21" s="73" t="s">
        <v>65</v>
      </c>
      <c r="AF21" s="72">
        <v>393</v>
      </c>
      <c r="AG21" s="73">
        <v>602930.67000000004</v>
      </c>
    </row>
    <row r="22" spans="2:33" x14ac:dyDescent="0.35">
      <c r="B22" s="79" t="s">
        <v>22</v>
      </c>
      <c r="C22" s="80" t="str">
        <f>T5</f>
        <v>China</v>
      </c>
      <c r="D22" s="80" t="str">
        <f>T6</f>
        <v>Indonesia</v>
      </c>
      <c r="E22" s="80" t="str">
        <f>T7</f>
        <v>Thailand</v>
      </c>
      <c r="F22" s="80" t="str">
        <f>T8</f>
        <v>Malaysia</v>
      </c>
      <c r="G22" s="80" t="str">
        <f>T9</f>
        <v>Singapore</v>
      </c>
      <c r="H22" s="80" t="str">
        <f>T10</f>
        <v>Taiwan</v>
      </c>
      <c r="I22" s="80" t="str">
        <f>T11</f>
        <v>USA</v>
      </c>
      <c r="J22" s="80" t="str">
        <f>T12</f>
        <v>India</v>
      </c>
      <c r="K22" s="80" t="str">
        <f>T13</f>
        <v>Philippines</v>
      </c>
      <c r="L22" s="80" t="str">
        <f>T14</f>
        <v>Vietnam</v>
      </c>
      <c r="M22" s="80" t="s">
        <v>23</v>
      </c>
      <c r="N22" s="81"/>
      <c r="O22" s="82" t="s">
        <v>24</v>
      </c>
      <c r="S22" s="56">
        <v>18</v>
      </c>
      <c r="T22" s="71" t="s">
        <v>26</v>
      </c>
      <c r="U22" s="72">
        <v>29</v>
      </c>
      <c r="V22" s="73">
        <v>37791.360000000001</v>
      </c>
      <c r="W22" s="78" t="s">
        <v>39</v>
      </c>
      <c r="X22" s="78">
        <v>34</v>
      </c>
      <c r="Y22" s="78">
        <v>45749.19</v>
      </c>
      <c r="AA22" s="56">
        <v>18</v>
      </c>
      <c r="AB22" s="71" t="s">
        <v>33</v>
      </c>
      <c r="AC22" s="72">
        <v>283</v>
      </c>
      <c r="AD22" s="73">
        <v>420691.12</v>
      </c>
      <c r="AE22" s="78" t="s">
        <v>27</v>
      </c>
      <c r="AF22" s="78">
        <v>368</v>
      </c>
      <c r="AG22" s="78">
        <v>545826.01</v>
      </c>
    </row>
    <row r="23" spans="2:33" x14ac:dyDescent="0.35">
      <c r="B23" s="83">
        <v>2026</v>
      </c>
      <c r="C23" s="84">
        <f>U5</f>
        <v>1098</v>
      </c>
      <c r="D23" s="84">
        <f>U6</f>
        <v>568</v>
      </c>
      <c r="E23" s="84">
        <f>U7</f>
        <v>319</v>
      </c>
      <c r="F23" s="84">
        <f>U8</f>
        <v>308</v>
      </c>
      <c r="G23" s="84">
        <f>U9</f>
        <v>262</v>
      </c>
      <c r="H23" s="84">
        <f>U10</f>
        <v>221</v>
      </c>
      <c r="I23" s="84">
        <f>U11</f>
        <v>173</v>
      </c>
      <c r="J23" s="84">
        <f>U12</f>
        <v>126</v>
      </c>
      <c r="K23" s="84">
        <f>U13</f>
        <v>118</v>
      </c>
      <c r="L23" s="84">
        <f>U14</f>
        <v>104</v>
      </c>
      <c r="M23" s="84">
        <f>U4-SUM(C23:L23)</f>
        <v>791</v>
      </c>
      <c r="N23" s="85"/>
      <c r="O23" s="86">
        <f>SUM(C23:M23)</f>
        <v>4088</v>
      </c>
      <c r="P23" s="5"/>
      <c r="S23" s="56">
        <v>19</v>
      </c>
      <c r="T23" s="71" t="s">
        <v>27</v>
      </c>
      <c r="U23" s="72">
        <v>27</v>
      </c>
      <c r="V23" s="73">
        <v>31761.54</v>
      </c>
      <c r="W23" s="78" t="s">
        <v>18</v>
      </c>
      <c r="X23" s="78">
        <v>32</v>
      </c>
      <c r="Y23" s="78">
        <v>41483.78</v>
      </c>
      <c r="AA23" s="56">
        <v>19</v>
      </c>
      <c r="AB23" s="71" t="s">
        <v>34</v>
      </c>
      <c r="AC23" s="72">
        <v>271</v>
      </c>
      <c r="AD23" s="73">
        <v>389972.01</v>
      </c>
      <c r="AE23" s="78" t="s">
        <v>33</v>
      </c>
      <c r="AF23" s="78">
        <v>368</v>
      </c>
      <c r="AG23" s="78">
        <v>570312.97</v>
      </c>
    </row>
    <row r="24" spans="2:33" x14ac:dyDescent="0.35">
      <c r="B24" s="83">
        <v>2025</v>
      </c>
      <c r="C24" s="84">
        <f t="shared" ref="C24:I24" si="0">IFERROR(VLOOKUP(C22,$W$5:$X$35,2,FALSE),0)</f>
        <v>702</v>
      </c>
      <c r="D24" s="84">
        <f t="shared" si="0"/>
        <v>207</v>
      </c>
      <c r="E24" s="84">
        <f t="shared" si="0"/>
        <v>433</v>
      </c>
      <c r="F24" s="84">
        <f t="shared" si="0"/>
        <v>277</v>
      </c>
      <c r="G24" s="84">
        <f t="shared" si="0"/>
        <v>459</v>
      </c>
      <c r="H24" s="84">
        <f t="shared" si="0"/>
        <v>207</v>
      </c>
      <c r="I24" s="84">
        <f t="shared" si="0"/>
        <v>206</v>
      </c>
      <c r="J24" s="84">
        <f>IFERROR(VLOOKUP(J22,$W$5:$Y$66,2,FALSE),0)</f>
        <v>177</v>
      </c>
      <c r="K24" s="84">
        <f>IFERROR(VLOOKUP(K22,$W$5:$X$35,2,FALSE),0)</f>
        <v>177</v>
      </c>
      <c r="L24" s="84">
        <f>IFERROR(VLOOKUP(L22,$W$5:$Y$87,2,FALSE),0)</f>
        <v>162</v>
      </c>
      <c r="M24" s="84">
        <f>X4-SUM(C24:L24)</f>
        <v>1131</v>
      </c>
      <c r="N24" s="85"/>
      <c r="O24" s="86">
        <f>SUM(C24:M24)</f>
        <v>4138</v>
      </c>
      <c r="P24" s="5"/>
      <c r="S24" s="56">
        <v>20</v>
      </c>
      <c r="T24" s="71" t="s">
        <v>28</v>
      </c>
      <c r="U24" s="72">
        <v>26</v>
      </c>
      <c r="V24" s="73">
        <v>27159.15</v>
      </c>
      <c r="W24" s="71" t="s">
        <v>33</v>
      </c>
      <c r="X24" s="78">
        <v>31</v>
      </c>
      <c r="Y24" s="78">
        <v>41090.6</v>
      </c>
      <c r="AA24" s="56">
        <v>20</v>
      </c>
      <c r="AB24" s="71" t="s">
        <v>35</v>
      </c>
      <c r="AC24" s="72">
        <v>259</v>
      </c>
      <c r="AD24" s="73">
        <v>376929.2</v>
      </c>
      <c r="AE24" s="71" t="s">
        <v>39</v>
      </c>
      <c r="AF24" s="78">
        <v>357</v>
      </c>
      <c r="AG24" s="78">
        <v>605633.61</v>
      </c>
    </row>
    <row r="25" spans="2:33" x14ac:dyDescent="0.35">
      <c r="B25" s="87" t="s">
        <v>124</v>
      </c>
      <c r="C25" s="88">
        <f>IFERROR((C23-C24)/C24,"N/A")</f>
        <v>0.5641025641025641</v>
      </c>
      <c r="D25" s="88">
        <f t="shared" ref="D25:M25" si="1">IFERROR((D23-D24)/D24,"N/A")</f>
        <v>1.7439613526570048</v>
      </c>
      <c r="E25" s="88">
        <f t="shared" si="1"/>
        <v>-0.26327944572748269</v>
      </c>
      <c r="F25" s="88">
        <f t="shared" si="1"/>
        <v>0.11191335740072202</v>
      </c>
      <c r="G25" s="88">
        <f t="shared" si="1"/>
        <v>-0.42919389978213507</v>
      </c>
      <c r="H25" s="88">
        <f t="shared" si="1"/>
        <v>6.7632850241545889E-2</v>
      </c>
      <c r="I25" s="88">
        <f t="shared" si="1"/>
        <v>-0.16019417475728157</v>
      </c>
      <c r="J25" s="88">
        <f t="shared" si="1"/>
        <v>-0.28813559322033899</v>
      </c>
      <c r="K25" s="88">
        <f>IFERROR((K23-K24)/K24,"N/A")</f>
        <v>-0.33333333333333331</v>
      </c>
      <c r="L25" s="88">
        <f>IFERROR((L23-L24)/L24,"N/A")</f>
        <v>-0.35802469135802467</v>
      </c>
      <c r="M25" s="88">
        <f t="shared" si="1"/>
        <v>-0.30061892130857648</v>
      </c>
      <c r="N25" s="85"/>
      <c r="O25" s="89">
        <f t="shared" ref="O25" si="2">(O23-O24)/O24</f>
        <v>-1.2083131947800869E-2</v>
      </c>
      <c r="P25" s="5"/>
      <c r="S25" s="56">
        <v>21</v>
      </c>
      <c r="T25" s="71" t="s">
        <v>42</v>
      </c>
      <c r="U25" s="72">
        <v>25</v>
      </c>
      <c r="V25" s="73">
        <v>26559.68</v>
      </c>
      <c r="W25" s="71" t="s">
        <v>27</v>
      </c>
      <c r="X25" s="78">
        <v>28</v>
      </c>
      <c r="Y25" s="78">
        <v>37859.47</v>
      </c>
      <c r="AA25" s="56">
        <v>21</v>
      </c>
      <c r="AB25" s="71" t="s">
        <v>20</v>
      </c>
      <c r="AC25" s="72">
        <v>252</v>
      </c>
      <c r="AD25" s="73">
        <v>349788.87</v>
      </c>
      <c r="AE25" s="71" t="s">
        <v>35</v>
      </c>
      <c r="AF25" s="78">
        <v>245</v>
      </c>
      <c r="AG25" s="78">
        <v>352184.87</v>
      </c>
    </row>
    <row r="26" spans="2:33" ht="13.5" customHeight="1" x14ac:dyDescent="0.35">
      <c r="B26" s="90"/>
      <c r="C26" s="90"/>
      <c r="D26" s="90"/>
      <c r="E26" s="90"/>
      <c r="F26" s="90"/>
      <c r="G26" s="90"/>
      <c r="H26" s="90"/>
      <c r="I26" s="90"/>
      <c r="J26" s="90"/>
      <c r="K26" s="90"/>
      <c r="L26" s="90"/>
      <c r="M26" s="90"/>
      <c r="N26" s="81"/>
      <c r="O26" s="81"/>
      <c r="S26" s="56">
        <v>22</v>
      </c>
      <c r="T26" s="71" t="s">
        <v>34</v>
      </c>
      <c r="U26" s="72">
        <v>20</v>
      </c>
      <c r="V26" s="73">
        <v>25135.52</v>
      </c>
      <c r="W26" s="71" t="s">
        <v>54</v>
      </c>
      <c r="X26" s="78">
        <v>20</v>
      </c>
      <c r="Y26" s="78">
        <v>26149.17</v>
      </c>
      <c r="AA26" s="56">
        <v>22</v>
      </c>
      <c r="AB26" s="71" t="s">
        <v>39</v>
      </c>
      <c r="AC26" s="72">
        <v>216</v>
      </c>
      <c r="AD26" s="73">
        <v>334873.84000000003</v>
      </c>
      <c r="AE26" s="78" t="s">
        <v>20</v>
      </c>
      <c r="AF26" s="78">
        <v>226</v>
      </c>
      <c r="AG26" s="78">
        <v>317173.31</v>
      </c>
    </row>
    <row r="27" spans="2:33" x14ac:dyDescent="0.35">
      <c r="B27" s="79" t="s">
        <v>0</v>
      </c>
      <c r="C27" s="80" t="str">
        <f>C22</f>
        <v>China</v>
      </c>
      <c r="D27" s="80" t="str">
        <f t="shared" ref="D27:M27" si="3">D22</f>
        <v>Indonesia</v>
      </c>
      <c r="E27" s="80" t="str">
        <f t="shared" si="3"/>
        <v>Thailand</v>
      </c>
      <c r="F27" s="80" t="str">
        <f t="shared" si="3"/>
        <v>Malaysia</v>
      </c>
      <c r="G27" s="80" t="str">
        <f t="shared" si="3"/>
        <v>Singapore</v>
      </c>
      <c r="H27" s="80" t="str">
        <f t="shared" si="3"/>
        <v>Taiwan</v>
      </c>
      <c r="I27" s="80" t="str">
        <f t="shared" si="3"/>
        <v>USA</v>
      </c>
      <c r="J27" s="80" t="str">
        <f t="shared" si="3"/>
        <v>India</v>
      </c>
      <c r="K27" s="80" t="str">
        <f t="shared" si="3"/>
        <v>Philippines</v>
      </c>
      <c r="L27" s="80" t="str">
        <f t="shared" si="3"/>
        <v>Vietnam</v>
      </c>
      <c r="M27" s="80" t="str">
        <f t="shared" si="3"/>
        <v>Other</v>
      </c>
      <c r="N27" s="81"/>
      <c r="O27" s="81"/>
      <c r="S27" s="56">
        <v>23</v>
      </c>
      <c r="T27" s="71" t="s">
        <v>43</v>
      </c>
      <c r="U27" s="72">
        <v>19</v>
      </c>
      <c r="V27" s="73">
        <v>22328.27</v>
      </c>
      <c r="W27" s="78" t="s">
        <v>43</v>
      </c>
      <c r="X27" s="78">
        <v>20</v>
      </c>
      <c r="Y27" s="78">
        <v>24751.31</v>
      </c>
      <c r="AA27" s="56">
        <v>23</v>
      </c>
      <c r="AB27" s="71" t="s">
        <v>43</v>
      </c>
      <c r="AC27" s="72">
        <v>170</v>
      </c>
      <c r="AD27" s="73">
        <v>251545.35</v>
      </c>
      <c r="AE27" s="78" t="s">
        <v>34</v>
      </c>
      <c r="AF27" s="78">
        <v>210</v>
      </c>
      <c r="AG27" s="78">
        <v>327307.90000000002</v>
      </c>
    </row>
    <row r="28" spans="2:33" x14ac:dyDescent="0.35">
      <c r="B28" s="83">
        <v>2026</v>
      </c>
      <c r="C28" s="84">
        <f t="shared" ref="C28:M29" si="4">C34/C23</f>
        <v>1028.8271766848816</v>
      </c>
      <c r="D28" s="84">
        <f t="shared" si="4"/>
        <v>1056.1569894366198</v>
      </c>
      <c r="E28" s="84">
        <f t="shared" si="4"/>
        <v>1056.323855799373</v>
      </c>
      <c r="F28" s="84">
        <f t="shared" si="4"/>
        <v>1075.5249675324676</v>
      </c>
      <c r="G28" s="84">
        <f t="shared" si="4"/>
        <v>1062.8133587786258</v>
      </c>
      <c r="H28" s="84">
        <f t="shared" si="4"/>
        <v>1097.9331674208145</v>
      </c>
      <c r="I28" s="84">
        <f t="shared" si="4"/>
        <v>1119.6201156069365</v>
      </c>
      <c r="J28" s="84">
        <f t="shared" si="4"/>
        <v>1051.5874603174602</v>
      </c>
      <c r="K28" s="84">
        <f t="shared" si="4"/>
        <v>1019.4616101694916</v>
      </c>
      <c r="L28" s="84">
        <f t="shared" si="4"/>
        <v>1100.2604807692308</v>
      </c>
      <c r="M28" s="84">
        <f t="shared" si="4"/>
        <v>1217.5644121365356</v>
      </c>
      <c r="N28" s="81"/>
      <c r="O28" s="81"/>
      <c r="S28" s="56">
        <v>24</v>
      </c>
      <c r="T28" s="71" t="s">
        <v>44</v>
      </c>
      <c r="U28" s="72">
        <v>16</v>
      </c>
      <c r="V28" s="73">
        <v>17847.39</v>
      </c>
      <c r="W28" s="78" t="s">
        <v>85</v>
      </c>
      <c r="X28" s="78">
        <v>20</v>
      </c>
      <c r="Y28" s="78">
        <v>25199.599999999999</v>
      </c>
      <c r="AA28" s="56">
        <v>24</v>
      </c>
      <c r="AB28" s="71" t="s">
        <v>18</v>
      </c>
      <c r="AC28" s="72">
        <v>156</v>
      </c>
      <c r="AD28" s="73">
        <v>202866.92</v>
      </c>
      <c r="AE28" s="78" t="s">
        <v>43</v>
      </c>
      <c r="AF28" s="78">
        <v>193</v>
      </c>
      <c r="AG28" s="78">
        <v>326796.19</v>
      </c>
    </row>
    <row r="29" spans="2:33" x14ac:dyDescent="0.35">
      <c r="B29" s="83">
        <v>2025</v>
      </c>
      <c r="C29" s="84">
        <f t="shared" ref="C29:G29" si="5">IFERROR(C35/C24,0)</f>
        <v>1130.8794301994301</v>
      </c>
      <c r="D29" s="84">
        <f t="shared" si="5"/>
        <v>1186.2988888888888</v>
      </c>
      <c r="E29" s="84">
        <f>IFERROR(E35/E24,0)</f>
        <v>1137.6828175519629</v>
      </c>
      <c r="F29" s="84">
        <f t="shared" si="5"/>
        <v>1175.2309025270758</v>
      </c>
      <c r="G29" s="84">
        <f t="shared" si="5"/>
        <v>1181.0854466230937</v>
      </c>
      <c r="H29" s="84">
        <f>IFERROR(H35/H24,0)</f>
        <v>1198.4127536231883</v>
      </c>
      <c r="I29" s="84">
        <f>IFERROR(I35/I24,0)</f>
        <v>1196.5042718446603</v>
      </c>
      <c r="J29" s="84">
        <f>IFERROR(J35/J24,0)</f>
        <v>1184.0473446327685</v>
      </c>
      <c r="K29" s="84">
        <f t="shared" ref="K29:L29" si="6">IFERROR(K35/K24,0)</f>
        <v>1228.9429378531074</v>
      </c>
      <c r="L29" s="84">
        <f t="shared" si="6"/>
        <v>1190.3752469135802</v>
      </c>
      <c r="M29" s="84">
        <f t="shared" si="4"/>
        <v>1149.2122723253729</v>
      </c>
      <c r="N29" s="81"/>
      <c r="O29" s="81"/>
      <c r="S29" s="56">
        <v>25</v>
      </c>
      <c r="T29" s="71" t="s">
        <v>35</v>
      </c>
      <c r="U29" s="72">
        <v>16</v>
      </c>
      <c r="V29" s="73">
        <v>17735.97</v>
      </c>
      <c r="W29" s="78" t="s">
        <v>34</v>
      </c>
      <c r="X29" s="78">
        <v>19</v>
      </c>
      <c r="Y29" s="78">
        <v>22799.69</v>
      </c>
      <c r="AA29" s="56">
        <v>25</v>
      </c>
      <c r="AB29" s="71" t="s">
        <v>46</v>
      </c>
      <c r="AC29" s="72">
        <v>132</v>
      </c>
      <c r="AD29" s="73">
        <v>222567.19</v>
      </c>
      <c r="AE29" s="78" t="s">
        <v>50</v>
      </c>
      <c r="AF29" s="78">
        <v>177</v>
      </c>
      <c r="AG29" s="78">
        <v>319933.65000000002</v>
      </c>
    </row>
    <row r="30" spans="2:33" x14ac:dyDescent="0.35">
      <c r="B30" s="87" t="s">
        <v>124</v>
      </c>
      <c r="C30" s="88">
        <f>IFERROR((C28-C29)/C29,"N/A")</f>
        <v>-9.0241497713466803E-2</v>
      </c>
      <c r="D30" s="88">
        <f t="shared" ref="D30:M30" si="7">IFERROR((D28-D29)/D29,"N/A")</f>
        <v>-0.10970414005374518</v>
      </c>
      <c r="E30" s="88">
        <f t="shared" si="7"/>
        <v>-7.1512868523105677E-2</v>
      </c>
      <c r="F30" s="88">
        <f t="shared" si="7"/>
        <v>-8.4839442853495886E-2</v>
      </c>
      <c r="G30" s="88">
        <f t="shared" si="7"/>
        <v>-0.10013846854402123</v>
      </c>
      <c r="H30" s="88">
        <f t="shared" si="7"/>
        <v>-8.3843889259849466E-2</v>
      </c>
      <c r="I30" s="88">
        <f t="shared" si="7"/>
        <v>-6.4257318629703575E-2</v>
      </c>
      <c r="J30" s="88">
        <f t="shared" si="7"/>
        <v>-0.11187042892815288</v>
      </c>
      <c r="K30" s="88">
        <f t="shared" si="7"/>
        <v>-0.17045651285450866</v>
      </c>
      <c r="L30" s="88">
        <f t="shared" si="7"/>
        <v>-7.5702822599848368E-2</v>
      </c>
      <c r="M30" s="88">
        <f t="shared" si="7"/>
        <v>5.947738416755298E-2</v>
      </c>
      <c r="N30" s="81"/>
      <c r="O30" s="81"/>
      <c r="S30" s="56">
        <v>26</v>
      </c>
      <c r="T30" s="71" t="s">
        <v>49</v>
      </c>
      <c r="U30" s="72">
        <v>16</v>
      </c>
      <c r="V30" s="73">
        <v>21354.61</v>
      </c>
      <c r="W30" s="78" t="s">
        <v>91</v>
      </c>
      <c r="X30" s="78">
        <v>17</v>
      </c>
      <c r="Y30" s="78">
        <v>17382.47</v>
      </c>
      <c r="AA30" s="56">
        <v>26</v>
      </c>
      <c r="AB30" s="71" t="s">
        <v>50</v>
      </c>
      <c r="AC30" s="72">
        <v>130</v>
      </c>
      <c r="AD30" s="73">
        <v>205195.67</v>
      </c>
      <c r="AE30" s="78" t="s">
        <v>41</v>
      </c>
      <c r="AF30" s="78">
        <v>176</v>
      </c>
      <c r="AG30" s="78">
        <v>276800.21000000002</v>
      </c>
    </row>
    <row r="31" spans="2:33" x14ac:dyDescent="0.35">
      <c r="B31" s="81"/>
      <c r="C31" s="81"/>
      <c r="D31" s="81"/>
      <c r="E31" s="81"/>
      <c r="F31" s="81"/>
      <c r="G31" s="81"/>
      <c r="H31" s="81"/>
      <c r="I31" s="81"/>
      <c r="J31" s="81"/>
      <c r="K31" s="81"/>
      <c r="L31" s="81"/>
      <c r="M31" s="81"/>
      <c r="N31" s="81"/>
      <c r="O31" s="81"/>
      <c r="S31" s="56">
        <v>27</v>
      </c>
      <c r="T31" s="71" t="s">
        <v>51</v>
      </c>
      <c r="U31" s="72">
        <v>14</v>
      </c>
      <c r="V31" s="73">
        <v>17046.240000000002</v>
      </c>
      <c r="W31" s="78" t="s">
        <v>50</v>
      </c>
      <c r="X31" s="78">
        <v>17</v>
      </c>
      <c r="Y31" s="78">
        <v>21654.82</v>
      </c>
      <c r="AA31" s="56">
        <v>27</v>
      </c>
      <c r="AB31" s="71" t="s">
        <v>41</v>
      </c>
      <c r="AC31" s="72">
        <v>126</v>
      </c>
      <c r="AD31" s="73">
        <v>178891.85</v>
      </c>
      <c r="AE31" s="71" t="s">
        <v>18</v>
      </c>
      <c r="AF31" s="78">
        <v>140</v>
      </c>
      <c r="AG31" s="78">
        <v>201303.51</v>
      </c>
    </row>
    <row r="32" spans="2:33" x14ac:dyDescent="0.35">
      <c r="B32" s="81"/>
      <c r="C32" s="81"/>
      <c r="D32" s="81"/>
      <c r="E32" s="81"/>
      <c r="F32" s="81"/>
      <c r="G32" s="81"/>
      <c r="H32" s="81"/>
      <c r="I32" s="81"/>
      <c r="J32" s="81"/>
      <c r="K32" s="81"/>
      <c r="L32" s="81"/>
      <c r="M32" s="81"/>
      <c r="N32" s="81"/>
      <c r="O32" s="81"/>
      <c r="S32" s="56">
        <v>28</v>
      </c>
      <c r="T32" s="71" t="s">
        <v>48</v>
      </c>
      <c r="U32" s="72">
        <v>14</v>
      </c>
      <c r="V32" s="73">
        <v>13167.79</v>
      </c>
      <c r="W32" s="71" t="s">
        <v>41</v>
      </c>
      <c r="X32" s="78">
        <v>16</v>
      </c>
      <c r="Y32" s="78">
        <v>24411.95</v>
      </c>
      <c r="AA32" s="56">
        <v>28</v>
      </c>
      <c r="AB32" s="71" t="s">
        <v>44</v>
      </c>
      <c r="AC32" s="72">
        <v>99</v>
      </c>
      <c r="AD32" s="73">
        <v>147124</v>
      </c>
      <c r="AE32" s="71" t="s">
        <v>125</v>
      </c>
      <c r="AF32" s="78">
        <v>136</v>
      </c>
      <c r="AG32" s="78">
        <v>189376.83</v>
      </c>
    </row>
    <row r="33" spans="2:33" x14ac:dyDescent="0.35">
      <c r="B33" s="91" t="s">
        <v>1</v>
      </c>
      <c r="C33" s="82" t="str">
        <f>C22</f>
        <v>China</v>
      </c>
      <c r="D33" s="82" t="str">
        <f t="shared" ref="D33:M33" si="8">D22</f>
        <v>Indonesia</v>
      </c>
      <c r="E33" s="82" t="str">
        <f t="shared" si="8"/>
        <v>Thailand</v>
      </c>
      <c r="F33" s="82" t="str">
        <f t="shared" si="8"/>
        <v>Malaysia</v>
      </c>
      <c r="G33" s="82" t="str">
        <f t="shared" si="8"/>
        <v>Singapore</v>
      </c>
      <c r="H33" s="82" t="str">
        <f t="shared" si="8"/>
        <v>Taiwan</v>
      </c>
      <c r="I33" s="82" t="str">
        <f t="shared" si="8"/>
        <v>USA</v>
      </c>
      <c r="J33" s="82" t="str">
        <f t="shared" si="8"/>
        <v>India</v>
      </c>
      <c r="K33" s="82" t="str">
        <f t="shared" si="8"/>
        <v>Philippines</v>
      </c>
      <c r="L33" s="82" t="str">
        <f t="shared" si="8"/>
        <v>Vietnam</v>
      </c>
      <c r="M33" s="82" t="str">
        <f t="shared" si="8"/>
        <v>Other</v>
      </c>
      <c r="N33" s="81"/>
      <c r="O33" s="82" t="s">
        <v>24</v>
      </c>
      <c r="S33" s="56">
        <v>29</v>
      </c>
      <c r="T33" s="71" t="s">
        <v>54</v>
      </c>
      <c r="U33" s="72">
        <v>12</v>
      </c>
      <c r="V33" s="73">
        <v>16999.63</v>
      </c>
      <c r="W33" s="78" t="s">
        <v>65</v>
      </c>
      <c r="X33" s="78">
        <v>15</v>
      </c>
      <c r="Y33" s="78">
        <v>20623.37</v>
      </c>
      <c r="AA33" s="56">
        <v>29</v>
      </c>
      <c r="AB33" s="71" t="s">
        <v>54</v>
      </c>
      <c r="AC33" s="72">
        <v>86</v>
      </c>
      <c r="AD33" s="73">
        <v>116807.31</v>
      </c>
      <c r="AE33" s="78" t="s">
        <v>56</v>
      </c>
      <c r="AF33" s="78">
        <v>109</v>
      </c>
      <c r="AG33" s="78">
        <v>147171.81</v>
      </c>
    </row>
    <row r="34" spans="2:33" x14ac:dyDescent="0.35">
      <c r="B34" s="92">
        <v>2026</v>
      </c>
      <c r="C34" s="86">
        <f>V5</f>
        <v>1129652.24</v>
      </c>
      <c r="D34" s="86">
        <f>V6</f>
        <v>599897.17000000004</v>
      </c>
      <c r="E34" s="86">
        <f>V7</f>
        <v>336967.31</v>
      </c>
      <c r="F34" s="86">
        <f>V8</f>
        <v>331261.69</v>
      </c>
      <c r="G34" s="86">
        <f>V9</f>
        <v>278457.09999999998</v>
      </c>
      <c r="H34" s="86">
        <f>V10</f>
        <v>242643.23</v>
      </c>
      <c r="I34" s="86">
        <f>V11</f>
        <v>193694.28</v>
      </c>
      <c r="J34" s="86">
        <f>V12</f>
        <v>132500.01999999999</v>
      </c>
      <c r="K34" s="86">
        <f>V13</f>
        <v>120296.47</v>
      </c>
      <c r="L34" s="86">
        <f>V14</f>
        <v>114427.09</v>
      </c>
      <c r="M34" s="86">
        <f>V4-SUM(C34:L34)</f>
        <v>963093.44999999972</v>
      </c>
      <c r="N34" s="85"/>
      <c r="O34" s="86">
        <f>SUM(C34:M34)</f>
        <v>4442890.05</v>
      </c>
      <c r="Q34" s="5"/>
      <c r="S34" s="56">
        <v>30</v>
      </c>
      <c r="T34" s="71" t="s">
        <v>41</v>
      </c>
      <c r="U34" s="72">
        <v>11</v>
      </c>
      <c r="V34" s="73">
        <v>11930.39</v>
      </c>
      <c r="W34" s="78" t="s">
        <v>62</v>
      </c>
      <c r="X34" s="78">
        <v>14</v>
      </c>
      <c r="Y34" s="78">
        <v>17702.22</v>
      </c>
      <c r="AA34" s="56">
        <v>30</v>
      </c>
      <c r="AB34" s="71" t="s">
        <v>56</v>
      </c>
      <c r="AC34" s="72">
        <v>81</v>
      </c>
      <c r="AD34" s="73">
        <v>119140.89</v>
      </c>
      <c r="AE34" s="78" t="s">
        <v>72</v>
      </c>
      <c r="AF34" s="78">
        <v>95</v>
      </c>
      <c r="AG34" s="78">
        <v>152656.56</v>
      </c>
    </row>
    <row r="35" spans="2:33" x14ac:dyDescent="0.35">
      <c r="B35" s="92">
        <v>2025</v>
      </c>
      <c r="C35" s="86">
        <f>IFERROR(VLOOKUP(C22,$W$5:$Y$66,3,FALSE),0)</f>
        <v>793877.36</v>
      </c>
      <c r="D35" s="86">
        <f>IFERROR(VLOOKUP(D22,$W$5:$Y$66,3,FALSE),0)</f>
        <v>245563.87</v>
      </c>
      <c r="E35" s="86">
        <f t="shared" ref="E35:H35" si="9">IFERROR(VLOOKUP(E22,$W$5:$Y$66,3,FALSE),0)</f>
        <v>492616.66</v>
      </c>
      <c r="F35" s="86">
        <f t="shared" si="9"/>
        <v>325538.96000000002</v>
      </c>
      <c r="G35" s="86">
        <f t="shared" si="9"/>
        <v>542118.22</v>
      </c>
      <c r="H35" s="86">
        <f t="shared" si="9"/>
        <v>248071.44</v>
      </c>
      <c r="I35" s="86">
        <f>IFERROR(VLOOKUP(I22,$W$5:$Y$66,3,FALSE),0)</f>
        <v>246479.88</v>
      </c>
      <c r="J35" s="86">
        <f>IFERROR(VLOOKUP(J22,$W$5:$Y$366,3,FALSE),0)</f>
        <v>209576.38</v>
      </c>
      <c r="K35" s="86">
        <f>IFERROR(VLOOKUP(K22,$W$5:$Y$66,3,FALSE),0)</f>
        <v>217522.9</v>
      </c>
      <c r="L35" s="86">
        <f>IFERROR(VLOOKUP(L22,$W$5:$Y$66,3,FALSE),0)</f>
        <v>192840.79</v>
      </c>
      <c r="M35" s="86">
        <f>Y4-SUM(C35:L35)</f>
        <v>1299759.0799999968</v>
      </c>
      <c r="N35" s="85"/>
      <c r="O35" s="86">
        <f>SUM(C35:M35)</f>
        <v>4813965.5399999963</v>
      </c>
      <c r="S35" s="56">
        <v>31</v>
      </c>
      <c r="T35" s="71" t="s">
        <v>33</v>
      </c>
      <c r="U35" s="72">
        <v>10</v>
      </c>
      <c r="V35" s="73">
        <v>11250.6</v>
      </c>
      <c r="W35" s="78" t="s">
        <v>28</v>
      </c>
      <c r="X35" s="78">
        <v>14</v>
      </c>
      <c r="Y35" s="93">
        <v>16031.85</v>
      </c>
      <c r="AA35" s="56">
        <v>31</v>
      </c>
      <c r="AB35" s="71" t="s">
        <v>58</v>
      </c>
      <c r="AC35" s="72">
        <v>76</v>
      </c>
      <c r="AD35" s="73">
        <v>123758.07</v>
      </c>
      <c r="AE35" s="78" t="s">
        <v>46</v>
      </c>
      <c r="AF35" s="78">
        <v>92</v>
      </c>
      <c r="AG35" s="93">
        <v>153557.45000000001</v>
      </c>
    </row>
    <row r="36" spans="2:33" x14ac:dyDescent="0.35">
      <c r="B36" s="92" t="s">
        <v>124</v>
      </c>
      <c r="C36" s="94">
        <f>IFERROR((C34-C35)/C35,"N/A")</f>
        <v>0.42295560614047489</v>
      </c>
      <c r="D36" s="94">
        <f t="shared" ref="D36:M36" si="10">IFERROR((D34-D35)/D35,"N/A")</f>
        <v>1.4429374321230564</v>
      </c>
      <c r="E36" s="94">
        <f t="shared" si="10"/>
        <v>-0.31596444586344274</v>
      </c>
      <c r="F36" s="94">
        <f t="shared" si="10"/>
        <v>1.7579247657484625E-2</v>
      </c>
      <c r="G36" s="94">
        <f t="shared" si="10"/>
        <v>-0.48635354849353707</v>
      </c>
      <c r="H36" s="94">
        <f t="shared" si="10"/>
        <v>-2.1881640224283745E-2</v>
      </c>
      <c r="I36" s="94">
        <f t="shared" si="10"/>
        <v>-0.21415784525698409</v>
      </c>
      <c r="J36" s="95">
        <f t="shared" si="10"/>
        <v>-0.36777216974546473</v>
      </c>
      <c r="K36" s="94">
        <f t="shared" si="10"/>
        <v>-0.44697100856967242</v>
      </c>
      <c r="L36" s="94">
        <f t="shared" si="10"/>
        <v>-0.40662403426163113</v>
      </c>
      <c r="M36" s="94">
        <f t="shared" si="10"/>
        <v>-0.25902156421172906</v>
      </c>
      <c r="N36" s="81"/>
      <c r="O36" s="89">
        <f t="shared" ref="O36" si="11">(O34-O35)/O35</f>
        <v>-7.7083121371906788E-2</v>
      </c>
      <c r="S36" s="56">
        <v>32</v>
      </c>
      <c r="T36" s="71" t="s">
        <v>58</v>
      </c>
      <c r="U36" s="72">
        <v>10</v>
      </c>
      <c r="V36" s="73">
        <v>11883.26</v>
      </c>
      <c r="W36" s="78" t="s">
        <v>82</v>
      </c>
      <c r="X36" s="78">
        <v>13</v>
      </c>
      <c r="Y36" s="78">
        <v>14642.01</v>
      </c>
      <c r="AA36" s="56">
        <v>32</v>
      </c>
      <c r="AB36" s="71" t="s">
        <v>49</v>
      </c>
      <c r="AC36" s="72">
        <v>72</v>
      </c>
      <c r="AD36" s="73">
        <v>122147.72</v>
      </c>
      <c r="AE36" s="78" t="s">
        <v>60</v>
      </c>
      <c r="AF36" s="78">
        <v>91</v>
      </c>
      <c r="AG36" s="78">
        <v>144431.37</v>
      </c>
    </row>
    <row r="37" spans="2:33" x14ac:dyDescent="0.35">
      <c r="B37" s="81"/>
      <c r="C37" s="81"/>
      <c r="D37" s="81"/>
      <c r="E37" s="81"/>
      <c r="F37" s="81"/>
      <c r="G37" s="81"/>
      <c r="H37" s="81"/>
      <c r="I37" s="81"/>
      <c r="J37" s="81"/>
      <c r="K37" s="81"/>
      <c r="L37" s="81"/>
      <c r="M37" s="81"/>
      <c r="N37" s="81"/>
      <c r="O37" s="81"/>
      <c r="S37" s="56">
        <v>33</v>
      </c>
      <c r="T37" s="71" t="s">
        <v>56</v>
      </c>
      <c r="U37" s="72">
        <v>9</v>
      </c>
      <c r="V37" s="73">
        <v>8825.57</v>
      </c>
      <c r="W37" s="78" t="s">
        <v>26</v>
      </c>
      <c r="X37" s="78">
        <v>13</v>
      </c>
      <c r="Y37" s="78">
        <v>20879.650000000001</v>
      </c>
      <c r="AA37" s="56">
        <v>33</v>
      </c>
      <c r="AB37" s="71" t="s">
        <v>60</v>
      </c>
      <c r="AC37" s="72">
        <v>63</v>
      </c>
      <c r="AD37" s="73">
        <v>95258.18</v>
      </c>
      <c r="AE37" s="78" t="s">
        <v>28</v>
      </c>
      <c r="AF37" s="78">
        <v>86</v>
      </c>
      <c r="AG37" s="78">
        <v>127000.34</v>
      </c>
    </row>
    <row r="38" spans="2:33" x14ac:dyDescent="0.35">
      <c r="B38" s="96"/>
      <c r="C38" s="96"/>
      <c r="D38" s="96"/>
      <c r="E38" s="96"/>
      <c r="F38" s="96"/>
      <c r="G38" s="96"/>
      <c r="H38" s="96"/>
      <c r="I38" s="96"/>
      <c r="J38" s="96"/>
      <c r="K38" s="96"/>
      <c r="L38" s="96"/>
      <c r="M38" s="96"/>
      <c r="N38" s="96"/>
      <c r="O38" s="96"/>
      <c r="S38" s="56">
        <v>34</v>
      </c>
      <c r="T38" s="78" t="s">
        <v>61</v>
      </c>
      <c r="U38" s="78">
        <v>8</v>
      </c>
      <c r="V38" s="78">
        <v>9161.66</v>
      </c>
      <c r="W38" s="78" t="s">
        <v>72</v>
      </c>
      <c r="X38" s="78">
        <v>11</v>
      </c>
      <c r="Y38" s="78">
        <v>15852</v>
      </c>
      <c r="AA38" s="56">
        <v>34</v>
      </c>
      <c r="AB38" s="78" t="s">
        <v>48</v>
      </c>
      <c r="AC38" s="78">
        <v>63</v>
      </c>
      <c r="AD38" s="78">
        <v>78950.03</v>
      </c>
      <c r="AE38" s="78" t="s">
        <v>55</v>
      </c>
      <c r="AF38" s="78">
        <v>75</v>
      </c>
      <c r="AG38" s="78">
        <v>112428.24</v>
      </c>
    </row>
    <row r="39" spans="2:33" x14ac:dyDescent="0.35">
      <c r="S39" s="56">
        <v>35</v>
      </c>
      <c r="T39" s="78" t="s">
        <v>63</v>
      </c>
      <c r="U39" s="78">
        <v>7</v>
      </c>
      <c r="V39" s="78">
        <v>6981.36</v>
      </c>
      <c r="W39" s="78" t="s">
        <v>49</v>
      </c>
      <c r="X39" s="78">
        <v>11</v>
      </c>
      <c r="Y39" s="78">
        <v>13662.54</v>
      </c>
      <c r="AA39" s="56">
        <v>35</v>
      </c>
      <c r="AB39" s="78" t="s">
        <v>55</v>
      </c>
      <c r="AC39" s="78">
        <v>61</v>
      </c>
      <c r="AD39" s="78">
        <v>93134.05</v>
      </c>
      <c r="AE39" s="78" t="s">
        <v>71</v>
      </c>
      <c r="AF39" s="78">
        <v>74</v>
      </c>
      <c r="AG39" s="78">
        <v>112332.67</v>
      </c>
    </row>
    <row r="40" spans="2:33" x14ac:dyDescent="0.35">
      <c r="S40" s="56">
        <v>36</v>
      </c>
      <c r="T40" s="78" t="s">
        <v>65</v>
      </c>
      <c r="U40" s="78">
        <v>7</v>
      </c>
      <c r="V40" s="78">
        <v>7035.25</v>
      </c>
      <c r="W40" s="78" t="s">
        <v>98</v>
      </c>
      <c r="X40" s="78">
        <v>10</v>
      </c>
      <c r="Y40" s="78">
        <v>13184.52</v>
      </c>
      <c r="AA40" s="56">
        <v>36</v>
      </c>
      <c r="AB40" s="78" t="s">
        <v>66</v>
      </c>
      <c r="AC40" s="78">
        <v>61</v>
      </c>
      <c r="AD40" s="78">
        <v>71641.53</v>
      </c>
      <c r="AE40" s="78" t="s">
        <v>54</v>
      </c>
      <c r="AF40" s="78">
        <v>70</v>
      </c>
      <c r="AG40" s="78">
        <v>100638.17</v>
      </c>
    </row>
    <row r="41" spans="2:33" x14ac:dyDescent="0.35">
      <c r="B41" s="97" t="s">
        <v>126</v>
      </c>
      <c r="S41" s="56">
        <v>37</v>
      </c>
      <c r="T41" s="78" t="s">
        <v>67</v>
      </c>
      <c r="U41" s="78">
        <v>6</v>
      </c>
      <c r="V41" s="78">
        <v>6627</v>
      </c>
      <c r="W41" s="71" t="s">
        <v>63</v>
      </c>
      <c r="X41" s="78">
        <v>10</v>
      </c>
      <c r="Y41" s="78">
        <v>11591.16</v>
      </c>
      <c r="AA41" s="56">
        <v>37</v>
      </c>
      <c r="AB41" s="78" t="s">
        <v>68</v>
      </c>
      <c r="AC41" s="78">
        <v>55</v>
      </c>
      <c r="AD41" s="78">
        <v>84083.44</v>
      </c>
      <c r="AE41" s="71" t="s">
        <v>49</v>
      </c>
      <c r="AF41" s="78">
        <v>70</v>
      </c>
      <c r="AG41" s="78">
        <v>112963.92</v>
      </c>
    </row>
    <row r="42" spans="2:33" x14ac:dyDescent="0.35">
      <c r="S42" s="56">
        <v>38</v>
      </c>
      <c r="T42" s="78" t="s">
        <v>55</v>
      </c>
      <c r="U42" s="78">
        <v>6</v>
      </c>
      <c r="V42" s="78">
        <v>6043</v>
      </c>
      <c r="W42" s="78" t="s">
        <v>56</v>
      </c>
      <c r="X42" s="78">
        <v>10</v>
      </c>
      <c r="Y42" s="78">
        <v>13822.06</v>
      </c>
      <c r="AA42" s="56">
        <v>38</v>
      </c>
      <c r="AB42" s="78" t="s">
        <v>71</v>
      </c>
      <c r="AC42" s="78">
        <v>55</v>
      </c>
      <c r="AD42" s="78">
        <v>73157.279999999999</v>
      </c>
      <c r="AE42" s="78" t="s">
        <v>48</v>
      </c>
      <c r="AF42" s="78">
        <v>57</v>
      </c>
      <c r="AG42" s="78">
        <v>89723.17</v>
      </c>
    </row>
    <row r="43" spans="2:33" x14ac:dyDescent="0.35">
      <c r="S43" s="56">
        <v>39</v>
      </c>
      <c r="T43" s="78" t="s">
        <v>66</v>
      </c>
      <c r="U43" s="78">
        <v>6</v>
      </c>
      <c r="V43" s="78">
        <v>4706.04</v>
      </c>
      <c r="W43" s="78" t="s">
        <v>46</v>
      </c>
      <c r="X43" s="78">
        <v>10</v>
      </c>
      <c r="Y43" s="78">
        <v>17467.009999999998</v>
      </c>
      <c r="AA43" s="56">
        <v>39</v>
      </c>
      <c r="AB43" s="78" t="s">
        <v>40</v>
      </c>
      <c r="AC43" s="78">
        <v>51</v>
      </c>
      <c r="AD43" s="78">
        <v>69569.8</v>
      </c>
      <c r="AE43" s="78" t="s">
        <v>68</v>
      </c>
      <c r="AF43" s="78">
        <v>55</v>
      </c>
      <c r="AG43" s="78">
        <v>89615.3</v>
      </c>
    </row>
    <row r="44" spans="2:33" x14ac:dyDescent="0.35">
      <c r="S44" s="56">
        <v>40</v>
      </c>
      <c r="T44" s="78" t="s">
        <v>75</v>
      </c>
      <c r="U44" s="78">
        <v>6</v>
      </c>
      <c r="V44" s="78">
        <v>5730.24</v>
      </c>
      <c r="W44" s="78" t="s">
        <v>58</v>
      </c>
      <c r="X44" s="78">
        <v>10</v>
      </c>
      <c r="Y44" s="78">
        <v>11501.29</v>
      </c>
      <c r="AA44" s="56">
        <v>40</v>
      </c>
      <c r="AB44" s="78" t="s">
        <v>28</v>
      </c>
      <c r="AC44" s="78">
        <v>49</v>
      </c>
      <c r="AD44" s="78">
        <v>56681.72</v>
      </c>
      <c r="AE44" s="78" t="s">
        <v>58</v>
      </c>
      <c r="AF44" s="78">
        <v>52</v>
      </c>
      <c r="AG44" s="78">
        <v>79079.44</v>
      </c>
    </row>
    <row r="45" spans="2:33" x14ac:dyDescent="0.35">
      <c r="S45" s="56">
        <v>41</v>
      </c>
      <c r="T45" s="78" t="s">
        <v>76</v>
      </c>
      <c r="U45" s="78">
        <v>6</v>
      </c>
      <c r="V45" s="78">
        <v>6015.54</v>
      </c>
      <c r="W45" s="78" t="s">
        <v>116</v>
      </c>
      <c r="X45" s="78">
        <v>9</v>
      </c>
      <c r="Y45" s="78">
        <v>10707.72</v>
      </c>
      <c r="AA45" s="56">
        <v>41</v>
      </c>
      <c r="AB45" s="78" t="s">
        <v>52</v>
      </c>
      <c r="AC45" s="78">
        <v>48</v>
      </c>
      <c r="AD45" s="78">
        <v>67336.61</v>
      </c>
      <c r="AE45" s="78" t="s">
        <v>83</v>
      </c>
      <c r="AF45" s="78">
        <v>50</v>
      </c>
      <c r="AG45" s="78">
        <v>67568.11</v>
      </c>
    </row>
    <row r="46" spans="2:33" x14ac:dyDescent="0.35">
      <c r="S46" s="56">
        <v>42</v>
      </c>
      <c r="T46" s="78" t="s">
        <v>60</v>
      </c>
      <c r="U46" s="78">
        <v>5</v>
      </c>
      <c r="V46" s="78">
        <v>5562.06</v>
      </c>
      <c r="W46" s="78" t="s">
        <v>48</v>
      </c>
      <c r="X46" s="78">
        <v>8</v>
      </c>
      <c r="Y46" s="78">
        <v>10258.33</v>
      </c>
      <c r="AA46" s="56">
        <v>42</v>
      </c>
      <c r="AB46" s="78" t="s">
        <v>77</v>
      </c>
      <c r="AC46" s="78">
        <v>40</v>
      </c>
      <c r="AD46" s="78">
        <v>62627.26</v>
      </c>
      <c r="AE46" s="78" t="s">
        <v>91</v>
      </c>
      <c r="AF46" s="78">
        <v>49</v>
      </c>
      <c r="AG46" s="78">
        <v>69654.850000000006</v>
      </c>
    </row>
    <row r="47" spans="2:33" x14ac:dyDescent="0.35">
      <c r="S47" s="56">
        <v>43</v>
      </c>
      <c r="T47" s="78" t="s">
        <v>78</v>
      </c>
      <c r="U47" s="78">
        <v>5</v>
      </c>
      <c r="V47" s="78">
        <v>5002.0200000000004</v>
      </c>
      <c r="W47" s="78" t="s">
        <v>74</v>
      </c>
      <c r="X47" s="78">
        <v>7</v>
      </c>
      <c r="Y47" s="78">
        <v>7731.5</v>
      </c>
      <c r="AA47" s="56">
        <v>43</v>
      </c>
      <c r="AB47" s="78" t="s">
        <v>73</v>
      </c>
      <c r="AC47" s="78">
        <v>39</v>
      </c>
      <c r="AD47" s="78">
        <v>61567.65</v>
      </c>
      <c r="AE47" s="78" t="s">
        <v>52</v>
      </c>
      <c r="AF47" s="78">
        <v>44</v>
      </c>
      <c r="AG47" s="78">
        <v>67180.33</v>
      </c>
    </row>
    <row r="48" spans="2:33" x14ac:dyDescent="0.35">
      <c r="S48" s="56">
        <v>44</v>
      </c>
      <c r="T48" s="78" t="s">
        <v>57</v>
      </c>
      <c r="U48" s="78">
        <v>5</v>
      </c>
      <c r="V48" s="78">
        <v>4823.2700000000004</v>
      </c>
      <c r="W48" s="78" t="s">
        <v>73</v>
      </c>
      <c r="X48" s="78">
        <v>7</v>
      </c>
      <c r="Y48" s="78">
        <v>9540</v>
      </c>
      <c r="AA48" s="56">
        <v>44</v>
      </c>
      <c r="AB48" s="78" t="s">
        <v>65</v>
      </c>
      <c r="AC48" s="78">
        <v>38</v>
      </c>
      <c r="AD48" s="78">
        <v>51391.68</v>
      </c>
      <c r="AE48" s="78" t="s">
        <v>44</v>
      </c>
      <c r="AF48" s="78">
        <v>42</v>
      </c>
      <c r="AG48" s="78">
        <v>64139.17</v>
      </c>
    </row>
    <row r="49" spans="2:33" x14ac:dyDescent="0.35">
      <c r="S49" s="56">
        <v>45</v>
      </c>
      <c r="T49" s="78" t="s">
        <v>82</v>
      </c>
      <c r="U49" s="78">
        <v>4</v>
      </c>
      <c r="V49" s="78">
        <v>3366</v>
      </c>
      <c r="W49" s="78" t="s">
        <v>125</v>
      </c>
      <c r="X49" s="78">
        <v>6</v>
      </c>
      <c r="Y49" s="78">
        <v>7328.62</v>
      </c>
      <c r="AA49" s="56">
        <v>45</v>
      </c>
      <c r="AB49" s="78" t="s">
        <v>45</v>
      </c>
      <c r="AC49" s="78">
        <v>37</v>
      </c>
      <c r="AD49" s="78">
        <v>74578.61</v>
      </c>
      <c r="AE49" s="78" t="s">
        <v>63</v>
      </c>
      <c r="AF49" s="78">
        <v>42</v>
      </c>
      <c r="AG49" s="78">
        <v>63598.559999999998</v>
      </c>
    </row>
    <row r="50" spans="2:33" x14ac:dyDescent="0.35">
      <c r="S50" s="56">
        <v>46</v>
      </c>
      <c r="T50" s="78" t="s">
        <v>83</v>
      </c>
      <c r="U50" s="78">
        <v>4</v>
      </c>
      <c r="V50" s="78">
        <v>4062.29</v>
      </c>
      <c r="W50" s="78" t="s">
        <v>55</v>
      </c>
      <c r="X50" s="78">
        <v>6</v>
      </c>
      <c r="Y50" s="78">
        <v>6201</v>
      </c>
      <c r="AA50" s="56">
        <v>46</v>
      </c>
      <c r="AB50" s="78" t="s">
        <v>57</v>
      </c>
      <c r="AC50" s="78">
        <v>36</v>
      </c>
      <c r="AD50" s="78">
        <v>51809.25</v>
      </c>
      <c r="AE50" s="78" t="s">
        <v>47</v>
      </c>
      <c r="AF50" s="78">
        <v>41</v>
      </c>
      <c r="AG50" s="78">
        <v>62819.93</v>
      </c>
    </row>
    <row r="51" spans="2:33" x14ac:dyDescent="0.35">
      <c r="S51" s="56">
        <v>47</v>
      </c>
      <c r="T51" s="78" t="s">
        <v>85</v>
      </c>
      <c r="U51" s="78">
        <v>4</v>
      </c>
      <c r="V51" s="78">
        <v>5143.5</v>
      </c>
      <c r="W51" s="78" t="s">
        <v>59</v>
      </c>
      <c r="X51" s="78">
        <v>6</v>
      </c>
      <c r="Y51" s="78">
        <v>8872.64</v>
      </c>
      <c r="AA51" s="56">
        <v>47</v>
      </c>
      <c r="AB51" s="78" t="s">
        <v>47</v>
      </c>
      <c r="AC51" s="78">
        <v>30</v>
      </c>
      <c r="AD51" s="78">
        <v>35682.19</v>
      </c>
      <c r="AE51" s="78" t="s">
        <v>62</v>
      </c>
      <c r="AF51" s="78">
        <v>40</v>
      </c>
      <c r="AG51" s="78">
        <v>59738.15</v>
      </c>
    </row>
    <row r="52" spans="2:33" x14ac:dyDescent="0.35">
      <c r="S52" s="56">
        <v>48</v>
      </c>
      <c r="T52" s="78" t="s">
        <v>40</v>
      </c>
      <c r="U52" s="78">
        <v>4</v>
      </c>
      <c r="V52" s="78">
        <v>4167.92</v>
      </c>
      <c r="W52" s="78" t="s">
        <v>52</v>
      </c>
      <c r="X52" s="78">
        <v>6</v>
      </c>
      <c r="Y52" s="78">
        <v>7265</v>
      </c>
      <c r="AA52" s="56">
        <v>48</v>
      </c>
      <c r="AB52" s="78" t="s">
        <v>63</v>
      </c>
      <c r="AC52" s="78">
        <v>29</v>
      </c>
      <c r="AD52" s="78">
        <v>41724.199999999997</v>
      </c>
      <c r="AE52" s="78" t="s">
        <v>73</v>
      </c>
      <c r="AF52" s="78">
        <v>36</v>
      </c>
      <c r="AG52" s="78">
        <v>47994.05</v>
      </c>
    </row>
    <row r="53" spans="2:33" x14ac:dyDescent="0.35">
      <c r="S53" s="56">
        <v>49</v>
      </c>
      <c r="T53" s="78" t="s">
        <v>87</v>
      </c>
      <c r="U53" s="78">
        <v>3</v>
      </c>
      <c r="V53" s="78">
        <v>3509.76</v>
      </c>
      <c r="W53" s="78" t="s">
        <v>42</v>
      </c>
      <c r="X53" s="78">
        <v>5</v>
      </c>
      <c r="Y53" s="78">
        <v>6386.01</v>
      </c>
      <c r="AA53" s="56">
        <v>49</v>
      </c>
      <c r="AB53" s="78" t="s">
        <v>70</v>
      </c>
      <c r="AC53" s="78">
        <v>28</v>
      </c>
      <c r="AD53" s="78">
        <v>40061.449999999997</v>
      </c>
      <c r="AE53" s="78" t="s">
        <v>82</v>
      </c>
      <c r="AF53" s="78">
        <v>35</v>
      </c>
      <c r="AG53" s="78">
        <v>43508.89</v>
      </c>
    </row>
    <row r="54" spans="2:33" x14ac:dyDescent="0.35">
      <c r="S54" s="56">
        <v>50</v>
      </c>
      <c r="T54" s="78" t="s">
        <v>88</v>
      </c>
      <c r="U54" s="78">
        <v>3</v>
      </c>
      <c r="V54" s="78">
        <v>2803.74</v>
      </c>
      <c r="W54" s="78" t="s">
        <v>44</v>
      </c>
      <c r="X54" s="78">
        <v>4</v>
      </c>
      <c r="Y54" s="78">
        <v>4842.47</v>
      </c>
      <c r="AA54" s="56">
        <v>50</v>
      </c>
      <c r="AB54" s="78" t="s">
        <v>89</v>
      </c>
      <c r="AC54" s="78">
        <v>27</v>
      </c>
      <c r="AD54" s="78">
        <v>42694.1</v>
      </c>
      <c r="AE54" s="78" t="s">
        <v>111</v>
      </c>
      <c r="AF54" s="78">
        <v>35</v>
      </c>
      <c r="AG54" s="78">
        <v>48876.75</v>
      </c>
    </row>
    <row r="55" spans="2:33" x14ac:dyDescent="0.35">
      <c r="S55" s="56">
        <v>51</v>
      </c>
      <c r="T55" s="78" t="s">
        <v>77</v>
      </c>
      <c r="U55" s="78">
        <v>3</v>
      </c>
      <c r="V55" s="78">
        <v>4199.66</v>
      </c>
      <c r="W55" s="78" t="s">
        <v>80</v>
      </c>
      <c r="X55" s="78">
        <v>4</v>
      </c>
      <c r="Y55" s="78">
        <v>4418</v>
      </c>
      <c r="AA55" s="56">
        <v>51</v>
      </c>
      <c r="AB55" s="78" t="s">
        <v>72</v>
      </c>
      <c r="AC55" s="78">
        <v>26</v>
      </c>
      <c r="AD55" s="78">
        <v>41747.129999999997</v>
      </c>
      <c r="AE55" s="78" t="s">
        <v>116</v>
      </c>
      <c r="AF55" s="78">
        <v>33</v>
      </c>
      <c r="AG55" s="78">
        <v>61082.95</v>
      </c>
    </row>
    <row r="56" spans="2:33" x14ac:dyDescent="0.35">
      <c r="S56" s="56">
        <v>52</v>
      </c>
      <c r="T56" s="78" t="s">
        <v>90</v>
      </c>
      <c r="U56" s="78">
        <v>3</v>
      </c>
      <c r="V56" s="78">
        <v>3184.58</v>
      </c>
      <c r="W56" s="78" t="s">
        <v>78</v>
      </c>
      <c r="X56" s="78">
        <v>4</v>
      </c>
      <c r="Y56" s="78">
        <v>4606.67</v>
      </c>
      <c r="AA56" s="56">
        <v>52</v>
      </c>
      <c r="AB56" s="78" t="s">
        <v>59</v>
      </c>
      <c r="AC56" s="78">
        <v>25</v>
      </c>
      <c r="AD56" s="78">
        <v>34261.360000000001</v>
      </c>
      <c r="AE56" s="78" t="s">
        <v>86</v>
      </c>
      <c r="AF56" s="78">
        <v>32</v>
      </c>
      <c r="AG56" s="78">
        <v>40859.03</v>
      </c>
    </row>
    <row r="57" spans="2:33" x14ac:dyDescent="0.35">
      <c r="S57" s="56">
        <v>53</v>
      </c>
      <c r="T57" s="78" t="s">
        <v>91</v>
      </c>
      <c r="U57" s="78">
        <v>3</v>
      </c>
      <c r="V57" s="78">
        <v>3031.91</v>
      </c>
      <c r="W57" s="78" t="s">
        <v>70</v>
      </c>
      <c r="X57" s="78">
        <v>4</v>
      </c>
      <c r="Y57" s="78">
        <v>4612.96</v>
      </c>
      <c r="AA57" s="56">
        <v>53</v>
      </c>
      <c r="AB57" s="78" t="s">
        <v>92</v>
      </c>
      <c r="AC57" s="78">
        <v>24</v>
      </c>
      <c r="AD57" s="78">
        <v>36764.629999999997</v>
      </c>
      <c r="AE57" s="78" t="s">
        <v>103</v>
      </c>
      <c r="AF57" s="78">
        <v>32</v>
      </c>
      <c r="AG57" s="78">
        <v>47581.77</v>
      </c>
    </row>
    <row r="58" spans="2:33" x14ac:dyDescent="0.35">
      <c r="S58" s="56">
        <v>54</v>
      </c>
      <c r="T58" s="78" t="s">
        <v>50</v>
      </c>
      <c r="U58" s="78">
        <v>3</v>
      </c>
      <c r="V58" s="78">
        <v>3311.8</v>
      </c>
      <c r="W58" s="78" t="s">
        <v>61</v>
      </c>
      <c r="X58" s="78">
        <v>4</v>
      </c>
      <c r="Y58" s="78">
        <v>4571.6400000000003</v>
      </c>
      <c r="AA58" s="56">
        <v>54</v>
      </c>
      <c r="AB58" s="78" t="s">
        <v>78</v>
      </c>
      <c r="AC58" s="78">
        <v>21</v>
      </c>
      <c r="AD58" s="78">
        <v>25604.54</v>
      </c>
      <c r="AE58" s="78" t="s">
        <v>67</v>
      </c>
      <c r="AF58" s="78">
        <v>31</v>
      </c>
      <c r="AG58" s="78">
        <v>42586.95</v>
      </c>
    </row>
    <row r="59" spans="2:33" x14ac:dyDescent="0.35">
      <c r="B59" s="79" t="s">
        <v>22</v>
      </c>
      <c r="C59" s="80" t="str">
        <f>AB5</f>
        <v>China</v>
      </c>
      <c r="D59" s="80" t="str">
        <f>AB6</f>
        <v>Indonesia</v>
      </c>
      <c r="E59" s="80" t="str">
        <f>AB7</f>
        <v>Singapore</v>
      </c>
      <c r="F59" s="80" t="str">
        <f>AB8</f>
        <v>Malaysia</v>
      </c>
      <c r="G59" s="80" t="str">
        <f>AB9</f>
        <v>Taiwan</v>
      </c>
      <c r="H59" s="80" t="str">
        <f>AB10</f>
        <v>Thailand</v>
      </c>
      <c r="I59" s="80" t="str">
        <f>AB11</f>
        <v>United States of America</v>
      </c>
      <c r="J59" s="80" t="str">
        <f>AB12</f>
        <v>Japan</v>
      </c>
      <c r="K59" s="80" t="str">
        <f>AB13</f>
        <v>United Kingdom</v>
      </c>
      <c r="L59" s="80" t="str">
        <f>AB14</f>
        <v>Germany</v>
      </c>
      <c r="M59" s="80" t="s">
        <v>23</v>
      </c>
      <c r="N59" s="81"/>
      <c r="O59" s="82" t="s">
        <v>24</v>
      </c>
      <c r="S59" s="56">
        <v>55</v>
      </c>
      <c r="T59" s="78" t="s">
        <v>62</v>
      </c>
      <c r="U59" s="78">
        <v>2</v>
      </c>
      <c r="V59" s="78">
        <v>2199.35</v>
      </c>
      <c r="W59" s="78" t="s">
        <v>47</v>
      </c>
      <c r="X59" s="78">
        <v>4</v>
      </c>
      <c r="Y59" s="78">
        <v>6111.12</v>
      </c>
      <c r="AA59" s="56">
        <v>55</v>
      </c>
      <c r="AB59" s="78" t="s">
        <v>51</v>
      </c>
      <c r="AC59" s="78">
        <v>20</v>
      </c>
      <c r="AD59" s="78">
        <v>25565.73</v>
      </c>
      <c r="AE59" s="78" t="s">
        <v>92</v>
      </c>
      <c r="AF59" s="78">
        <v>30</v>
      </c>
      <c r="AG59" s="78">
        <v>50554.720000000001</v>
      </c>
    </row>
    <row r="60" spans="2:33" x14ac:dyDescent="0.35">
      <c r="B60" s="83">
        <v>2026</v>
      </c>
      <c r="C60" s="84">
        <f>AC5</f>
        <v>6141</v>
      </c>
      <c r="D60" s="84">
        <f>AC6</f>
        <v>3034</v>
      </c>
      <c r="E60" s="84">
        <f>AC7</f>
        <v>2336</v>
      </c>
      <c r="F60" s="84">
        <f>AC8</f>
        <v>2114</v>
      </c>
      <c r="G60" s="84">
        <f>AC9</f>
        <v>1524</v>
      </c>
      <c r="H60" s="84">
        <f>AC10</f>
        <v>1462</v>
      </c>
      <c r="I60" s="84">
        <f>AC11</f>
        <v>1440</v>
      </c>
      <c r="J60" s="84">
        <f>AC12</f>
        <v>1038</v>
      </c>
      <c r="K60" s="84">
        <f>AC13</f>
        <v>810</v>
      </c>
      <c r="L60" s="84">
        <f>AC14</f>
        <v>735</v>
      </c>
      <c r="M60" s="84">
        <f>AC4-SUM(C60:L60)</f>
        <v>7197</v>
      </c>
      <c r="N60" s="85"/>
      <c r="O60" s="86">
        <f>SUM(C60:M60)</f>
        <v>27831</v>
      </c>
      <c r="S60" s="56">
        <v>56</v>
      </c>
      <c r="T60" s="78" t="s">
        <v>59</v>
      </c>
      <c r="U60" s="78">
        <v>2</v>
      </c>
      <c r="V60" s="78">
        <v>2212.4</v>
      </c>
      <c r="W60" s="78" t="s">
        <v>87</v>
      </c>
      <c r="X60" s="78">
        <v>3</v>
      </c>
      <c r="Y60" s="78">
        <v>4001.7</v>
      </c>
      <c r="AA60" s="56">
        <v>56</v>
      </c>
      <c r="AB60" s="78" t="s">
        <v>62</v>
      </c>
      <c r="AC60" s="78">
        <v>19</v>
      </c>
      <c r="AD60" s="78">
        <v>29831.17</v>
      </c>
      <c r="AE60" s="78" t="s">
        <v>79</v>
      </c>
      <c r="AF60" s="78">
        <v>29</v>
      </c>
      <c r="AG60" s="78">
        <v>51568.85</v>
      </c>
    </row>
    <row r="61" spans="2:33" x14ac:dyDescent="0.35">
      <c r="B61" s="83">
        <v>2025</v>
      </c>
      <c r="C61" s="84">
        <f t="shared" ref="C61:L61" si="12">VLOOKUP(C59,$AE$5:$AG$103,2,FALSE)</f>
        <v>4642</v>
      </c>
      <c r="D61" s="84">
        <f t="shared" si="12"/>
        <v>1017</v>
      </c>
      <c r="E61" s="84">
        <f t="shared" si="12"/>
        <v>2762</v>
      </c>
      <c r="F61" s="84">
        <f t="shared" si="12"/>
        <v>2138</v>
      </c>
      <c r="G61" s="84">
        <f t="shared" si="12"/>
        <v>1200</v>
      </c>
      <c r="H61" s="84">
        <f>IFERROR(VLOOKUP(H59,$AE$5:$AG$103,2,FALSE),0)</f>
        <v>1872</v>
      </c>
      <c r="I61" s="84">
        <f t="shared" si="12"/>
        <v>2000</v>
      </c>
      <c r="J61" s="84">
        <f t="shared" si="12"/>
        <v>926</v>
      </c>
      <c r="K61" s="84">
        <f t="shared" si="12"/>
        <v>1201</v>
      </c>
      <c r="L61" s="84">
        <f t="shared" si="12"/>
        <v>755</v>
      </c>
      <c r="M61" s="84">
        <f>AF4-SUM(C61:L61)</f>
        <v>9294</v>
      </c>
      <c r="N61" s="85"/>
      <c r="O61" s="86">
        <f>SUM(C61:M61)</f>
        <v>27807</v>
      </c>
      <c r="S61" s="56">
        <v>57</v>
      </c>
      <c r="T61" s="78" t="s">
        <v>39</v>
      </c>
      <c r="U61" s="78">
        <v>2</v>
      </c>
      <c r="V61" s="78">
        <v>3042.16</v>
      </c>
      <c r="W61" s="78" t="s">
        <v>83</v>
      </c>
      <c r="X61" s="78">
        <v>3</v>
      </c>
      <c r="Y61" s="78">
        <v>4431.1400000000003</v>
      </c>
      <c r="AA61" s="56">
        <v>57</v>
      </c>
      <c r="AB61" s="78" t="s">
        <v>95</v>
      </c>
      <c r="AC61" s="78">
        <v>19</v>
      </c>
      <c r="AD61" s="78">
        <v>26984.75</v>
      </c>
      <c r="AE61" s="78" t="s">
        <v>88</v>
      </c>
      <c r="AF61" s="78">
        <v>28</v>
      </c>
      <c r="AG61" s="78">
        <v>40968.019999999997</v>
      </c>
    </row>
    <row r="62" spans="2:33" x14ac:dyDescent="0.35">
      <c r="B62" s="87" t="s">
        <v>124</v>
      </c>
      <c r="C62" s="88">
        <f>(C60-C61)/C61</f>
        <v>0.32292115467470917</v>
      </c>
      <c r="D62" s="88">
        <f t="shared" ref="D62:L62" si="13">(D60-D61)/D61</f>
        <v>1.983284169124877</v>
      </c>
      <c r="E62" s="88">
        <f t="shared" si="13"/>
        <v>-0.15423606082548877</v>
      </c>
      <c r="F62" s="88">
        <f t="shared" si="13"/>
        <v>-1.1225444340505144E-2</v>
      </c>
      <c r="G62" s="88">
        <f t="shared" si="13"/>
        <v>0.27</v>
      </c>
      <c r="H62" s="88">
        <f>IFERROR((H60-H61)/H61,"N/A")</f>
        <v>-0.21901709401709402</v>
      </c>
      <c r="I62" s="88">
        <f t="shared" si="13"/>
        <v>-0.28000000000000003</v>
      </c>
      <c r="J62" s="88">
        <f t="shared" si="13"/>
        <v>0.12095032397408208</v>
      </c>
      <c r="K62" s="88">
        <f t="shared" si="13"/>
        <v>-0.32556203164029973</v>
      </c>
      <c r="L62" s="88">
        <f t="shared" si="13"/>
        <v>-2.6490066225165563E-2</v>
      </c>
      <c r="M62" s="88">
        <f>(M60-M61)/M61</f>
        <v>-0.22562943834732085</v>
      </c>
      <c r="N62" s="85"/>
      <c r="O62" s="89">
        <f t="shared" ref="O62" si="14">(O60-O61)/O61</f>
        <v>8.6309202718739891E-4</v>
      </c>
      <c r="S62" s="56">
        <v>58</v>
      </c>
      <c r="T62" s="78" t="s">
        <v>97</v>
      </c>
      <c r="U62" s="78">
        <v>2</v>
      </c>
      <c r="V62" s="78">
        <v>1539.56</v>
      </c>
      <c r="W62" s="78" t="s">
        <v>127</v>
      </c>
      <c r="X62" s="78">
        <v>3</v>
      </c>
      <c r="Y62" s="78">
        <v>4320.3100000000004</v>
      </c>
      <c r="AA62" s="56">
        <v>58</v>
      </c>
      <c r="AB62" s="78" t="s">
        <v>98</v>
      </c>
      <c r="AC62" s="78">
        <v>17</v>
      </c>
      <c r="AD62" s="78">
        <v>23219.24</v>
      </c>
      <c r="AE62" s="78" t="s">
        <v>94</v>
      </c>
      <c r="AF62" s="78">
        <v>27</v>
      </c>
      <c r="AG62" s="78">
        <v>34742.01</v>
      </c>
    </row>
    <row r="63" spans="2:33" x14ac:dyDescent="0.35">
      <c r="B63" s="90"/>
      <c r="C63" s="90"/>
      <c r="D63" s="90"/>
      <c r="E63" s="90"/>
      <c r="F63" s="90"/>
      <c r="G63" s="90"/>
      <c r="H63" s="90"/>
      <c r="I63" s="90"/>
      <c r="J63" s="90"/>
      <c r="K63" s="90"/>
      <c r="L63" s="90"/>
      <c r="M63" s="90"/>
      <c r="N63" s="81"/>
      <c r="O63" s="81"/>
      <c r="S63" s="56">
        <v>59</v>
      </c>
      <c r="T63" s="78" t="s">
        <v>86</v>
      </c>
      <c r="U63" s="78">
        <v>1</v>
      </c>
      <c r="V63" s="78">
        <v>1050</v>
      </c>
      <c r="W63" s="78" t="s">
        <v>128</v>
      </c>
      <c r="X63" s="78">
        <v>3</v>
      </c>
      <c r="Y63" s="78">
        <v>3931.62</v>
      </c>
      <c r="AA63" s="56">
        <v>59</v>
      </c>
      <c r="AB63" s="78" t="s">
        <v>61</v>
      </c>
      <c r="AC63" s="78">
        <v>17</v>
      </c>
      <c r="AD63" s="78">
        <v>21715.85</v>
      </c>
      <c r="AE63" s="78" t="s">
        <v>77</v>
      </c>
      <c r="AF63" s="78">
        <v>24</v>
      </c>
      <c r="AG63" s="78">
        <v>51356.83</v>
      </c>
    </row>
    <row r="64" spans="2:33" x14ac:dyDescent="0.35">
      <c r="B64" s="79" t="s">
        <v>0</v>
      </c>
      <c r="C64" s="80" t="str">
        <f>C59</f>
        <v>China</v>
      </c>
      <c r="D64" s="80" t="str">
        <f t="shared" ref="D64:M64" si="15">D59</f>
        <v>Indonesia</v>
      </c>
      <c r="E64" s="80" t="str">
        <f t="shared" si="15"/>
        <v>Singapore</v>
      </c>
      <c r="F64" s="80" t="str">
        <f t="shared" si="15"/>
        <v>Malaysia</v>
      </c>
      <c r="G64" s="80" t="str">
        <f t="shared" si="15"/>
        <v>Taiwan</v>
      </c>
      <c r="H64" s="80" t="str">
        <f t="shared" si="15"/>
        <v>Thailand</v>
      </c>
      <c r="I64" s="80" t="str">
        <f t="shared" si="15"/>
        <v>United States of America</v>
      </c>
      <c r="J64" s="80" t="str">
        <f t="shared" si="15"/>
        <v>Japan</v>
      </c>
      <c r="K64" s="80" t="str">
        <f t="shared" si="15"/>
        <v>United Kingdom</v>
      </c>
      <c r="L64" s="80" t="str">
        <f t="shared" si="15"/>
        <v>Germany</v>
      </c>
      <c r="M64" s="80" t="str">
        <f t="shared" si="15"/>
        <v>Other</v>
      </c>
      <c r="N64" s="81"/>
      <c r="O64" s="81"/>
      <c r="S64" s="56">
        <v>60</v>
      </c>
      <c r="T64" s="78" t="s">
        <v>46</v>
      </c>
      <c r="U64" s="78">
        <v>1</v>
      </c>
      <c r="V64" s="78">
        <v>1091.2</v>
      </c>
      <c r="W64" s="78" t="s">
        <v>129</v>
      </c>
      <c r="X64" s="78">
        <v>2</v>
      </c>
      <c r="Y64" s="78">
        <v>2242.9899999999998</v>
      </c>
      <c r="AA64" s="56">
        <v>60</v>
      </c>
      <c r="AB64" s="78" t="s">
        <v>83</v>
      </c>
      <c r="AC64" s="78">
        <v>16</v>
      </c>
      <c r="AD64" s="78">
        <v>24248.71</v>
      </c>
      <c r="AE64" s="78" t="s">
        <v>66</v>
      </c>
      <c r="AF64" s="78">
        <v>22</v>
      </c>
      <c r="AG64" s="78">
        <v>26286.81</v>
      </c>
    </row>
    <row r="65" spans="2:33" x14ac:dyDescent="0.35">
      <c r="B65" s="83">
        <v>2026</v>
      </c>
      <c r="C65" s="84">
        <f t="shared" ref="C65:M66" si="16">C71/C60</f>
        <v>1275.0972968571893</v>
      </c>
      <c r="D65" s="84">
        <f t="shared" si="16"/>
        <v>1227.145346077785</v>
      </c>
      <c r="E65" s="84">
        <f t="shared" si="16"/>
        <v>1331.2450470890412</v>
      </c>
      <c r="F65" s="84">
        <f t="shared" si="16"/>
        <v>1334.5122280037842</v>
      </c>
      <c r="G65" s="84">
        <f t="shared" si="16"/>
        <v>1333.4799803149606</v>
      </c>
      <c r="H65" s="84">
        <f t="shared" si="16"/>
        <v>1298.4200820793433</v>
      </c>
      <c r="I65" s="84">
        <f t="shared" si="16"/>
        <v>1605.6017638888889</v>
      </c>
      <c r="J65" s="84">
        <f t="shared" si="16"/>
        <v>1389.3850096339113</v>
      </c>
      <c r="K65" s="84">
        <f t="shared" si="16"/>
        <v>1508.0674814814813</v>
      </c>
      <c r="L65" s="84">
        <f t="shared" si="16"/>
        <v>1492.0674421768708</v>
      </c>
      <c r="M65" s="84">
        <f t="shared" si="16"/>
        <v>1488.4010921217168</v>
      </c>
      <c r="N65" s="81"/>
      <c r="O65" s="81"/>
      <c r="S65" s="56">
        <v>61</v>
      </c>
      <c r="T65" s="78" t="s">
        <v>93</v>
      </c>
      <c r="U65" s="78">
        <v>1</v>
      </c>
      <c r="V65" s="78">
        <v>940.93</v>
      </c>
      <c r="W65" s="78" t="s">
        <v>60</v>
      </c>
      <c r="X65" s="78">
        <v>1</v>
      </c>
      <c r="Y65" s="78">
        <v>1062.02</v>
      </c>
      <c r="AA65" s="56">
        <v>61</v>
      </c>
      <c r="AB65" s="78" t="s">
        <v>100</v>
      </c>
      <c r="AC65" s="78">
        <v>16</v>
      </c>
      <c r="AD65" s="78">
        <v>26952.1</v>
      </c>
      <c r="AE65" s="78" t="s">
        <v>57</v>
      </c>
      <c r="AF65" s="78">
        <v>21</v>
      </c>
      <c r="AG65" s="78">
        <v>33010.980000000003</v>
      </c>
    </row>
    <row r="66" spans="2:33" x14ac:dyDescent="0.35">
      <c r="B66" s="83">
        <v>2025</v>
      </c>
      <c r="C66" s="84">
        <f t="shared" si="16"/>
        <v>1363.0928543731152</v>
      </c>
      <c r="D66" s="84">
        <f t="shared" si="16"/>
        <v>1436.68197640118</v>
      </c>
      <c r="E66" s="84">
        <f t="shared" si="16"/>
        <v>1368.4723569876901</v>
      </c>
      <c r="F66" s="84">
        <f t="shared" si="16"/>
        <v>1398.2729607109447</v>
      </c>
      <c r="G66" s="84">
        <f t="shared" si="16"/>
        <v>1370.8001083333331</v>
      </c>
      <c r="H66" s="84">
        <f>IFERROR(H72/H61,0)</f>
        <v>1311.9264209401708</v>
      </c>
      <c r="I66" s="84">
        <f t="shared" si="16"/>
        <v>1559.1527450000001</v>
      </c>
      <c r="J66" s="84">
        <f t="shared" si="16"/>
        <v>1420.762008639309</v>
      </c>
      <c r="K66" s="84">
        <f t="shared" si="16"/>
        <v>1454.8517901748544</v>
      </c>
      <c r="L66" s="84">
        <f t="shared" si="16"/>
        <v>1583.9672052980131</v>
      </c>
      <c r="M66" s="84">
        <f t="shared" si="16"/>
        <v>1401.4939778351634</v>
      </c>
      <c r="N66" s="81"/>
      <c r="O66" s="81"/>
      <c r="S66" s="56">
        <v>62</v>
      </c>
      <c r="T66" s="78" t="s">
        <v>89</v>
      </c>
      <c r="U66" s="78">
        <v>1</v>
      </c>
      <c r="V66" s="78">
        <v>956.25</v>
      </c>
      <c r="W66" s="78" t="s">
        <v>121</v>
      </c>
      <c r="X66" s="78">
        <v>1</v>
      </c>
      <c r="Y66" s="78">
        <v>1254.04</v>
      </c>
      <c r="AA66" s="56">
        <v>62</v>
      </c>
      <c r="AB66" s="78" t="s">
        <v>99</v>
      </c>
      <c r="AC66" s="78">
        <v>16</v>
      </c>
      <c r="AD66" s="78">
        <v>21732.32</v>
      </c>
      <c r="AE66" s="78" t="s">
        <v>99</v>
      </c>
      <c r="AF66" s="78">
        <v>21</v>
      </c>
      <c r="AG66" s="78">
        <v>38131.03</v>
      </c>
    </row>
    <row r="67" spans="2:33" x14ac:dyDescent="0.35">
      <c r="B67" s="87" t="s">
        <v>124</v>
      </c>
      <c r="C67" s="88">
        <f>(C65-C66)/C66</f>
        <v>-6.4555805742518471E-2</v>
      </c>
      <c r="D67" s="88">
        <f t="shared" ref="D67:M67" si="17">(D65-D66)/D66</f>
        <v>-0.1458476084235944</v>
      </c>
      <c r="E67" s="88">
        <f t="shared" si="17"/>
        <v>-2.7203552712306435E-2</v>
      </c>
      <c r="F67" s="88">
        <f t="shared" si="17"/>
        <v>-4.5599632188225749E-2</v>
      </c>
      <c r="G67" s="88">
        <f t="shared" si="17"/>
        <v>-2.7225069352925325E-2</v>
      </c>
      <c r="H67" s="88">
        <f t="shared" ref="H67" si="18">IFERROR((H65-H66)/H66,"N/A")</f>
        <v>-1.0295042957629022E-2</v>
      </c>
      <c r="I67" s="88">
        <f t="shared" si="17"/>
        <v>2.9791192067515331E-2</v>
      </c>
      <c r="J67" s="88">
        <f t="shared" si="17"/>
        <v>-2.2084626992136456E-2</v>
      </c>
      <c r="K67" s="88">
        <f t="shared" si="17"/>
        <v>3.6578084218620702E-2</v>
      </c>
      <c r="L67" s="88">
        <f t="shared" si="17"/>
        <v>-5.8018728426799698E-2</v>
      </c>
      <c r="M67" s="88">
        <f t="shared" si="17"/>
        <v>6.2010337297913831E-2</v>
      </c>
      <c r="N67" s="81"/>
      <c r="O67" s="85"/>
      <c r="S67" s="56">
        <v>63</v>
      </c>
      <c r="T67" s="78" t="s">
        <v>101</v>
      </c>
      <c r="U67" s="78">
        <v>1</v>
      </c>
      <c r="V67" s="78">
        <v>1189.46</v>
      </c>
      <c r="W67" s="78" t="s">
        <v>130</v>
      </c>
      <c r="X67" s="78">
        <v>1</v>
      </c>
      <c r="Y67" s="78">
        <v>1104.5</v>
      </c>
      <c r="AA67" s="56">
        <v>63</v>
      </c>
      <c r="AB67" s="78" t="s">
        <v>79</v>
      </c>
      <c r="AC67" s="78">
        <v>15</v>
      </c>
      <c r="AD67" s="78">
        <v>31427.75</v>
      </c>
      <c r="AE67" s="78" t="s">
        <v>85</v>
      </c>
      <c r="AF67" s="78">
        <v>20</v>
      </c>
      <c r="AG67" s="78">
        <v>26898.84</v>
      </c>
    </row>
    <row r="68" spans="2:33" x14ac:dyDescent="0.35">
      <c r="B68" s="81"/>
      <c r="C68" s="81"/>
      <c r="D68" s="81"/>
      <c r="E68" s="81"/>
      <c r="F68" s="81"/>
      <c r="G68" s="81"/>
      <c r="H68" s="81"/>
      <c r="I68" s="81"/>
      <c r="J68" s="81"/>
      <c r="K68" s="81"/>
      <c r="L68" s="81"/>
      <c r="M68" s="81"/>
      <c r="N68" s="81"/>
      <c r="O68" s="81"/>
      <c r="S68" s="56">
        <v>64</v>
      </c>
      <c r="T68" s="78" t="s">
        <v>45</v>
      </c>
      <c r="U68" s="78">
        <v>0</v>
      </c>
      <c r="V68" s="78">
        <v>934.58</v>
      </c>
      <c r="W68" s="78" t="s">
        <v>99</v>
      </c>
      <c r="X68" s="78">
        <v>1</v>
      </c>
      <c r="Y68" s="78">
        <v>1400.17</v>
      </c>
      <c r="AA68" s="56">
        <v>64</v>
      </c>
      <c r="AB68" s="78" t="s">
        <v>88</v>
      </c>
      <c r="AC68" s="78">
        <v>14</v>
      </c>
      <c r="AD68" s="78">
        <v>22244.959999999999</v>
      </c>
      <c r="AE68" s="78" t="s">
        <v>74</v>
      </c>
      <c r="AF68" s="78">
        <v>19</v>
      </c>
      <c r="AG68" s="78">
        <v>26804.51</v>
      </c>
    </row>
    <row r="69" spans="2:33" x14ac:dyDescent="0.35">
      <c r="B69" s="81"/>
      <c r="C69" s="81"/>
      <c r="D69" s="81"/>
      <c r="E69" s="81"/>
      <c r="F69" s="81"/>
      <c r="G69" s="81"/>
      <c r="H69" s="81"/>
      <c r="I69" s="81"/>
      <c r="J69" s="81"/>
      <c r="K69" s="81"/>
      <c r="L69" s="81"/>
      <c r="M69" s="81"/>
      <c r="N69" s="81"/>
      <c r="O69" s="81"/>
      <c r="S69" s="56">
        <v>65</v>
      </c>
      <c r="T69" s="78" t="s">
        <v>99</v>
      </c>
      <c r="U69" s="78">
        <v>0</v>
      </c>
      <c r="V69" s="78">
        <v>934.58</v>
      </c>
      <c r="W69" s="78" t="s">
        <v>103</v>
      </c>
      <c r="X69" s="78">
        <v>1</v>
      </c>
      <c r="Y69" s="78">
        <v>1305.27</v>
      </c>
      <c r="AA69" s="56">
        <v>65</v>
      </c>
      <c r="AB69" s="78" t="s">
        <v>91</v>
      </c>
      <c r="AC69" s="78">
        <v>14</v>
      </c>
      <c r="AD69" s="78">
        <v>20022.75</v>
      </c>
      <c r="AE69" s="78" t="s">
        <v>51</v>
      </c>
      <c r="AF69" s="78">
        <v>19</v>
      </c>
      <c r="AG69" s="78">
        <v>31190.66</v>
      </c>
    </row>
    <row r="70" spans="2:33" x14ac:dyDescent="0.35">
      <c r="B70" s="91" t="s">
        <v>1</v>
      </c>
      <c r="C70" s="82" t="str">
        <f>C59</f>
        <v>China</v>
      </c>
      <c r="D70" s="82" t="str">
        <f t="shared" ref="D70:M70" si="19">D59</f>
        <v>Indonesia</v>
      </c>
      <c r="E70" s="82" t="str">
        <f t="shared" si="19"/>
        <v>Singapore</v>
      </c>
      <c r="F70" s="82" t="str">
        <f t="shared" si="19"/>
        <v>Malaysia</v>
      </c>
      <c r="G70" s="82" t="str">
        <f t="shared" si="19"/>
        <v>Taiwan</v>
      </c>
      <c r="H70" s="82" t="str">
        <f t="shared" si="19"/>
        <v>Thailand</v>
      </c>
      <c r="I70" s="82" t="str">
        <f t="shared" si="19"/>
        <v>United States of America</v>
      </c>
      <c r="J70" s="82" t="str">
        <f t="shared" si="19"/>
        <v>Japan</v>
      </c>
      <c r="K70" s="82" t="str">
        <f t="shared" si="19"/>
        <v>United Kingdom</v>
      </c>
      <c r="L70" s="82" t="str">
        <f t="shared" si="19"/>
        <v>Germany</v>
      </c>
      <c r="M70" s="82" t="str">
        <f t="shared" si="19"/>
        <v>Other</v>
      </c>
      <c r="N70" s="81"/>
      <c r="O70" s="82" t="s">
        <v>24</v>
      </c>
      <c r="S70" s="56">
        <v>66</v>
      </c>
      <c r="T70" s="78"/>
      <c r="U70" s="78"/>
      <c r="V70" s="78"/>
      <c r="W70" s="78" t="s">
        <v>131</v>
      </c>
      <c r="X70" s="78">
        <v>1</v>
      </c>
      <c r="Y70" s="78">
        <v>841.12</v>
      </c>
      <c r="AA70" s="56">
        <v>66</v>
      </c>
      <c r="AB70" s="78" t="s">
        <v>76</v>
      </c>
      <c r="AC70" s="78">
        <v>14</v>
      </c>
      <c r="AD70" s="78">
        <v>18258.439999999999</v>
      </c>
      <c r="AE70" s="78" t="s">
        <v>98</v>
      </c>
      <c r="AF70" s="78">
        <v>18</v>
      </c>
      <c r="AG70" s="78">
        <v>27720.13</v>
      </c>
    </row>
    <row r="71" spans="2:33" x14ac:dyDescent="0.35">
      <c r="B71" s="92">
        <v>2026</v>
      </c>
      <c r="C71" s="86">
        <f>AD5</f>
        <v>7830372.5</v>
      </c>
      <c r="D71" s="86">
        <f>AD6</f>
        <v>3723158.98</v>
      </c>
      <c r="E71" s="86">
        <f>AD7</f>
        <v>3109788.43</v>
      </c>
      <c r="F71" s="86">
        <f>AD8</f>
        <v>2821158.85</v>
      </c>
      <c r="G71" s="86">
        <f>AD9</f>
        <v>2032223.49</v>
      </c>
      <c r="H71" s="86">
        <f>AD10</f>
        <v>1898290.16</v>
      </c>
      <c r="I71" s="86">
        <f>AD11</f>
        <v>2312066.54</v>
      </c>
      <c r="J71" s="86">
        <f>AD12</f>
        <v>1442181.64</v>
      </c>
      <c r="K71" s="86">
        <f>AD13</f>
        <v>1221534.6599999999</v>
      </c>
      <c r="L71" s="86">
        <f>AD14</f>
        <v>1096669.57</v>
      </c>
      <c r="M71" s="86">
        <f>AD4-SUM(C71:L71)</f>
        <v>10712022.659999996</v>
      </c>
      <c r="N71" s="85"/>
      <c r="O71" s="86">
        <f>SUM(C71:M71)</f>
        <v>38199467.479999997</v>
      </c>
      <c r="S71" s="56">
        <v>67</v>
      </c>
      <c r="T71" s="78"/>
      <c r="U71" s="78"/>
      <c r="V71" s="78"/>
      <c r="W71" s="78" t="s">
        <v>132</v>
      </c>
      <c r="X71" s="78">
        <v>1</v>
      </c>
      <c r="Y71" s="78">
        <v>1614.28</v>
      </c>
      <c r="AA71" s="56">
        <v>67</v>
      </c>
      <c r="AB71" s="78" t="s">
        <v>87</v>
      </c>
      <c r="AC71" s="78">
        <v>13</v>
      </c>
      <c r="AD71" s="78">
        <v>15966.91</v>
      </c>
      <c r="AE71" s="78" t="s">
        <v>87</v>
      </c>
      <c r="AF71" s="78">
        <v>18</v>
      </c>
      <c r="AG71" s="78">
        <v>25256.54</v>
      </c>
    </row>
    <row r="72" spans="2:33" x14ac:dyDescent="0.35">
      <c r="B72" s="92">
        <v>2025</v>
      </c>
      <c r="C72" s="86">
        <f t="shared" ref="C72:L72" si="20">VLOOKUP(C70,$AE$5:$AG$103,3,FALSE)</f>
        <v>6327477.0300000003</v>
      </c>
      <c r="D72" s="86">
        <f t="shared" si="20"/>
        <v>1461105.57</v>
      </c>
      <c r="E72" s="86">
        <f t="shared" si="20"/>
        <v>3779720.65</v>
      </c>
      <c r="F72" s="86">
        <f t="shared" si="20"/>
        <v>2989507.59</v>
      </c>
      <c r="G72" s="86">
        <f t="shared" si="20"/>
        <v>1644960.13</v>
      </c>
      <c r="H72" s="86">
        <f t="shared" si="20"/>
        <v>2455926.2599999998</v>
      </c>
      <c r="I72" s="86">
        <f t="shared" si="20"/>
        <v>3118305.49</v>
      </c>
      <c r="J72" s="86">
        <f t="shared" si="20"/>
        <v>1315625.6200000001</v>
      </c>
      <c r="K72" s="86">
        <f t="shared" si="20"/>
        <v>1747277</v>
      </c>
      <c r="L72" s="86">
        <f t="shared" si="20"/>
        <v>1195895.24</v>
      </c>
      <c r="M72" s="86">
        <f>AG4-SUM(C72:L72)</f>
        <v>13025485.030000009</v>
      </c>
      <c r="N72" s="85"/>
      <c r="O72" s="86">
        <f>SUM(C72:M72)</f>
        <v>39061285.610000007</v>
      </c>
      <c r="S72" s="56"/>
      <c r="T72" s="78"/>
      <c r="U72" s="78"/>
      <c r="V72" s="78"/>
      <c r="W72" s="78"/>
      <c r="X72" s="78"/>
      <c r="Y72" s="78"/>
      <c r="AA72" s="56">
        <v>68</v>
      </c>
      <c r="AB72" s="78" t="s">
        <v>102</v>
      </c>
      <c r="AC72" s="78">
        <v>11</v>
      </c>
      <c r="AD72" s="78">
        <v>15810.5</v>
      </c>
      <c r="AE72" s="78" t="s">
        <v>76</v>
      </c>
      <c r="AF72" s="78">
        <v>18</v>
      </c>
      <c r="AG72" s="78">
        <v>27044.84</v>
      </c>
    </row>
    <row r="73" spans="2:33" x14ac:dyDescent="0.35">
      <c r="B73" s="92" t="s">
        <v>124</v>
      </c>
      <c r="C73" s="89">
        <f>(C71-C72)/C72</f>
        <v>0.23751891360086055</v>
      </c>
      <c r="D73" s="89">
        <f t="shared" ref="D73:M73" si="21">(D71-D72)/D72</f>
        <v>1.5481793078100441</v>
      </c>
      <c r="E73" s="89">
        <f t="shared" si="21"/>
        <v>-0.17724384472699053</v>
      </c>
      <c r="F73" s="89">
        <f t="shared" si="21"/>
        <v>-5.6313200395654378E-2</v>
      </c>
      <c r="G73" s="89">
        <f t="shared" si="21"/>
        <v>0.23542416192178478</v>
      </c>
      <c r="H73" s="98">
        <f t="shared" ref="H73" si="22">IFERROR((H71-H72)/H72,"N/A")</f>
        <v>-0.22705734658336196</v>
      </c>
      <c r="I73" s="89">
        <f t="shared" si="21"/>
        <v>-0.25855034171138896</v>
      </c>
      <c r="J73" s="89">
        <f t="shared" si="21"/>
        <v>9.6194554192399945E-2</v>
      </c>
      <c r="K73" s="89">
        <f t="shared" si="21"/>
        <v>-0.30089238283340308</v>
      </c>
      <c r="L73" s="89">
        <f t="shared" si="21"/>
        <v>-8.2971874693639494E-2</v>
      </c>
      <c r="M73" s="89">
        <f t="shared" si="21"/>
        <v>-0.17761045862566321</v>
      </c>
      <c r="N73" s="81"/>
      <c r="O73" s="89">
        <f t="shared" ref="O73" si="23">(O71-O72)/O72</f>
        <v>-2.2063230038167961E-2</v>
      </c>
      <c r="S73" s="56"/>
      <c r="T73" s="78"/>
      <c r="U73" s="78"/>
      <c r="V73" s="78"/>
      <c r="W73" s="78"/>
      <c r="X73" s="78"/>
      <c r="Y73" s="78"/>
      <c r="AA73" s="56">
        <v>69</v>
      </c>
      <c r="AB73" s="78" t="s">
        <v>75</v>
      </c>
      <c r="AC73" s="78">
        <v>10</v>
      </c>
      <c r="AD73" s="78">
        <v>12781.62</v>
      </c>
      <c r="AE73" s="78" t="s">
        <v>89</v>
      </c>
      <c r="AF73" s="78">
        <v>17</v>
      </c>
      <c r="AG73" s="78">
        <v>29817.3</v>
      </c>
    </row>
    <row r="74" spans="2:33" x14ac:dyDescent="0.35">
      <c r="B74" s="81"/>
      <c r="C74" s="81"/>
      <c r="D74" s="81"/>
      <c r="E74" s="81"/>
      <c r="F74" s="81"/>
      <c r="G74" s="81"/>
      <c r="H74" s="81"/>
      <c r="I74" s="81"/>
      <c r="J74" s="81"/>
      <c r="K74" s="81"/>
      <c r="L74" s="81"/>
      <c r="M74" s="81"/>
      <c r="N74" s="81"/>
      <c r="O74" s="81"/>
      <c r="Q74" s="5"/>
      <c r="R74" s="5"/>
      <c r="S74" s="56"/>
      <c r="T74" s="78"/>
      <c r="U74" s="78"/>
      <c r="V74" s="78"/>
      <c r="W74" s="78"/>
      <c r="X74" s="78"/>
      <c r="Y74" s="78"/>
      <c r="AA74" s="56">
        <v>70</v>
      </c>
      <c r="AB74" s="78" t="s">
        <v>67</v>
      </c>
      <c r="AC74" s="78">
        <v>9</v>
      </c>
      <c r="AD74" s="78">
        <v>10532.7</v>
      </c>
      <c r="AE74" s="78" t="s">
        <v>96</v>
      </c>
      <c r="AF74" s="78">
        <v>16</v>
      </c>
      <c r="AG74" s="78">
        <v>27102.52</v>
      </c>
    </row>
    <row r="75" spans="2:33" x14ac:dyDescent="0.35">
      <c r="B75" s="81"/>
      <c r="C75" s="81"/>
      <c r="D75" s="81"/>
      <c r="E75" s="81"/>
      <c r="F75" s="81"/>
      <c r="G75" s="81"/>
      <c r="H75" s="81"/>
      <c r="I75" s="81"/>
      <c r="J75" s="81"/>
      <c r="K75" s="81"/>
      <c r="L75" s="81"/>
      <c r="M75" s="81"/>
      <c r="N75" s="81"/>
      <c r="O75" s="81"/>
      <c r="S75" s="56"/>
      <c r="T75" s="78"/>
      <c r="U75" s="78"/>
      <c r="V75" s="78"/>
      <c r="W75" s="78"/>
      <c r="X75" s="78"/>
      <c r="Y75" s="78"/>
      <c r="AA75" s="56">
        <v>71</v>
      </c>
      <c r="AB75" s="78" t="s">
        <v>74</v>
      </c>
      <c r="AC75" s="78">
        <v>9</v>
      </c>
      <c r="AD75" s="78">
        <v>8770.18</v>
      </c>
      <c r="AE75" s="78" t="s">
        <v>59</v>
      </c>
      <c r="AF75" s="78">
        <v>15</v>
      </c>
      <c r="AG75" s="78">
        <v>23681.27</v>
      </c>
    </row>
    <row r="76" spans="2:33" x14ac:dyDescent="0.35">
      <c r="S76" s="56"/>
      <c r="T76" s="78"/>
      <c r="U76" s="78"/>
      <c r="V76" s="78"/>
      <c r="W76" s="78"/>
      <c r="X76" s="78"/>
      <c r="Y76" s="78"/>
      <c r="AA76" s="56">
        <v>72</v>
      </c>
      <c r="AB76" s="78" t="s">
        <v>80</v>
      </c>
      <c r="AC76" s="78">
        <v>8</v>
      </c>
      <c r="AD76" s="78">
        <v>10407.84</v>
      </c>
      <c r="AE76" s="78" t="s">
        <v>100</v>
      </c>
      <c r="AF76" s="78">
        <v>15</v>
      </c>
      <c r="AG76" s="78">
        <v>27429.85</v>
      </c>
    </row>
    <row r="77" spans="2:33" x14ac:dyDescent="0.35">
      <c r="S77" s="56"/>
      <c r="T77" s="78"/>
      <c r="U77" s="78"/>
      <c r="V77" s="78"/>
      <c r="W77" s="78"/>
      <c r="X77" s="78"/>
      <c r="Y77" s="78"/>
      <c r="AA77" s="56">
        <v>73</v>
      </c>
      <c r="AB77" s="78" t="s">
        <v>86</v>
      </c>
      <c r="AC77" s="78">
        <v>8</v>
      </c>
      <c r="AD77" s="78">
        <v>11476.18</v>
      </c>
      <c r="AE77" s="78" t="s">
        <v>107</v>
      </c>
      <c r="AF77" s="78">
        <v>13</v>
      </c>
      <c r="AG77" s="78">
        <v>18377.150000000001</v>
      </c>
    </row>
    <row r="78" spans="2:33" x14ac:dyDescent="0.35">
      <c r="S78" s="56"/>
      <c r="T78" s="78"/>
      <c r="U78" s="78"/>
      <c r="V78" s="78"/>
      <c r="W78" s="78"/>
      <c r="X78" s="78"/>
      <c r="Y78" s="78"/>
      <c r="AA78" s="56">
        <v>74</v>
      </c>
      <c r="AB78" s="71" t="s">
        <v>64</v>
      </c>
      <c r="AC78" s="78">
        <v>8</v>
      </c>
      <c r="AD78" s="78">
        <v>17659.349999999999</v>
      </c>
      <c r="AE78" s="78" t="s">
        <v>78</v>
      </c>
      <c r="AF78" s="78">
        <v>13</v>
      </c>
      <c r="AG78" s="78">
        <v>18181.439999999999</v>
      </c>
    </row>
    <row r="79" spans="2:33" x14ac:dyDescent="0.35">
      <c r="S79" s="56"/>
      <c r="T79" s="78"/>
      <c r="U79" s="78"/>
      <c r="V79" s="78"/>
      <c r="W79" s="78"/>
      <c r="X79" s="78"/>
      <c r="Y79" s="78"/>
      <c r="AA79" s="56">
        <v>75</v>
      </c>
      <c r="AB79" s="71" t="s">
        <v>90</v>
      </c>
      <c r="AC79" s="78">
        <v>8</v>
      </c>
      <c r="AD79" s="78">
        <v>12738.02</v>
      </c>
      <c r="AE79" s="78" t="s">
        <v>80</v>
      </c>
      <c r="AF79" s="78">
        <v>12</v>
      </c>
      <c r="AG79" s="78">
        <v>14842.76</v>
      </c>
    </row>
    <row r="80" spans="2:33" x14ac:dyDescent="0.35">
      <c r="S80" s="56"/>
      <c r="T80" s="78"/>
      <c r="U80" s="78"/>
      <c r="V80" s="78"/>
      <c r="W80" s="78"/>
      <c r="X80" s="78"/>
      <c r="Y80" s="78"/>
      <c r="AA80" s="56">
        <v>76</v>
      </c>
      <c r="AB80" s="71" t="s">
        <v>96</v>
      </c>
      <c r="AC80" s="78">
        <v>8</v>
      </c>
      <c r="AD80" s="78">
        <v>12701.36</v>
      </c>
      <c r="AE80" s="78" t="s">
        <v>102</v>
      </c>
      <c r="AF80" s="78">
        <v>12</v>
      </c>
      <c r="AG80" s="78">
        <v>20191.810000000001</v>
      </c>
    </row>
    <row r="81" spans="19:33" x14ac:dyDescent="0.35">
      <c r="S81" s="56"/>
      <c r="T81" s="78"/>
      <c r="U81" s="78"/>
      <c r="V81" s="78"/>
      <c r="W81" s="78"/>
      <c r="X81" s="78"/>
      <c r="Y81" s="78"/>
      <c r="AA81" s="56">
        <v>77</v>
      </c>
      <c r="AB81" s="71" t="s">
        <v>103</v>
      </c>
      <c r="AC81" s="78">
        <v>8</v>
      </c>
      <c r="AD81" s="78">
        <v>13946.39</v>
      </c>
      <c r="AE81" s="78" t="s">
        <v>133</v>
      </c>
      <c r="AF81" s="78">
        <v>12</v>
      </c>
      <c r="AG81" s="78">
        <v>17488.310000000001</v>
      </c>
    </row>
    <row r="82" spans="19:33" x14ac:dyDescent="0.35">
      <c r="S82" s="56"/>
      <c r="T82" s="78"/>
      <c r="U82" s="78"/>
      <c r="V82" s="78"/>
      <c r="W82" s="78"/>
      <c r="X82" s="78"/>
      <c r="Y82" s="78"/>
      <c r="AA82" s="56">
        <v>78</v>
      </c>
      <c r="AB82" s="71" t="s">
        <v>104</v>
      </c>
      <c r="AC82" s="78">
        <v>7</v>
      </c>
      <c r="AD82" s="78">
        <v>9514.4500000000007</v>
      </c>
      <c r="AE82" s="78" t="s">
        <v>128</v>
      </c>
      <c r="AF82" s="78">
        <v>11</v>
      </c>
      <c r="AG82" s="78">
        <v>17366.650000000001</v>
      </c>
    </row>
    <row r="83" spans="19:33" x14ac:dyDescent="0.35">
      <c r="S83" s="56"/>
      <c r="T83" s="78"/>
      <c r="U83" s="78"/>
      <c r="V83" s="78"/>
      <c r="W83" s="78"/>
      <c r="X83" s="78"/>
      <c r="Y83" s="78"/>
      <c r="AA83" s="56">
        <v>79</v>
      </c>
      <c r="AB83" s="71" t="s">
        <v>81</v>
      </c>
      <c r="AC83" s="78">
        <v>6</v>
      </c>
      <c r="AD83" s="78">
        <v>7197.96</v>
      </c>
      <c r="AE83" s="78" t="s">
        <v>108</v>
      </c>
      <c r="AF83" s="78">
        <v>8</v>
      </c>
      <c r="AG83" s="78">
        <v>14084.2</v>
      </c>
    </row>
    <row r="84" spans="19:33" x14ac:dyDescent="0.35">
      <c r="S84" s="56"/>
      <c r="T84" s="78"/>
      <c r="U84" s="78"/>
      <c r="V84" s="78"/>
      <c r="W84" s="78"/>
      <c r="X84" s="78"/>
      <c r="Y84" s="78"/>
      <c r="AA84" s="56">
        <v>80</v>
      </c>
      <c r="AB84" s="71" t="s">
        <v>105</v>
      </c>
      <c r="AC84" s="78">
        <v>6</v>
      </c>
      <c r="AD84" s="78">
        <v>13182.9</v>
      </c>
      <c r="AE84" s="78" t="s">
        <v>120</v>
      </c>
      <c r="AF84" s="78">
        <v>8</v>
      </c>
      <c r="AG84" s="78">
        <v>11609.25</v>
      </c>
    </row>
    <row r="85" spans="19:33" x14ac:dyDescent="0.35">
      <c r="S85" s="56"/>
      <c r="T85" s="78"/>
      <c r="U85" s="78"/>
      <c r="V85" s="78"/>
      <c r="W85" s="78"/>
      <c r="X85" s="78"/>
      <c r="Y85" s="78"/>
      <c r="AA85" s="56">
        <v>81</v>
      </c>
      <c r="AB85" s="71" t="s">
        <v>106</v>
      </c>
      <c r="AC85" s="78">
        <v>6</v>
      </c>
      <c r="AD85" s="78">
        <v>7056.84</v>
      </c>
      <c r="AE85" s="78" t="s">
        <v>95</v>
      </c>
      <c r="AF85" s="78">
        <v>8</v>
      </c>
      <c r="AG85" s="78">
        <v>13854.04</v>
      </c>
    </row>
    <row r="86" spans="19:33" x14ac:dyDescent="0.35">
      <c r="S86" s="56"/>
      <c r="T86" s="78"/>
      <c r="U86" s="78"/>
      <c r="V86" s="78"/>
      <c r="W86" s="78"/>
      <c r="X86" s="78"/>
      <c r="Y86" s="78"/>
      <c r="AA86" s="56">
        <v>82</v>
      </c>
      <c r="AB86" s="71" t="s">
        <v>107</v>
      </c>
      <c r="AC86" s="78">
        <v>5</v>
      </c>
      <c r="AD86" s="78">
        <v>5653.39</v>
      </c>
      <c r="AE86" s="78" t="s">
        <v>134</v>
      </c>
      <c r="AF86" s="78">
        <v>8</v>
      </c>
      <c r="AG86" s="78">
        <v>11475.19</v>
      </c>
    </row>
    <row r="87" spans="19:33" x14ac:dyDescent="0.35">
      <c r="S87" s="56"/>
      <c r="T87" s="78"/>
      <c r="U87" s="78"/>
      <c r="V87" s="78"/>
      <c r="W87" s="78"/>
      <c r="X87" s="78"/>
      <c r="Y87" s="78"/>
      <c r="AA87" s="56">
        <v>83</v>
      </c>
      <c r="AB87" s="71" t="s">
        <v>101</v>
      </c>
      <c r="AC87" s="78">
        <v>5</v>
      </c>
      <c r="AD87" s="78">
        <v>6006.8</v>
      </c>
      <c r="AE87" s="78" t="s">
        <v>135</v>
      </c>
      <c r="AF87" s="78">
        <v>7</v>
      </c>
      <c r="AG87" s="78">
        <v>10429.89</v>
      </c>
    </row>
    <row r="88" spans="19:33" x14ac:dyDescent="0.35">
      <c r="S88" s="56"/>
      <c r="T88" s="78"/>
      <c r="U88" s="78"/>
      <c r="V88" s="78"/>
      <c r="W88" s="78"/>
      <c r="X88" s="78"/>
      <c r="Y88" s="78"/>
      <c r="AA88" s="56">
        <v>84</v>
      </c>
      <c r="AB88" s="71" t="s">
        <v>108</v>
      </c>
      <c r="AC88" s="78">
        <v>4</v>
      </c>
      <c r="AD88" s="78">
        <v>4846.76</v>
      </c>
      <c r="AE88" s="78" t="s">
        <v>136</v>
      </c>
      <c r="AF88" s="78">
        <v>7</v>
      </c>
      <c r="AG88" s="78">
        <v>15233.82</v>
      </c>
    </row>
    <row r="89" spans="19:33" x14ac:dyDescent="0.35">
      <c r="S89" s="56"/>
      <c r="T89" s="78"/>
      <c r="U89" s="78"/>
      <c r="V89" s="78"/>
      <c r="W89" s="78"/>
      <c r="X89" s="78"/>
      <c r="Y89" s="78"/>
      <c r="AA89" s="56">
        <v>85</v>
      </c>
      <c r="AB89" s="71" t="s">
        <v>82</v>
      </c>
      <c r="AC89" s="78">
        <v>4</v>
      </c>
      <c r="AD89" s="78">
        <v>3366</v>
      </c>
      <c r="AE89" s="78" t="s">
        <v>93</v>
      </c>
      <c r="AF89" s="78">
        <v>6</v>
      </c>
      <c r="AG89" s="78">
        <v>8387.69</v>
      </c>
    </row>
    <row r="90" spans="19:33" x14ac:dyDescent="0.35">
      <c r="S90" s="56"/>
      <c r="T90" s="78"/>
      <c r="U90" s="78"/>
      <c r="V90" s="78"/>
      <c r="W90" s="78"/>
      <c r="X90" s="78"/>
      <c r="Y90" s="78"/>
      <c r="AA90" s="56">
        <v>86</v>
      </c>
      <c r="AB90" s="71" t="s">
        <v>69</v>
      </c>
      <c r="AC90" s="78">
        <v>4</v>
      </c>
      <c r="AD90" s="78">
        <v>6204.16</v>
      </c>
      <c r="AE90" s="78" t="s">
        <v>127</v>
      </c>
      <c r="AF90" s="78">
        <v>6</v>
      </c>
      <c r="AG90" s="78">
        <v>11360.15</v>
      </c>
    </row>
    <row r="91" spans="19:33" x14ac:dyDescent="0.35">
      <c r="S91" s="56"/>
      <c r="T91" s="78"/>
      <c r="U91" s="78"/>
      <c r="V91" s="78"/>
      <c r="W91" s="78"/>
      <c r="X91" s="78"/>
      <c r="Y91" s="78"/>
      <c r="AA91" s="56">
        <v>87</v>
      </c>
      <c r="AB91" s="71" t="s">
        <v>109</v>
      </c>
      <c r="AC91" s="78">
        <v>4</v>
      </c>
      <c r="AD91" s="78">
        <v>9000</v>
      </c>
      <c r="AE91" s="78" t="s">
        <v>40</v>
      </c>
      <c r="AF91" s="78">
        <v>6</v>
      </c>
      <c r="AG91" s="78">
        <v>9946.39</v>
      </c>
    </row>
    <row r="92" spans="19:33" x14ac:dyDescent="0.35">
      <c r="S92" s="56"/>
      <c r="T92" s="78"/>
      <c r="U92" s="78"/>
      <c r="V92" s="78"/>
      <c r="W92" s="78"/>
      <c r="X92" s="78"/>
      <c r="Y92" s="78"/>
      <c r="AA92" s="56">
        <v>88</v>
      </c>
      <c r="AB92" s="71" t="s">
        <v>110</v>
      </c>
      <c r="AC92" s="78">
        <v>4</v>
      </c>
      <c r="AD92" s="78">
        <v>7221.6</v>
      </c>
      <c r="AE92" s="78" t="s">
        <v>117</v>
      </c>
      <c r="AF92" s="78">
        <v>6</v>
      </c>
      <c r="AG92" s="78">
        <v>12487.38</v>
      </c>
    </row>
    <row r="93" spans="19:33" x14ac:dyDescent="0.35">
      <c r="S93" s="56"/>
      <c r="T93" s="78"/>
      <c r="U93" s="78"/>
      <c r="V93" s="78"/>
      <c r="W93" s="78"/>
      <c r="X93" s="78"/>
      <c r="Y93" s="78"/>
      <c r="AA93" s="56">
        <v>89</v>
      </c>
      <c r="AB93" s="71" t="s">
        <v>111</v>
      </c>
      <c r="AC93" s="78">
        <v>4</v>
      </c>
      <c r="AD93" s="78">
        <v>5371.42</v>
      </c>
      <c r="AE93" s="78" t="s">
        <v>81</v>
      </c>
      <c r="AF93" s="78">
        <v>5</v>
      </c>
      <c r="AG93" s="78">
        <v>9845.7099999999991</v>
      </c>
    </row>
    <row r="94" spans="19:33" x14ac:dyDescent="0.35">
      <c r="S94" s="56"/>
      <c r="T94" s="78"/>
      <c r="U94" s="78"/>
      <c r="V94" s="78"/>
      <c r="W94" s="78"/>
      <c r="X94" s="78"/>
      <c r="Y94" s="78"/>
      <c r="AA94" s="56">
        <v>90</v>
      </c>
      <c r="AB94" s="71" t="s">
        <v>85</v>
      </c>
      <c r="AC94" s="78">
        <v>4</v>
      </c>
      <c r="AD94" s="78">
        <v>5143.5</v>
      </c>
      <c r="AE94" s="78" t="s">
        <v>45</v>
      </c>
      <c r="AF94" s="78">
        <v>5</v>
      </c>
      <c r="AG94" s="78">
        <v>14851.51</v>
      </c>
    </row>
    <row r="95" spans="19:33" x14ac:dyDescent="0.35">
      <c r="S95" s="56"/>
      <c r="T95" s="78"/>
      <c r="U95" s="78"/>
      <c r="V95" s="78"/>
      <c r="W95" s="78"/>
      <c r="X95" s="78"/>
      <c r="Y95" s="78"/>
      <c r="AA95" s="56">
        <v>91</v>
      </c>
      <c r="AB95" s="71" t="s">
        <v>112</v>
      </c>
      <c r="AC95" s="78">
        <v>4</v>
      </c>
      <c r="AD95" s="78">
        <v>4989.6000000000004</v>
      </c>
      <c r="AE95" s="78" t="s">
        <v>137</v>
      </c>
      <c r="AF95" s="78">
        <v>5</v>
      </c>
      <c r="AG95" s="78">
        <v>9201.8799999999992</v>
      </c>
    </row>
    <row r="96" spans="19:33" x14ac:dyDescent="0.35">
      <c r="S96" s="56"/>
      <c r="T96" s="78"/>
      <c r="U96" s="78"/>
      <c r="V96" s="78"/>
      <c r="W96" s="78"/>
      <c r="X96" s="78"/>
      <c r="Y96" s="78"/>
      <c r="AA96" s="56">
        <v>92</v>
      </c>
      <c r="AB96" s="71" t="s">
        <v>94</v>
      </c>
      <c r="AC96" s="78">
        <v>4</v>
      </c>
      <c r="AD96" s="78">
        <v>5343.3</v>
      </c>
      <c r="AE96" s="78" t="s">
        <v>129</v>
      </c>
      <c r="AF96" s="78">
        <v>5</v>
      </c>
      <c r="AG96" s="78">
        <v>7035.7</v>
      </c>
    </row>
    <row r="97" spans="19:33" x14ac:dyDescent="0.35">
      <c r="S97" s="56"/>
      <c r="T97" s="78"/>
      <c r="U97" s="78"/>
      <c r="V97" s="78"/>
      <c r="W97" s="78"/>
      <c r="X97" s="78"/>
      <c r="Y97" s="78"/>
      <c r="AA97" s="56">
        <v>93</v>
      </c>
      <c r="AB97" s="71" t="s">
        <v>113</v>
      </c>
      <c r="AC97" s="78">
        <v>3</v>
      </c>
      <c r="AD97" s="78">
        <v>3511.02</v>
      </c>
      <c r="AE97" s="78" t="s">
        <v>90</v>
      </c>
      <c r="AF97" s="78">
        <v>5</v>
      </c>
      <c r="AG97" s="78">
        <v>7370.56</v>
      </c>
    </row>
    <row r="98" spans="19:33" x14ac:dyDescent="0.35">
      <c r="S98" s="56"/>
      <c r="T98" s="78"/>
      <c r="U98" s="78"/>
      <c r="V98" s="78"/>
      <c r="W98" s="78"/>
      <c r="X98" s="78"/>
      <c r="Y98" s="78"/>
      <c r="AA98" s="56">
        <v>94</v>
      </c>
      <c r="AB98" s="71" t="s">
        <v>114</v>
      </c>
      <c r="AC98" s="78">
        <v>3</v>
      </c>
      <c r="AD98" s="78">
        <v>4365</v>
      </c>
      <c r="AE98" s="78" t="s">
        <v>70</v>
      </c>
      <c r="AF98" s="78">
        <v>5</v>
      </c>
      <c r="AG98" s="78">
        <v>6907.96</v>
      </c>
    </row>
    <row r="99" spans="19:33" ht="14.25" customHeight="1" x14ac:dyDescent="0.35">
      <c r="S99" s="56"/>
      <c r="T99" s="78"/>
      <c r="U99" s="78"/>
      <c r="V99" s="78"/>
      <c r="W99" s="78"/>
      <c r="X99" s="78"/>
      <c r="Y99" s="78"/>
      <c r="AA99" s="56">
        <v>95</v>
      </c>
      <c r="AB99" s="71" t="s">
        <v>115</v>
      </c>
      <c r="AC99" s="78">
        <v>3</v>
      </c>
      <c r="AD99" s="78">
        <v>5036.1099999999997</v>
      </c>
      <c r="AE99" s="78" t="s">
        <v>110</v>
      </c>
      <c r="AF99" s="78">
        <v>5</v>
      </c>
      <c r="AG99" s="78">
        <v>6959.83</v>
      </c>
    </row>
    <row r="100" spans="19:33" x14ac:dyDescent="0.35">
      <c r="S100" s="56"/>
      <c r="T100" s="78"/>
      <c r="U100" s="78"/>
      <c r="V100" s="78"/>
      <c r="W100" s="78"/>
      <c r="X100" s="78"/>
      <c r="Y100" s="78"/>
      <c r="AA100" s="56">
        <v>96</v>
      </c>
      <c r="AB100" s="71" t="s">
        <v>116</v>
      </c>
      <c r="AC100" s="78">
        <v>3</v>
      </c>
      <c r="AD100" s="78">
        <v>4360.5</v>
      </c>
      <c r="AE100" s="78" t="s">
        <v>61</v>
      </c>
      <c r="AF100" s="78">
        <v>5</v>
      </c>
      <c r="AG100" s="78">
        <v>6521.69</v>
      </c>
    </row>
    <row r="101" spans="19:33" x14ac:dyDescent="0.35">
      <c r="S101" s="56"/>
      <c r="T101" s="78"/>
      <c r="U101" s="78"/>
      <c r="V101" s="78"/>
      <c r="W101" s="78"/>
      <c r="X101" s="78"/>
      <c r="Y101" s="78"/>
      <c r="AA101" s="56">
        <v>97</v>
      </c>
      <c r="AB101" s="71" t="s">
        <v>117</v>
      </c>
      <c r="AC101" s="78">
        <v>3</v>
      </c>
      <c r="AD101" s="78">
        <v>5378.12</v>
      </c>
      <c r="AE101" s="78" t="s">
        <v>138</v>
      </c>
      <c r="AF101" s="78">
        <v>5</v>
      </c>
      <c r="AG101" s="78">
        <v>8567.52</v>
      </c>
    </row>
    <row r="102" spans="19:33" x14ac:dyDescent="0.35">
      <c r="S102" s="56"/>
      <c r="T102" s="78"/>
      <c r="U102" s="78"/>
      <c r="V102" s="78"/>
      <c r="W102" s="78"/>
      <c r="X102" s="78"/>
      <c r="Y102" s="78"/>
      <c r="AA102" s="56">
        <v>98</v>
      </c>
      <c r="AB102" s="71" t="s">
        <v>118</v>
      </c>
      <c r="AC102" s="78">
        <v>2</v>
      </c>
      <c r="AD102" s="78">
        <v>2492.08</v>
      </c>
      <c r="AE102" s="78" t="s">
        <v>115</v>
      </c>
      <c r="AF102" s="78">
        <v>4</v>
      </c>
      <c r="AG102" s="78">
        <v>5487.92</v>
      </c>
    </row>
    <row r="103" spans="19:33" ht="15" thickBot="1" x14ac:dyDescent="0.4">
      <c r="S103" s="53"/>
      <c r="T103" s="99"/>
      <c r="U103" s="99"/>
      <c r="V103" s="99"/>
      <c r="W103" s="99"/>
      <c r="X103" s="99"/>
      <c r="Y103" s="99"/>
      <c r="AA103" s="56">
        <v>99</v>
      </c>
      <c r="AB103" s="71" t="s">
        <v>119</v>
      </c>
      <c r="AC103" s="78">
        <v>2</v>
      </c>
      <c r="AD103" s="78">
        <v>2312.12</v>
      </c>
      <c r="AE103" s="78" t="s">
        <v>105</v>
      </c>
      <c r="AF103" s="78">
        <v>4</v>
      </c>
      <c r="AG103" s="78">
        <v>6056</v>
      </c>
    </row>
    <row r="104" spans="19:33" x14ac:dyDescent="0.35">
      <c r="AA104" s="56">
        <v>100</v>
      </c>
      <c r="AB104" s="71" t="s">
        <v>93</v>
      </c>
      <c r="AC104" s="78">
        <v>2</v>
      </c>
      <c r="AD104" s="78">
        <v>2930.66</v>
      </c>
      <c r="AE104" s="78" t="s">
        <v>75</v>
      </c>
      <c r="AF104" s="78">
        <v>4</v>
      </c>
      <c r="AG104" s="78">
        <v>6860.5</v>
      </c>
    </row>
    <row r="105" spans="19:33" x14ac:dyDescent="0.35">
      <c r="AA105" s="56">
        <v>101</v>
      </c>
      <c r="AB105" s="71" t="s">
        <v>97</v>
      </c>
      <c r="AC105" s="78">
        <v>2</v>
      </c>
      <c r="AD105" s="78">
        <v>1539.56</v>
      </c>
      <c r="AE105" s="78" t="s">
        <v>139</v>
      </c>
      <c r="AF105" s="78">
        <v>4</v>
      </c>
      <c r="AG105" s="78">
        <v>6997.19</v>
      </c>
    </row>
    <row r="106" spans="19:33" x14ac:dyDescent="0.35">
      <c r="AA106" s="56">
        <v>102</v>
      </c>
      <c r="AB106" s="71" t="s">
        <v>120</v>
      </c>
      <c r="AC106" s="78">
        <v>1</v>
      </c>
      <c r="AD106" s="78">
        <v>1709.77</v>
      </c>
      <c r="AE106" s="78" t="s">
        <v>113</v>
      </c>
      <c r="AF106" s="78">
        <v>3</v>
      </c>
      <c r="AG106" s="78">
        <v>3503.13</v>
      </c>
    </row>
    <row r="107" spans="19:33" x14ac:dyDescent="0.35">
      <c r="AA107" s="56">
        <v>103</v>
      </c>
      <c r="AB107" s="71" t="s">
        <v>121</v>
      </c>
      <c r="AC107" s="78">
        <v>1</v>
      </c>
      <c r="AD107" s="78">
        <v>1530.08</v>
      </c>
      <c r="AE107" s="78" t="s">
        <v>118</v>
      </c>
      <c r="AF107" s="78">
        <v>3</v>
      </c>
      <c r="AG107" s="78">
        <v>4387.42</v>
      </c>
    </row>
    <row r="108" spans="19:33" x14ac:dyDescent="0.35">
      <c r="AA108" s="56">
        <v>104</v>
      </c>
      <c r="AB108" s="71"/>
      <c r="AC108" s="78"/>
      <c r="AD108" s="78"/>
      <c r="AE108" s="78" t="s">
        <v>64</v>
      </c>
      <c r="AF108" s="78">
        <v>3</v>
      </c>
      <c r="AG108" s="78">
        <v>4736.7</v>
      </c>
    </row>
    <row r="109" spans="19:33" x14ac:dyDescent="0.35">
      <c r="AA109" s="56">
        <v>105</v>
      </c>
      <c r="AB109" s="71"/>
      <c r="AC109" s="78"/>
      <c r="AD109" s="78"/>
      <c r="AE109" s="78" t="s">
        <v>140</v>
      </c>
      <c r="AF109" s="78">
        <v>2</v>
      </c>
      <c r="AG109" s="78">
        <v>4050.38</v>
      </c>
    </row>
    <row r="110" spans="19:33" x14ac:dyDescent="0.35">
      <c r="AA110" s="56">
        <v>106</v>
      </c>
      <c r="AB110" s="71"/>
      <c r="AC110" s="78"/>
      <c r="AD110" s="78"/>
      <c r="AE110" s="78" t="s">
        <v>141</v>
      </c>
      <c r="AF110" s="78">
        <v>2</v>
      </c>
      <c r="AG110" s="78">
        <v>4230.08</v>
      </c>
    </row>
    <row r="111" spans="19:33" x14ac:dyDescent="0.35">
      <c r="AA111" s="56">
        <v>107</v>
      </c>
      <c r="AB111" s="71"/>
      <c r="AC111" s="78"/>
      <c r="AD111" s="78"/>
      <c r="AE111" s="78" t="s">
        <v>130</v>
      </c>
      <c r="AF111" s="78">
        <v>2</v>
      </c>
      <c r="AG111" s="78">
        <v>2499.5</v>
      </c>
    </row>
    <row r="112" spans="19:33" x14ac:dyDescent="0.35">
      <c r="AA112" s="56">
        <v>108</v>
      </c>
      <c r="AB112" s="71"/>
      <c r="AC112" s="78"/>
      <c r="AD112" s="78"/>
      <c r="AE112" s="78" t="s">
        <v>142</v>
      </c>
      <c r="AF112" s="78">
        <v>1</v>
      </c>
      <c r="AG112" s="78">
        <v>1339.59</v>
      </c>
    </row>
    <row r="113" spans="27:33" x14ac:dyDescent="0.35">
      <c r="AA113" s="56">
        <v>109</v>
      </c>
      <c r="AB113" s="71"/>
      <c r="AC113" s="78"/>
      <c r="AD113" s="78"/>
      <c r="AE113" s="78" t="s">
        <v>114</v>
      </c>
      <c r="AF113" s="78">
        <v>1</v>
      </c>
      <c r="AG113" s="78">
        <v>1062.02</v>
      </c>
    </row>
    <row r="114" spans="27:33" x14ac:dyDescent="0.35">
      <c r="AA114" s="56">
        <v>110</v>
      </c>
      <c r="AB114" s="71"/>
      <c r="AC114" s="78"/>
      <c r="AD114" s="78"/>
      <c r="AE114" s="78" t="s">
        <v>121</v>
      </c>
      <c r="AF114" s="78">
        <v>1</v>
      </c>
      <c r="AG114" s="78">
        <v>1254.04</v>
      </c>
    </row>
    <row r="115" spans="27:33" x14ac:dyDescent="0.35">
      <c r="AA115" s="56">
        <v>111</v>
      </c>
      <c r="AB115" s="71"/>
      <c r="AC115" s="78"/>
      <c r="AD115" s="78"/>
      <c r="AE115" s="78" t="s">
        <v>143</v>
      </c>
      <c r="AF115" s="78">
        <v>1</v>
      </c>
      <c r="AG115" s="78">
        <v>2017.66</v>
      </c>
    </row>
    <row r="116" spans="27:33" x14ac:dyDescent="0.35">
      <c r="AA116" s="56">
        <v>112</v>
      </c>
      <c r="AB116" s="71"/>
      <c r="AC116" s="78"/>
      <c r="AD116" s="78"/>
      <c r="AE116" s="78" t="s">
        <v>131</v>
      </c>
      <c r="AF116" s="78">
        <v>1</v>
      </c>
      <c r="AG116" s="78">
        <v>2455.4</v>
      </c>
    </row>
    <row r="117" spans="27:33" x14ac:dyDescent="0.35">
      <c r="AA117" s="56">
        <v>113</v>
      </c>
      <c r="AB117" s="71"/>
      <c r="AC117" s="78"/>
      <c r="AD117" s="78"/>
      <c r="AE117" s="78" t="s">
        <v>132</v>
      </c>
      <c r="AF117" s="78">
        <v>1</v>
      </c>
      <c r="AG117" s="78">
        <v>3228.56</v>
      </c>
    </row>
    <row r="118" spans="27:33" x14ac:dyDescent="0.35">
      <c r="AA118" s="56">
        <v>114</v>
      </c>
      <c r="AB118" s="71"/>
      <c r="AC118" s="78"/>
      <c r="AD118" s="78"/>
      <c r="AE118" s="78"/>
      <c r="AF118" s="78"/>
      <c r="AG118" s="78"/>
    </row>
    <row r="119" spans="27:33" ht="15" thickBot="1" x14ac:dyDescent="0.4">
      <c r="AA119" s="53">
        <v>115</v>
      </c>
      <c r="AB119" s="74"/>
      <c r="AC119" s="99"/>
      <c r="AD119" s="99"/>
      <c r="AE119" s="99"/>
      <c r="AF119" s="99"/>
      <c r="AG119" s="99"/>
    </row>
    <row r="141" spans="20:25" x14ac:dyDescent="0.35">
      <c r="T141" s="102"/>
      <c r="U141" s="4"/>
      <c r="V141" s="103"/>
      <c r="W141" s="103"/>
      <c r="X141" s="4"/>
      <c r="Y141" s="103"/>
    </row>
    <row r="142" spans="20:25" x14ac:dyDescent="0.35">
      <c r="T142" s="102"/>
      <c r="U142" s="4"/>
      <c r="V142" s="103"/>
      <c r="W142" s="103"/>
      <c r="X142" s="4"/>
      <c r="Y142" s="103"/>
    </row>
    <row r="143" spans="20:25" x14ac:dyDescent="0.35">
      <c r="T143" s="102"/>
      <c r="U143" s="4"/>
      <c r="V143" s="103"/>
      <c r="W143" s="103"/>
      <c r="X143" s="4"/>
      <c r="Y143" s="103"/>
    </row>
    <row r="144" spans="20:25" x14ac:dyDescent="0.35">
      <c r="T144" s="102"/>
      <c r="U144" s="4"/>
      <c r="V144" s="103"/>
      <c r="W144" s="103"/>
      <c r="X144" s="4"/>
      <c r="Y144" s="103"/>
    </row>
    <row r="145" spans="20:25" x14ac:dyDescent="0.35">
      <c r="T145" s="102"/>
      <c r="U145" s="4"/>
      <c r="V145" s="103"/>
      <c r="W145" s="103"/>
      <c r="X145" s="4"/>
      <c r="Y145" s="103"/>
    </row>
    <row r="146" spans="20:25" x14ac:dyDescent="0.35">
      <c r="T146" s="102"/>
      <c r="U146" s="4"/>
      <c r="V146" s="103"/>
      <c r="W146" s="103"/>
      <c r="X146" s="4"/>
      <c r="Y146" s="103"/>
    </row>
    <row r="147" spans="20:25" x14ac:dyDescent="0.35">
      <c r="T147" s="102"/>
      <c r="U147" s="4"/>
      <c r="V147" s="103"/>
      <c r="W147" s="103"/>
      <c r="X147" s="4"/>
      <c r="Y147" s="103"/>
    </row>
    <row r="148" spans="20:25" x14ac:dyDescent="0.35">
      <c r="T148" s="102"/>
      <c r="U148" s="4"/>
      <c r="V148" s="103"/>
      <c r="W148" s="103"/>
      <c r="X148" s="4"/>
      <c r="Y148" s="103"/>
    </row>
    <row r="149" spans="20:25" x14ac:dyDescent="0.35">
      <c r="T149" s="102"/>
      <c r="U149" s="4"/>
      <c r="V149" s="103"/>
      <c r="W149" s="103"/>
      <c r="X149" s="4"/>
      <c r="Y149" s="103"/>
    </row>
    <row r="150" spans="20:25" x14ac:dyDescent="0.35">
      <c r="T150" s="102"/>
      <c r="U150" s="4"/>
      <c r="V150" s="103"/>
      <c r="W150" s="103"/>
      <c r="X150" s="4"/>
      <c r="Y150" s="103"/>
    </row>
    <row r="151" spans="20:25" x14ac:dyDescent="0.35">
      <c r="T151" s="102"/>
      <c r="U151" s="4"/>
      <c r="V151" s="103"/>
      <c r="W151" s="103"/>
      <c r="X151" s="4"/>
      <c r="Y151" s="103"/>
    </row>
    <row r="152" spans="20:25" x14ac:dyDescent="0.35">
      <c r="T152" s="102"/>
      <c r="U152" s="4"/>
      <c r="V152" s="103"/>
      <c r="W152" s="103"/>
      <c r="X152" s="4"/>
      <c r="Y152" s="103"/>
    </row>
    <row r="153" spans="20:25" x14ac:dyDescent="0.35">
      <c r="T153" s="102"/>
      <c r="U153" s="4"/>
      <c r="V153" s="103"/>
      <c r="W153" s="103"/>
      <c r="X153" s="4"/>
      <c r="Y153" s="103"/>
    </row>
    <row r="154" spans="20:25" x14ac:dyDescent="0.35">
      <c r="T154" s="102"/>
      <c r="U154" s="4"/>
      <c r="V154" s="103"/>
      <c r="W154" s="103"/>
      <c r="X154" s="4"/>
      <c r="Y154" s="103"/>
    </row>
    <row r="155" spans="20:25" x14ac:dyDescent="0.35">
      <c r="T155" s="102"/>
      <c r="U155" s="4"/>
      <c r="V155" s="103"/>
      <c r="W155" s="103"/>
      <c r="X155" s="4"/>
      <c r="Y155" s="103"/>
    </row>
    <row r="156" spans="20:25" x14ac:dyDescent="0.35">
      <c r="T156" s="102"/>
      <c r="U156" s="4"/>
      <c r="V156" s="103"/>
      <c r="W156" s="103"/>
      <c r="X156" s="4"/>
      <c r="Y156" s="103"/>
    </row>
    <row r="157" spans="20:25" x14ac:dyDescent="0.35">
      <c r="T157" s="102"/>
      <c r="U157" s="4"/>
      <c r="V157" s="103"/>
      <c r="W157" s="103"/>
      <c r="X157" s="4"/>
      <c r="Y157" s="103"/>
    </row>
    <row r="158" spans="20:25" x14ac:dyDescent="0.35">
      <c r="T158" s="102"/>
      <c r="U158" s="4"/>
      <c r="V158" s="103"/>
      <c r="W158" s="103"/>
      <c r="X158" s="4"/>
      <c r="Y158" s="103"/>
    </row>
    <row r="159" spans="20:25" x14ac:dyDescent="0.35">
      <c r="T159" s="102"/>
      <c r="U159" s="4"/>
      <c r="V159" s="103"/>
      <c r="W159" s="103"/>
      <c r="X159" s="4"/>
      <c r="Y159" s="103"/>
    </row>
    <row r="160" spans="20:25" x14ac:dyDescent="0.35">
      <c r="T160" s="102"/>
      <c r="U160" s="4"/>
      <c r="V160" s="103"/>
      <c r="W160" s="103"/>
      <c r="X160" s="4"/>
      <c r="Y160" s="103"/>
    </row>
    <row r="161" spans="20:25" x14ac:dyDescent="0.35">
      <c r="T161" s="102"/>
      <c r="U161" s="4"/>
      <c r="V161" s="103"/>
      <c r="W161" s="103"/>
      <c r="X161" s="4"/>
      <c r="Y161" s="103"/>
    </row>
    <row r="162" spans="20:25" x14ac:dyDescent="0.35">
      <c r="T162" s="102"/>
      <c r="U162" s="4"/>
      <c r="V162" s="103"/>
      <c r="W162" s="103"/>
      <c r="X162" s="4"/>
      <c r="Y162" s="103"/>
    </row>
  </sheetData>
  <mergeCells count="4">
    <mergeCell ref="U2:V2"/>
    <mergeCell ref="X2:Y2"/>
    <mergeCell ref="AC2:AD2"/>
    <mergeCell ref="AF2:AG2"/>
  </mergeCells>
  <conditionalFormatting sqref="B22:M31">
    <cfRule type="cellIs" dxfId="1" priority="2" operator="lessThan">
      <formula>0</formula>
    </cfRule>
  </conditionalFormatting>
  <conditionalFormatting sqref="B59:M67">
    <cfRule type="cellIs" dxfId="0" priority="1" operator="lessThan">
      <formula>0</formula>
    </cfRule>
  </conditionalFormatting>
  <pageMargins left="0.7" right="0.7" top="0.75" bottom="0.75" header="0.3" footer="0.3"/>
  <pageSetup paperSize="9" scale="84" orientation="landscape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7F7ED249994084FB1BD5F104C14D31D" ma:contentTypeVersion="21" ma:contentTypeDescription="Create a new document." ma:contentTypeScope="" ma:versionID="e3b94d377f9b2fef6e84efd8f6184238">
  <xsd:schema xmlns:xsd="http://www.w3.org/2001/XMLSchema" xmlns:xs="http://www.w3.org/2001/XMLSchema" xmlns:p="http://schemas.microsoft.com/office/2006/metadata/properties" xmlns:ns2="3d024dc7-c06c-4287-9da2-76626ea7d667" xmlns:ns3="88ab4efc-89c4-48ce-a062-30b87be7cab9" targetNamespace="http://schemas.microsoft.com/office/2006/metadata/properties" ma:root="true" ma:fieldsID="99468e2917985b57599b6a7590ef299c" ns2:_="" ns3:_="">
    <xsd:import namespace="3d024dc7-c06c-4287-9da2-76626ea7d667"/>
    <xsd:import namespace="88ab4efc-89c4-48ce-a062-30b87be7cab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3:TaxCatchAll" minOccurs="0"/>
                <xsd:element ref="ns2:lcf76f155ced4ddcb4097134ff3c332f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024dc7-c06c-4287-9da2-76626ea7d66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86233aa0-865f-4940-aba4-c46f3b5ddc6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8ab4efc-89c4-48ce-a062-30b87be7cab9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6a5ae7a8-7f52-4755-9e69-10d31dbdf1f9}" ma:internalName="TaxCatchAll" ma:showField="CatchAllData" ma:web="88ab4efc-89c4-48ce-a062-30b87be7cab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8ab4efc-89c4-48ce-a062-30b87be7cab9" xsi:nil="true"/>
    <lcf76f155ced4ddcb4097134ff3c332f xmlns="3d024dc7-c06c-4287-9da2-76626ea7d667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EB2E081-0FF7-4BAF-8536-E30EB2056FEF}"/>
</file>

<file path=customXml/itemProps2.xml><?xml version="1.0" encoding="utf-8"?>
<ds:datastoreItem xmlns:ds="http://schemas.openxmlformats.org/officeDocument/2006/customXml" ds:itemID="{BA015415-6687-458D-9C72-A056270674DF}"/>
</file>

<file path=customXml/itemProps3.xml><?xml version="1.0" encoding="utf-8"?>
<ds:datastoreItem xmlns:ds="http://schemas.openxmlformats.org/officeDocument/2006/customXml" ds:itemID="{4188718F-BF4F-4441-9B66-08299687C1B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Nationality (Month )2025</vt:lpstr>
      <vt:lpstr>Nationality (Month )2026</vt:lpstr>
      <vt:lpstr>Nationality( 2026vs2025)</vt:lpstr>
      <vt:lpstr>'Nationality( 2026vs2025)'!Print_Area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Pimchanat WALAISRI</dc:creator>
  <cp:keywords/>
  <dc:description/>
  <cp:lastModifiedBy>Ariya Ariyachotima</cp:lastModifiedBy>
  <cp:revision/>
  <dcterms:created xsi:type="dcterms:W3CDTF">2023-02-14T02:31:21Z</dcterms:created>
  <dcterms:modified xsi:type="dcterms:W3CDTF">2026-07-13T03:30:56Z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  <property fmtid="{D5CDD505-2E9C-101B-9397-08002B2CF9AE}" pid="4" name="ContentTypeId">
    <vt:lpwstr>0x01010087F7ED249994084FB1BD5F104C14D31D</vt:lpwstr>
  </property>
</Properties>
</file>