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-my.sharepoint.com/personal/natthaphat_s_the-ascott_com/Documents/Desktop/"/>
    </mc:Choice>
  </mc:AlternateContent>
  <xr:revisionPtr revIDLastSave="35" documentId="8_{57F533AD-EE44-4E7F-AF73-E6CF54D46E52}" xr6:coauthVersionLast="47" xr6:coauthVersionMax="47" xr10:uidLastSave="{6C0C8A74-A0B3-454A-AA38-AC1C3D50164A}"/>
  <bookViews>
    <workbookView xWindow="-108" yWindow="-108" windowWidth="23256" windowHeight="13896" xr2:uid="{80CE5BA4-AE6F-4AFA-8BD5-ECEAFBF58909}"/>
  </bookViews>
  <sheets>
    <sheet name="2025 Overall by Segment mix " sheetId="2" r:id="rId1"/>
  </sheets>
  <externalReferences>
    <externalReference r:id="rId2"/>
    <externalReference r:id="rId3"/>
    <externalReference r:id="rId4"/>
    <externalReference r:id="rId5"/>
  </externalReferences>
  <definedNames>
    <definedName name="_Key1" hidden="1">#REF!</definedName>
    <definedName name="_Order1" hidden="1">255</definedName>
    <definedName name="_Sort" hidden="1">#REF!</definedName>
    <definedName name="_TB02">#REF!</definedName>
    <definedName name="ar_prev">'[1]Balance sheet'!#REF!</definedName>
    <definedName name="budREV">[2]Setup!$AO$82:$BB$101</definedName>
    <definedName name="budRN">[2]Setup!$AO$57:$BB$76</definedName>
    <definedName name="Cr">#REF!</definedName>
    <definedName name="Credit">#REF!</definedName>
    <definedName name="CY_Forecast">[3]Setup!$O$3</definedName>
    <definedName name="date13">[2]TY!$G$22:$G$387</definedName>
    <definedName name="Debit">#REF!</definedName>
    <definedName name="Debits">#REF!</definedName>
    <definedName name="dow">[2]Setup!$X$5:$Y$372</definedName>
    <definedName name="Dr">#REF!</definedName>
    <definedName name="EIGHT">#REF!</definedName>
    <definedName name="events">[2]Setup!$P$6:$R$373</definedName>
    <definedName name="FIVE">#REF!</definedName>
    <definedName name="FOUR">#REF!</definedName>
    <definedName name="IMP_FILE_LOC">[3]Setup_MC!$B$12</definedName>
    <definedName name="IMP_SHT_LOC">[3]Setup_MC!$B$25</definedName>
    <definedName name="M">[2]Setup!$AB$21:$AC$32</definedName>
    <definedName name="Mar">#REF!</definedName>
    <definedName name="Meeting_PACK">#REF!</definedName>
    <definedName name="Month_2">[2]Setup!$AB$8:$AC$19</definedName>
    <definedName name="Months">[2]Setup!$AC$8:$AC$19</definedName>
    <definedName name="mth_table">[4]List!$I$2:$J$13</definedName>
    <definedName name="NINE">#REF!</definedName>
    <definedName name="No_Of_Actual">[3]Setup!$Q$3</definedName>
    <definedName name="ONE">#REF!</definedName>
    <definedName name="rc_prev">'[1]Balance sheet'!#REF!</definedName>
    <definedName name="rev">[2]TY!$AB$22:$AT$387</definedName>
    <definedName name="rms">[2]TY!$J$22:$AA$387</definedName>
    <definedName name="Rooms">#REF!</definedName>
    <definedName name="seg">[2]TY!$J$20:$AA$20</definedName>
    <definedName name="segrev">[2]TY!$AB$20:$AT$20</definedName>
    <definedName name="SelectYear">#REF!</definedName>
    <definedName name="SEVEN">#REF!</definedName>
    <definedName name="SIX">#REF!</definedName>
    <definedName name="THREE">#REF!</definedName>
    <definedName name="TWO">#REF!</definedName>
    <definedName name="wrn.PL._.trend." hidden="1">{"Jan-June",#N/A,FALSE,"Sheet4";"Jul-Dec",#N/A,FALSE,"Sheet4"}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2" l="1"/>
  <c r="AF7" i="2" l="1"/>
  <c r="AF8" i="2"/>
  <c r="AF9" i="2"/>
  <c r="AF10" i="2"/>
  <c r="AF11" i="2"/>
  <c r="AF12" i="2"/>
  <c r="AF13" i="2"/>
  <c r="AF14" i="2"/>
  <c r="AF6" i="2"/>
  <c r="AF15" i="2" s="1"/>
  <c r="AE7" i="2"/>
  <c r="AE8" i="2"/>
  <c r="AE9" i="2"/>
  <c r="AE10" i="2"/>
  <c r="AE11" i="2"/>
  <c r="AE12" i="2"/>
  <c r="AE13" i="2"/>
  <c r="AE14" i="2"/>
  <c r="AE6" i="2"/>
  <c r="AA7" i="2"/>
  <c r="AA8" i="2"/>
  <c r="AA9" i="2"/>
  <c r="AA10" i="2"/>
  <c r="AA11" i="2"/>
  <c r="AA12" i="2"/>
  <c r="AA13" i="2"/>
  <c r="AA14" i="2"/>
  <c r="AA6" i="2"/>
  <c r="Z7" i="2"/>
  <c r="Z8" i="2"/>
  <c r="Z9" i="2"/>
  <c r="Z10" i="2"/>
  <c r="Z11" i="2"/>
  <c r="Z12" i="2"/>
  <c r="Z13" i="2"/>
  <c r="Z14" i="2"/>
  <c r="Z6" i="2"/>
  <c r="V7" i="2"/>
  <c r="V8" i="2"/>
  <c r="V9" i="2"/>
  <c r="V10" i="2"/>
  <c r="V11" i="2"/>
  <c r="V12" i="2"/>
  <c r="V13" i="2"/>
  <c r="V14" i="2"/>
  <c r="V6" i="2"/>
  <c r="U7" i="2"/>
  <c r="U8" i="2"/>
  <c r="U9" i="2"/>
  <c r="U10" i="2"/>
  <c r="U11" i="2"/>
  <c r="U12" i="2"/>
  <c r="U13" i="2"/>
  <c r="U14" i="2"/>
  <c r="U6" i="2"/>
  <c r="Q7" i="2"/>
  <c r="Q8" i="2"/>
  <c r="Q9" i="2"/>
  <c r="Q10" i="2"/>
  <c r="Q11" i="2"/>
  <c r="Q12" i="2"/>
  <c r="Q13" i="2"/>
  <c r="Q14" i="2"/>
  <c r="Q6" i="2"/>
  <c r="P7" i="2"/>
  <c r="P8" i="2"/>
  <c r="P9" i="2"/>
  <c r="P10" i="2"/>
  <c r="P11" i="2"/>
  <c r="P12" i="2"/>
  <c r="P13" i="2"/>
  <c r="P14" i="2"/>
  <c r="P6" i="2"/>
  <c r="L7" i="2"/>
  <c r="L8" i="2"/>
  <c r="L9" i="2"/>
  <c r="L10" i="2"/>
  <c r="L11" i="2"/>
  <c r="L12" i="2"/>
  <c r="L13" i="2"/>
  <c r="L14" i="2"/>
  <c r="L6" i="2"/>
  <c r="K7" i="2"/>
  <c r="K8" i="2"/>
  <c r="K9" i="2"/>
  <c r="K10" i="2"/>
  <c r="K11" i="2"/>
  <c r="K12" i="2"/>
  <c r="K13" i="2"/>
  <c r="K14" i="2"/>
  <c r="K6" i="2"/>
  <c r="G7" i="2"/>
  <c r="G15" i="2" s="1"/>
  <c r="G8" i="2"/>
  <c r="G9" i="2"/>
  <c r="G10" i="2"/>
  <c r="G11" i="2"/>
  <c r="G12" i="2"/>
  <c r="G13" i="2"/>
  <c r="G14" i="2"/>
  <c r="F7" i="2"/>
  <c r="F8" i="2"/>
  <c r="F9" i="2"/>
  <c r="F10" i="2"/>
  <c r="F11" i="2"/>
  <c r="F12" i="2"/>
  <c r="F13" i="2"/>
  <c r="F14" i="2"/>
  <c r="F6" i="2"/>
  <c r="F15" i="2" s="1"/>
  <c r="AE15" i="2" l="1"/>
  <c r="AA15" i="2"/>
  <c r="V15" i="2"/>
  <c r="U15" i="2"/>
  <c r="Q15" i="2"/>
  <c r="K15" i="2"/>
  <c r="P15" i="2"/>
  <c r="L15" i="2"/>
  <c r="Z15" i="2"/>
  <c r="AK12" i="2"/>
  <c r="AK11" i="2"/>
  <c r="AK8" i="2"/>
  <c r="AL12" i="2"/>
  <c r="AK9" i="2" l="1"/>
  <c r="AK7" i="2"/>
  <c r="AK13" i="2"/>
  <c r="AK14" i="2"/>
  <c r="AK6" i="2"/>
  <c r="AK10" i="2"/>
  <c r="AL13" i="2"/>
  <c r="AL10" i="2"/>
  <c r="AL11" i="2"/>
  <c r="AL9" i="2"/>
  <c r="AL6" i="2"/>
  <c r="AL7" i="2"/>
  <c r="AL14" i="2"/>
  <c r="AL8" i="2"/>
  <c r="AK15" i="2" l="1"/>
  <c r="AL15" i="2"/>
</calcChain>
</file>

<file path=xl/sharedStrings.xml><?xml version="1.0" encoding="utf-8"?>
<sst xmlns="http://schemas.openxmlformats.org/spreadsheetml/2006/main" count="61" uniqueCount="19">
  <si>
    <t>Main Market Segment</t>
  </si>
  <si>
    <t>RNs</t>
  </si>
  <si>
    <t>ADR</t>
  </si>
  <si>
    <t>Revenue</t>
  </si>
  <si>
    <t>Mix RNs</t>
  </si>
  <si>
    <t>Mix Rev</t>
  </si>
  <si>
    <t>Corporate Short stay</t>
  </si>
  <si>
    <t>Corporate Long stay</t>
  </si>
  <si>
    <t>Online Business (Dynamic Rate)</t>
  </si>
  <si>
    <t>ASR</t>
  </si>
  <si>
    <t>Wholesale (Static Rate)</t>
  </si>
  <si>
    <t>Wholesale Group</t>
  </si>
  <si>
    <t>Corporate Group</t>
  </si>
  <si>
    <t>Medical</t>
  </si>
  <si>
    <t>Employee Travel</t>
  </si>
  <si>
    <t xml:space="preserve">Total
(excluding Comp, HU and System) </t>
  </si>
  <si>
    <t>Other 
(Comp, HU and System Use)</t>
  </si>
  <si>
    <t>Year To Date 2025</t>
  </si>
  <si>
    <t>Ascott Embassy Sathorn Bangkok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</si>
</sst>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mm\ yyyy"/>
    <numFmt numFmtId="165" formatCode="_(* #,##0_);_(* \(#,##0\);_(* &quot;-&quot;??_);_(@_)"/>
    <numFmt numFmtId="166" formatCode="0.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0000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72">
    <xf numFmtId="0" fontId="0" fillId="0" borderId="0" xfId="0"/>
    <xf numFmtId="0" fontId="4" fillId="0" borderId="0" xfId="0" applyFont="1"/>
    <xf numFmtId="164" fontId="4" fillId="0" borderId="0" xfId="0" applyNumberFormat="1" applyFont="1" applyAlignment="1">
      <alignment horizontal="left"/>
    </xf>
    <xf numFmtId="0" fontId="5" fillId="2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65" fontId="7" fillId="0" borderId="5" xfId="0" applyNumberFormat="1" applyFont="1" applyBorder="1"/>
    <xf numFmtId="165" fontId="7" fillId="0" borderId="5" xfId="1" applyNumberFormat="1" applyFont="1" applyFill="1" applyBorder="1"/>
    <xf numFmtId="165" fontId="9" fillId="0" borderId="5" xfId="0" applyNumberFormat="1" applyFont="1" applyBorder="1"/>
    <xf numFmtId="165" fontId="0" fillId="0" borderId="0" xfId="1" applyNumberFormat="1" applyFont="1" applyFill="1" applyBorder="1"/>
    <xf numFmtId="10" fontId="12" fillId="0" borderId="0" xfId="0" applyNumberFormat="1" applyFont="1" applyAlignment="1">
      <alignment horizontal="right"/>
    </xf>
    <xf numFmtId="166" fontId="2" fillId="0" borderId="0" xfId="2" applyNumberFormat="1" applyFont="1" applyFill="1"/>
    <xf numFmtId="165" fontId="2" fillId="0" borderId="0" xfId="1" applyNumberFormat="1" applyFont="1" applyFill="1"/>
    <xf numFmtId="165" fontId="7" fillId="3" borderId="5" xfId="0" applyNumberFormat="1" applyFont="1" applyFill="1" applyBorder="1"/>
    <xf numFmtId="165" fontId="7" fillId="3" borderId="5" xfId="1" applyNumberFormat="1" applyFont="1" applyFill="1" applyBorder="1"/>
    <xf numFmtId="165" fontId="9" fillId="3" borderId="5" xfId="0" applyNumberFormat="1" applyFont="1" applyFill="1" applyBorder="1"/>
    <xf numFmtId="166" fontId="7" fillId="3" borderId="5" xfId="2" applyNumberFormat="1" applyFont="1" applyFill="1" applyBorder="1"/>
    <xf numFmtId="9" fontId="9" fillId="3" borderId="5" xfId="2" applyFont="1" applyFill="1" applyBorder="1"/>
    <xf numFmtId="166" fontId="9" fillId="3" borderId="5" xfId="2" applyNumberFormat="1" applyFont="1" applyFill="1" applyBorder="1"/>
    <xf numFmtId="0" fontId="4" fillId="0" borderId="0" xfId="0" applyFont="1" applyAlignment="1">
      <alignment horizontal="left"/>
    </xf>
    <xf numFmtId="165" fontId="7" fillId="0" borderId="11" xfId="2" applyNumberFormat="1" applyFont="1" applyFill="1" applyBorder="1"/>
    <xf numFmtId="165" fontId="7" fillId="0" borderId="12" xfId="0" applyNumberFormat="1" applyFont="1" applyBorder="1"/>
    <xf numFmtId="165" fontId="7" fillId="0" borderId="11" xfId="0" applyNumberFormat="1" applyFont="1" applyBorder="1"/>
    <xf numFmtId="165" fontId="7" fillId="0" borderId="12" xfId="1" applyNumberFormat="1" applyFont="1" applyFill="1" applyBorder="1"/>
    <xf numFmtId="165" fontId="7" fillId="0" borderId="13" xfId="0" applyNumberFormat="1" applyFont="1" applyBorder="1"/>
    <xf numFmtId="165" fontId="7" fillId="0" borderId="15" xfId="1" applyNumberFormat="1" applyFont="1" applyFill="1" applyBorder="1"/>
    <xf numFmtId="10" fontId="2" fillId="0" borderId="0" xfId="0" applyNumberFormat="1" applyFont="1"/>
    <xf numFmtId="165" fontId="7" fillId="3" borderId="14" xfId="1" applyNumberFormat="1" applyFont="1" applyFill="1" applyBorder="1"/>
    <xf numFmtId="0" fontId="10" fillId="0" borderId="0" xfId="0" quotePrefix="1" applyFont="1" applyAlignment="1">
      <alignment horizontal="center"/>
    </xf>
    <xf numFmtId="0" fontId="8" fillId="3" borderId="1" xfId="3" applyFont="1" applyFill="1" applyBorder="1" applyAlignment="1">
      <alignment horizontal="center" vertical="center" wrapText="1"/>
    </xf>
    <xf numFmtId="165" fontId="7" fillId="0" borderId="3" xfId="0" applyNumberFormat="1" applyFont="1" applyBorder="1"/>
    <xf numFmtId="165" fontId="9" fillId="0" borderId="3" xfId="0" applyNumberFormat="1" applyFont="1" applyBorder="1"/>
    <xf numFmtId="0" fontId="5" fillId="2" borderId="4" xfId="0" applyFont="1" applyFill="1" applyBorder="1" applyAlignment="1">
      <alignment horizontal="center"/>
    </xf>
    <xf numFmtId="165" fontId="11" fillId="0" borderId="16" xfId="2" applyNumberFormat="1" applyFont="1" applyBorder="1"/>
    <xf numFmtId="165" fontId="7" fillId="3" borderId="17" xfId="0" applyNumberFormat="1" applyFont="1" applyFill="1" applyBorder="1"/>
    <xf numFmtId="166" fontId="7" fillId="3" borderId="18" xfId="2" applyNumberFormat="1" applyFont="1" applyFill="1" applyBorder="1"/>
    <xf numFmtId="165" fontId="11" fillId="0" borderId="11" xfId="0" applyNumberFormat="1" applyFont="1" applyBorder="1"/>
    <xf numFmtId="166" fontId="7" fillId="3" borderId="12" xfId="2" applyNumberFormat="1" applyFont="1" applyFill="1" applyBorder="1"/>
    <xf numFmtId="165" fontId="9" fillId="0" borderId="11" xfId="0" applyNumberFormat="1" applyFont="1" applyBorder="1"/>
    <xf numFmtId="9" fontId="9" fillId="3" borderId="12" xfId="2" applyFont="1" applyFill="1" applyBorder="1"/>
    <xf numFmtId="165" fontId="7" fillId="3" borderId="15" xfId="1" applyNumberFormat="1" applyFont="1" applyFill="1" applyBorder="1"/>
    <xf numFmtId="165" fontId="7" fillId="0" borderId="16" xfId="2" applyNumberFormat="1" applyFont="1" applyFill="1" applyBorder="1"/>
    <xf numFmtId="165" fontId="7" fillId="0" borderId="18" xfId="0" applyNumberFormat="1" applyFont="1" applyBorder="1"/>
    <xf numFmtId="10" fontId="2" fillId="0" borderId="0" xfId="0" applyNumberFormat="1" applyFont="1" applyAlignment="1">
      <alignment horizontal="right" vertical="center"/>
    </xf>
    <xf numFmtId="165" fontId="11" fillId="0" borderId="16" xfId="2" applyNumberFormat="1" applyFont="1" applyFill="1" applyBorder="1"/>
    <xf numFmtId="165" fontId="11" fillId="0" borderId="18" xfId="0" applyNumberFormat="1" applyFont="1" applyBorder="1"/>
    <xf numFmtId="165" fontId="11" fillId="0" borderId="12" xfId="1" applyNumberFormat="1" applyFont="1" applyFill="1" applyBorder="1"/>
    <xf numFmtId="0" fontId="5" fillId="2" borderId="7" xfId="0" applyFont="1" applyFill="1" applyBorder="1" applyAlignment="1">
      <alignment horizontal="center"/>
    </xf>
    <xf numFmtId="166" fontId="7" fillId="3" borderId="19" xfId="2" applyNumberFormat="1" applyFont="1" applyFill="1" applyBorder="1"/>
    <xf numFmtId="166" fontId="7" fillId="3" borderId="1" xfId="2" applyNumberFormat="1" applyFont="1" applyFill="1" applyBorder="1"/>
    <xf numFmtId="9" fontId="9" fillId="3" borderId="1" xfId="2" applyFont="1" applyFill="1" applyBorder="1"/>
    <xf numFmtId="165" fontId="7" fillId="3" borderId="8" xfId="1" applyNumberFormat="1" applyFont="1" applyFill="1" applyBorder="1"/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166" fontId="7" fillId="3" borderId="3" xfId="2" applyNumberFormat="1" applyFont="1" applyFill="1" applyBorder="1"/>
    <xf numFmtId="9" fontId="9" fillId="3" borderId="3" xfId="2" applyFont="1" applyFill="1" applyBorder="1"/>
    <xf numFmtId="165" fontId="7" fillId="3" borderId="20" xfId="1" applyNumberFormat="1" applyFont="1" applyFill="1" applyBorder="1"/>
    <xf numFmtId="0" fontId="5" fillId="2" borderId="24" xfId="0" applyFont="1" applyFill="1" applyBorder="1" applyAlignment="1">
      <alignment horizontal="center"/>
    </xf>
    <xf numFmtId="165" fontId="9" fillId="0" borderId="12" xfId="0" applyNumberFormat="1" applyFont="1" applyBorder="1"/>
    <xf numFmtId="166" fontId="7" fillId="3" borderId="25" xfId="2" applyNumberFormat="1" applyFont="1" applyFill="1" applyBorder="1"/>
    <xf numFmtId="165" fontId="7" fillId="0" borderId="3" xfId="2" applyNumberFormat="1" applyFont="1" applyBorder="1"/>
    <xf numFmtId="0" fontId="8" fillId="3" borderId="9" xfId="3" applyFont="1" applyFill="1" applyBorder="1" applyAlignment="1">
      <alignment horizontal="center" vertical="center" wrapText="1"/>
    </xf>
    <xf numFmtId="0" fontId="8" fillId="3" borderId="10" xfId="3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17" fontId="5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7" fontId="5" fillId="2" borderId="21" xfId="0" applyNumberFormat="1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/>
    </xf>
  </cellXfs>
  <cellStyles count="4">
    <cellStyle name="Comma" xfId="1" builtinId="3"/>
    <cellStyle name="Normal" xfId="0" builtinId="0"/>
    <cellStyle name="Normal 2 3" xfId="3" xr:uid="{FCCC3258-4889-4665-8B53-0107C6111B52}"/>
    <cellStyle name="Percent" xfId="2" builtinId="5"/>
  </cellStyles>
  <dxfs count="13">
    <dxf>
      <font>
        <color theme="7" tint="0.59996337778862885"/>
      </font>
    </dxf>
    <dxf>
      <font>
        <color theme="0"/>
      </font>
    </dxf>
    <dxf>
      <font>
        <color theme="8" tint="0.59996337778862885"/>
      </font>
    </dxf>
    <dxf>
      <font>
        <color theme="0"/>
      </font>
    </dxf>
    <dxf>
      <font>
        <color theme="8" tint="0.59996337778862885"/>
      </font>
    </dxf>
    <dxf>
      <font>
        <color theme="0"/>
      </font>
    </dxf>
    <dxf>
      <font>
        <color theme="8" tint="0.59996337778862885"/>
      </font>
    </dxf>
    <dxf>
      <font>
        <color theme="0"/>
      </font>
    </dxf>
    <dxf>
      <font>
        <color theme="8" tint="0.59996337778862885"/>
      </font>
    </dxf>
    <dxf>
      <font>
        <color theme="0"/>
      </font>
    </dxf>
    <dxf>
      <font>
        <color theme="8" tint="0.59996337778862885"/>
      </font>
    </dxf>
    <dxf>
      <font>
        <color theme="0"/>
      </font>
    </dxf>
    <dxf>
      <font>
        <color theme="8" tint="0.5999633777886288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ananh\c\Balance%2001\Dec'01%20B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l.sharepoint.com/personal/phenyanit_l_clwebacc_com/Documents/SEB/HQ%20reports/Forecast_V6%20(3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l.sharepoint.com/Users/ASUS/OneDrive/Desktop/Work%20SEB/BGT/2022%20BGT/B%20Group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l.sharepoint.com/Users/korpatthamadilok/Desktop/08-19/ORS24%20-%20Sales%20%20Revenue%20Template%20_201908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TB"/>
      <sheetName val="MMMR"/>
      <sheetName val="NHOSPL"/>
      <sheetName val="TB (2)"/>
      <sheetName val="Deve Cost"/>
      <sheetName val="SIM"/>
      <sheetName val="Adjustment Entries"/>
      <sheetName val="Sheet13"/>
      <sheetName val="Sheet14"/>
      <sheetName val="Sheet15"/>
      <sheetName val="2009 Bgt"/>
      <sheetName val="(Dept"/>
      <sheetName val="ROOMS"/>
      <sheetName val="F&amp;B"/>
      <sheetName val="TEL"/>
      <sheetName val="BIZ"/>
      <sheetName val="LDRY"/>
      <sheetName val="R&amp;M"/>
      <sheetName val="S&amp;M"/>
      <sheetName val="ADMIN"/>
      <sheetName val="OTHER"/>
      <sheetName val="OWNER"/>
      <sheetName val="Dept)"/>
      <sheetName val="Sheet1"/>
      <sheetName val="Rev-Overview"/>
      <sheetName val="Rev-Summary"/>
      <sheetName val="Rev-Breakdown"/>
      <sheetName val="HR Info"/>
      <sheetName val="HR Info Details"/>
      <sheetName val="IT"/>
      <sheetName val="Eng Info"/>
      <sheetName val="FFE-Preopening"/>
      <sheetName val="Assumptions"/>
      <sheetName val="Depreciation Schedule"/>
      <sheetName val="POP Exp"/>
      <sheetName val="Performance"/>
      <sheetName val="月設定"/>
      <sheetName val="MTL$-INTER"/>
      <sheetName val="KASUS8"/>
      <sheetName val="KASUS10"/>
      <sheetName val="daf-3(OK)"/>
      <sheetName val="daf-7(OK)"/>
      <sheetName val="bisidev-2"/>
      <sheetName val="Reference List-Account Type "/>
      <sheetName val="Petty Cash"/>
      <sheetName val="Setup"/>
      <sheetName val="HSP(Perhitungan)"/>
      <sheetName val="harsat"/>
      <sheetName val="SE-C"/>
      <sheetName val="Kurs"/>
      <sheetName val="boq"/>
      <sheetName val="STR"/>
      <sheetName val="luar"/>
      <sheetName val="RINC hotel"/>
      <sheetName val="RINC FIN T4 "/>
      <sheetName val="RINC FIN T4  _3_"/>
      <sheetName val="RINC FIN T4  _2_"/>
      <sheetName val="k341k612"/>
      <sheetName val="WS"/>
      <sheetName val="Control_Vendor"/>
      <sheetName val="analisa"/>
      <sheetName val="bahan"/>
      <sheetName val="J"/>
      <sheetName val="Ven"/>
      <sheetName val="Material"/>
      <sheetName val="Upah"/>
      <sheetName val="rumus"/>
      <sheetName val="Sheet1 (2)"/>
      <sheetName val="FOR APPROVAL"/>
      <sheetName val="LAND VALUE"/>
      <sheetName val="Breakeven Analysis"/>
      <sheetName val="PBC - PHS"/>
      <sheetName val="Sheet2"/>
      <sheetName val="adj#5-b-2筛选底稿"/>
      <sheetName val="adj10#-b"/>
      <sheetName val="Balance_sheet"/>
      <sheetName val="TB_(2)"/>
      <sheetName val="Deve_Cost"/>
      <sheetName val="Adjustment_Entries"/>
      <sheetName val="2009_Bgt"/>
      <sheetName val="HR_Info"/>
      <sheetName val="HR_Info_Details"/>
      <sheetName val="Eng_Info"/>
      <sheetName val="Depreciation_Schedule"/>
      <sheetName val="POP_Exp"/>
      <sheetName val="Petty_Cash"/>
      <sheetName val="Reference_List-Account_Type_"/>
      <sheetName val="Cognos"/>
      <sheetName val="Settings"/>
      <sheetName val="Cashflow"/>
      <sheetName val="PRC PL"/>
      <sheetName val="LAT"/>
      <sheetName val="Check"/>
      <sheetName val="Allocation"/>
      <sheetName val="HR"/>
      <sheetName val="Sales"/>
      <sheetName val="Settlement"/>
      <sheetName val="K1-4-4"/>
      <sheetName val="master"/>
      <sheetName val="Accounts"/>
      <sheetName val="BudgetOR"/>
      <sheetName val="说明"/>
      <sheetName val="Sandi laba rugi"/>
      <sheetName val="Harga Satuan"/>
      <sheetName val="BQ-E20-02(Rp)"/>
      <sheetName val="AHS"/>
      <sheetName val="HARGA ALAT"/>
      <sheetName val="ANAM"/>
      <sheetName val="DCF"/>
      <sheetName val="MAPP"/>
      <sheetName val="rek det 1-3"/>
      <sheetName val="Actuals By AFE"/>
      <sheetName val="Input Variables"/>
      <sheetName val="Generation &amp; Fuel"/>
      <sheetName val="Projects"/>
      <sheetName val="JOB_Terms"/>
      <sheetName val="Assumption"/>
      <sheetName val="Dept"/>
      <sheetName val="UPH,BHN,ALT"/>
      <sheetName val="Analis harga"/>
      <sheetName val="BOOKING FORM"/>
      <sheetName val="Balance_sheet1"/>
      <sheetName val="TB_(2)1"/>
      <sheetName val="Deve_Cost1"/>
      <sheetName val="Adjustment_Entries1"/>
      <sheetName val="2009_Bgt1"/>
      <sheetName val="HR_Info1"/>
      <sheetName val="HR_Info_Details1"/>
      <sheetName val="Eng_Info1"/>
      <sheetName val="Depreciation_Schedule1"/>
      <sheetName val="POP_Exp1"/>
      <sheetName val="Reference_List-Account_Type_1"/>
      <sheetName val="Petty_Cash1"/>
      <sheetName val="RINC_hotel"/>
      <sheetName val="RINC_FIN_T4_"/>
      <sheetName val="RINC_FIN_T4___3_"/>
      <sheetName val="RINC_FIN_T4___2_"/>
      <sheetName val="Sheet1_(2)"/>
      <sheetName val="FOR_APPROVAL"/>
      <sheetName val="LAND_VALUE"/>
      <sheetName val="PBC_-_PHS"/>
      <sheetName val="Breakeven_Analysis"/>
      <sheetName val="PRC_PL"/>
      <sheetName val="AGTable"/>
      <sheetName val="Parameters"/>
      <sheetName val="KitchenTable"/>
      <sheetName val="Pay Schedule"/>
      <sheetName val="Rooms Table"/>
      <sheetName val="SalesTable"/>
      <sheetName val="Structure Sensitivity"/>
      <sheetName val="Old"/>
      <sheetName val="Control"/>
      <sheetName val="Operating Assumptions"/>
      <sheetName val="科目余额表"/>
      <sheetName val="科目余额表(原稿)"/>
      <sheetName val="CompanyData"/>
      <sheetName val="管理费用表"/>
      <sheetName val="Journal Listing"/>
      <sheetName val="Aging Datasheet"/>
      <sheetName val="General "/>
      <sheetName val="sel"/>
      <sheetName val="adm"/>
      <sheetName val="MovingintoHotel"/>
      <sheetName val="RecipeTest"/>
      <sheetName val="Operational Forms"/>
      <sheetName val="SpaTable"/>
      <sheetName val="Orientation"/>
      <sheetName val="Office Expense"/>
      <sheetName val="Ppty 1 - Analysis-2"/>
      <sheetName val="Cashflow(Scenario)"/>
      <sheetName val="Expense Summary"/>
      <sheetName val="Sum"/>
      <sheetName val="APT"/>
      <sheetName val="營業額"/>
      <sheetName val="銷貨成本明細"/>
      <sheetName val="Ranges1"/>
      <sheetName val="Appx B"/>
      <sheetName val="gl"/>
      <sheetName val="General"/>
      <sheetName val="Balance_sheet2"/>
      <sheetName val="TB_(2)2"/>
      <sheetName val="Deve_Cost2"/>
      <sheetName val="Adjustment_Entries2"/>
      <sheetName val="2009_Bgt2"/>
      <sheetName val="HR_Info2"/>
      <sheetName val="HR_Info_Details2"/>
      <sheetName val="Eng_Info2"/>
      <sheetName val="Depreciation_Schedule2"/>
      <sheetName val="POP_Exp2"/>
      <sheetName val="Reference_List-Account_Type_2"/>
      <sheetName val="Petty_Cash2"/>
      <sheetName val="RINC_hotel1"/>
      <sheetName val="RINC_FIN_T4_1"/>
      <sheetName val="RINC_FIN_T4___3_1"/>
      <sheetName val="RINC_FIN_T4___2_1"/>
      <sheetName val="Sheet1_(2)1"/>
      <sheetName val="FOR_APPROVAL1"/>
      <sheetName val="LAND_VALUE1"/>
      <sheetName val="PBC_-_PHS1"/>
      <sheetName val="Breakeven_Analysis1"/>
      <sheetName val="PRC_PL1"/>
      <sheetName val="Sandi_laba_rugi"/>
      <sheetName val="Harga_Satuan"/>
      <sheetName val="HARGA_ALAT"/>
      <sheetName val="rek_det_1-3"/>
      <sheetName val="Actuals_By_AFE"/>
      <sheetName val="Input_Variables"/>
      <sheetName val="Generation_&amp;_Fuel"/>
      <sheetName val="Analis_harga"/>
      <sheetName val="BOOKING_FORM"/>
      <sheetName val="Pay_Schedule"/>
      <sheetName val="Rooms_Table"/>
      <sheetName val="Structure_Sensitivity"/>
      <sheetName val="Operating_Assumptions"/>
      <sheetName val="Journal_Listing"/>
      <sheetName val="Aging_Datasheet"/>
      <sheetName val="General_"/>
      <sheetName val="Operational_Forms"/>
      <sheetName val="Office_Expense"/>
      <sheetName val="Ppty_1_-_Analysis-2"/>
      <sheetName val="Expense_Summary"/>
      <sheetName val="BII 2007"/>
      <sheetName val="Appx_B"/>
      <sheetName val="Ppty 1 - Analysis-1"/>
      <sheetName val="C"/>
      <sheetName val="Xaxis"/>
      <sheetName val="B"/>
      <sheetName val="A"/>
      <sheetName val="detail"/>
      <sheetName val="Input"/>
      <sheetName val="CFA"/>
      <sheetName val="Sales for 2001"/>
      <sheetName val="Cover"/>
      <sheetName val="U102"/>
      <sheetName val="accode"/>
      <sheetName val="Trial Balance"/>
      <sheetName val="Macro 1"/>
      <sheetName val="marco"/>
      <sheetName val="20220531_PYA"/>
      <sheetName val="20220630_PYA"/>
      <sheetName val="May 1999"/>
      <sheetName val="1-定期年金（十年期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Summary"/>
      <sheetName val="FC-ACT"/>
      <sheetName val="LY"/>
      <sheetName val="BUD"/>
      <sheetName val="Var."/>
      <sheetName val="Occ"/>
      <sheetName val="RawData"/>
      <sheetName val="TY"/>
      <sheetName val="FC"/>
      <sheetName val="LY2"/>
      <sheetName val="LYBUD"/>
      <sheetName val="LYBUD2"/>
      <sheetName val="BUD2"/>
      <sheetName val="Mix"/>
      <sheetName val="Setup"/>
      <sheetName val="BI"/>
      <sheetName val="Guide"/>
      <sheetName val="Sharepoint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0">
          <cell r="J20" t="str">
            <v>Best Flexible Rate</v>
          </cell>
          <cell r="K20" t="str">
            <v>Public Discount</v>
          </cell>
          <cell r="L20" t="str">
            <v>Corporate Discount</v>
          </cell>
          <cell r="M20" t="str">
            <v>Partnership Discount</v>
          </cell>
          <cell r="N20" t="str">
            <v>Ascott Star Rewards</v>
          </cell>
          <cell r="O20" t="str">
            <v>Work Space</v>
          </cell>
          <cell r="P20" t="str">
            <v>Employee Travel</v>
          </cell>
          <cell r="Q20" t="str">
            <v>Corporate Contract (below 1 mth)</v>
          </cell>
          <cell r="R20" t="str">
            <v>Monthly Contract (1 to 6 mth)</v>
          </cell>
          <cell r="S20" t="str">
            <v>Long Term Contract (above 6 mth)</v>
          </cell>
          <cell r="T20" t="str">
            <v>Wholesale</v>
          </cell>
          <cell r="U20" t="str">
            <v>Corporate Group (below 1 mth)</v>
          </cell>
          <cell r="V20" t="str">
            <v>Corp Monthly Group (above 1 mth)</v>
          </cell>
          <cell r="W20" t="str">
            <v>Leisure Group</v>
          </cell>
          <cell r="X20" t="str">
            <v>Airline Crew Group</v>
          </cell>
          <cell r="Y20" t="str">
            <v>System Use</v>
          </cell>
          <cell r="Z20" t="str">
            <v>Complimentary</v>
          </cell>
          <cell r="AA20" t="str">
            <v>House Use</v>
          </cell>
          <cell r="AB20" t="str">
            <v>Best Flexible Rate</v>
          </cell>
          <cell r="AC20" t="str">
            <v>Public Discount</v>
          </cell>
          <cell r="AD20" t="str">
            <v>Corporate Discount</v>
          </cell>
          <cell r="AE20" t="str">
            <v>Partnership Discount</v>
          </cell>
          <cell r="AF20" t="str">
            <v>Ascott Star Rewards</v>
          </cell>
          <cell r="AG20" t="str">
            <v>Work Space</v>
          </cell>
          <cell r="AH20" t="str">
            <v>Employee Travel</v>
          </cell>
          <cell r="AI20" t="str">
            <v>Corporate Contract (below 1 mth)</v>
          </cell>
          <cell r="AJ20" t="str">
            <v>Monthly Contract (1 to 6 mth)</v>
          </cell>
          <cell r="AK20" t="str">
            <v>Long Term Contract (above 6 mth)</v>
          </cell>
          <cell r="AL20" t="str">
            <v>Wholesale</v>
          </cell>
          <cell r="AM20" t="str">
            <v>Corporate Group (below 1 mth)</v>
          </cell>
          <cell r="AN20" t="str">
            <v>Corp Monthly Group (above 1 mth)</v>
          </cell>
          <cell r="AO20" t="str">
            <v>Leisure Group</v>
          </cell>
          <cell r="AP20" t="str">
            <v>Airline Crew Group</v>
          </cell>
          <cell r="AR20" t="str">
            <v>System Use</v>
          </cell>
          <cell r="AS20" t="str">
            <v>Complimentary</v>
          </cell>
          <cell r="AT20" t="str">
            <v>House Use</v>
          </cell>
        </row>
        <row r="22">
          <cell r="G22">
            <v>44562</v>
          </cell>
          <cell r="J22">
            <v>1</v>
          </cell>
          <cell r="K22">
            <v>30</v>
          </cell>
          <cell r="L22">
            <v>0</v>
          </cell>
          <cell r="M22">
            <v>0</v>
          </cell>
          <cell r="N22">
            <v>8</v>
          </cell>
          <cell r="O22">
            <v>0</v>
          </cell>
          <cell r="P22">
            <v>0</v>
          </cell>
          <cell r="Q22">
            <v>10</v>
          </cell>
          <cell r="R22">
            <v>13</v>
          </cell>
          <cell r="S22">
            <v>0</v>
          </cell>
          <cell r="T22">
            <v>0</v>
          </cell>
          <cell r="U22">
            <v>2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5</v>
          </cell>
          <cell r="AB22">
            <v>8300</v>
          </cell>
          <cell r="AC22">
            <v>132733.64000000001</v>
          </cell>
          <cell r="AD22">
            <v>0</v>
          </cell>
          <cell r="AE22">
            <v>0</v>
          </cell>
          <cell r="AF22">
            <v>27235</v>
          </cell>
          <cell r="AG22">
            <v>0</v>
          </cell>
          <cell r="AH22">
            <v>0</v>
          </cell>
          <cell r="AI22">
            <v>28564.28</v>
          </cell>
          <cell r="AJ22">
            <v>49278.82</v>
          </cell>
          <cell r="AK22">
            <v>0</v>
          </cell>
          <cell r="AL22">
            <v>0</v>
          </cell>
          <cell r="AM22">
            <v>5000</v>
          </cell>
          <cell r="AN22">
            <v>0</v>
          </cell>
          <cell r="AO22">
            <v>0</v>
          </cell>
          <cell r="AP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G23">
            <v>44563</v>
          </cell>
          <cell r="J23">
            <v>2</v>
          </cell>
          <cell r="K23">
            <v>14</v>
          </cell>
          <cell r="L23">
            <v>0</v>
          </cell>
          <cell r="M23">
            <v>0</v>
          </cell>
          <cell r="N23">
            <v>1</v>
          </cell>
          <cell r="O23">
            <v>0</v>
          </cell>
          <cell r="P23">
            <v>0</v>
          </cell>
          <cell r="Q23">
            <v>8</v>
          </cell>
          <cell r="R23">
            <v>10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</v>
          </cell>
          <cell r="AB23">
            <v>16600</v>
          </cell>
          <cell r="AC23">
            <v>62212.52</v>
          </cell>
          <cell r="AD23">
            <v>0</v>
          </cell>
          <cell r="AE23">
            <v>0</v>
          </cell>
          <cell r="AF23">
            <v>8385</v>
          </cell>
          <cell r="AG23">
            <v>0</v>
          </cell>
          <cell r="AH23">
            <v>0</v>
          </cell>
          <cell r="AI23">
            <v>23564.28</v>
          </cell>
          <cell r="AJ23">
            <v>37814.54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G24">
            <v>44564</v>
          </cell>
          <cell r="J24">
            <v>0</v>
          </cell>
          <cell r="K24">
            <v>11</v>
          </cell>
          <cell r="L24">
            <v>0</v>
          </cell>
          <cell r="M24">
            <v>0</v>
          </cell>
          <cell r="N24">
            <v>3</v>
          </cell>
          <cell r="O24">
            <v>0</v>
          </cell>
          <cell r="P24">
            <v>0</v>
          </cell>
          <cell r="Q24">
            <v>9</v>
          </cell>
          <cell r="R24">
            <v>8</v>
          </cell>
          <cell r="S24">
            <v>0</v>
          </cell>
          <cell r="T24">
            <v>0</v>
          </cell>
          <cell r="U24">
            <v>16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5</v>
          </cell>
          <cell r="AB24">
            <v>0</v>
          </cell>
          <cell r="AC24">
            <v>42366.9</v>
          </cell>
          <cell r="AD24">
            <v>0</v>
          </cell>
          <cell r="AE24">
            <v>0</v>
          </cell>
          <cell r="AF24">
            <v>8970</v>
          </cell>
          <cell r="AG24">
            <v>0</v>
          </cell>
          <cell r="AH24">
            <v>0</v>
          </cell>
          <cell r="AI24">
            <v>23628.28</v>
          </cell>
          <cell r="AJ24">
            <v>27558.54</v>
          </cell>
          <cell r="AK24">
            <v>0</v>
          </cell>
          <cell r="AL24">
            <v>0</v>
          </cell>
          <cell r="AM24">
            <v>56000</v>
          </cell>
          <cell r="AN24">
            <v>0</v>
          </cell>
          <cell r="AO24">
            <v>0</v>
          </cell>
          <cell r="AP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G25">
            <v>44565</v>
          </cell>
          <cell r="J25">
            <v>2</v>
          </cell>
          <cell r="K25">
            <v>11</v>
          </cell>
          <cell r="L25">
            <v>0</v>
          </cell>
          <cell r="M25">
            <v>0</v>
          </cell>
          <cell r="N25">
            <v>5</v>
          </cell>
          <cell r="O25">
            <v>0</v>
          </cell>
          <cell r="P25">
            <v>0</v>
          </cell>
          <cell r="Q25">
            <v>10</v>
          </cell>
          <cell r="R25">
            <v>8</v>
          </cell>
          <cell r="S25">
            <v>0</v>
          </cell>
          <cell r="T25">
            <v>0</v>
          </cell>
          <cell r="U25">
            <v>16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5</v>
          </cell>
          <cell r="AB25">
            <v>7200</v>
          </cell>
          <cell r="AC25">
            <v>50067.17</v>
          </cell>
          <cell r="AD25">
            <v>0</v>
          </cell>
          <cell r="AE25">
            <v>0</v>
          </cell>
          <cell r="AF25">
            <v>15600</v>
          </cell>
          <cell r="AG25">
            <v>0</v>
          </cell>
          <cell r="AH25">
            <v>0</v>
          </cell>
          <cell r="AI25">
            <v>28012.35</v>
          </cell>
          <cell r="AJ25">
            <v>27558.54</v>
          </cell>
          <cell r="AK25">
            <v>0</v>
          </cell>
          <cell r="AL25">
            <v>0</v>
          </cell>
          <cell r="AM25">
            <v>56000</v>
          </cell>
          <cell r="AN25">
            <v>0</v>
          </cell>
          <cell r="AO25">
            <v>0</v>
          </cell>
          <cell r="AP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G26">
            <v>44566</v>
          </cell>
          <cell r="J26">
            <v>1</v>
          </cell>
          <cell r="K26">
            <v>18</v>
          </cell>
          <cell r="L26">
            <v>0</v>
          </cell>
          <cell r="M26">
            <v>0</v>
          </cell>
          <cell r="N26">
            <v>2</v>
          </cell>
          <cell r="O26">
            <v>0</v>
          </cell>
          <cell r="P26">
            <v>0</v>
          </cell>
          <cell r="Q26">
            <v>10</v>
          </cell>
          <cell r="R26">
            <v>8</v>
          </cell>
          <cell r="S26">
            <v>0</v>
          </cell>
          <cell r="T26">
            <v>0</v>
          </cell>
          <cell r="U26">
            <v>16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5</v>
          </cell>
          <cell r="AB26">
            <v>3600</v>
          </cell>
          <cell r="AC26">
            <v>77023.58</v>
          </cell>
          <cell r="AD26">
            <v>0</v>
          </cell>
          <cell r="AE26">
            <v>0</v>
          </cell>
          <cell r="AF26">
            <v>9360.0499999999993</v>
          </cell>
          <cell r="AG26">
            <v>0</v>
          </cell>
          <cell r="AH26">
            <v>0</v>
          </cell>
          <cell r="AI26">
            <v>29437.14</v>
          </cell>
          <cell r="AJ26">
            <v>27558.54</v>
          </cell>
          <cell r="AK26">
            <v>0</v>
          </cell>
          <cell r="AL26">
            <v>0</v>
          </cell>
          <cell r="AM26">
            <v>56000</v>
          </cell>
          <cell r="AN26">
            <v>0</v>
          </cell>
          <cell r="AO26">
            <v>0</v>
          </cell>
          <cell r="AP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G27">
            <v>44567</v>
          </cell>
          <cell r="J27">
            <v>2</v>
          </cell>
          <cell r="K27">
            <v>32</v>
          </cell>
          <cell r="L27">
            <v>0</v>
          </cell>
          <cell r="M27">
            <v>0</v>
          </cell>
          <cell r="N27">
            <v>4</v>
          </cell>
          <cell r="O27">
            <v>0</v>
          </cell>
          <cell r="P27">
            <v>0</v>
          </cell>
          <cell r="Q27">
            <v>11</v>
          </cell>
          <cell r="R27">
            <v>8</v>
          </cell>
          <cell r="S27">
            <v>0</v>
          </cell>
          <cell r="T27">
            <v>0</v>
          </cell>
          <cell r="U27">
            <v>16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2</v>
          </cell>
          <cell r="AB27">
            <v>10400</v>
          </cell>
          <cell r="AC27">
            <v>86899.73</v>
          </cell>
          <cell r="AD27">
            <v>0</v>
          </cell>
          <cell r="AE27">
            <v>0</v>
          </cell>
          <cell r="AF27">
            <v>6375</v>
          </cell>
          <cell r="AG27">
            <v>0</v>
          </cell>
          <cell r="AH27">
            <v>0</v>
          </cell>
          <cell r="AI27">
            <v>32589</v>
          </cell>
          <cell r="AJ27">
            <v>27558.54</v>
          </cell>
          <cell r="AK27">
            <v>0</v>
          </cell>
          <cell r="AL27">
            <v>0</v>
          </cell>
          <cell r="AM27">
            <v>56000</v>
          </cell>
          <cell r="AN27">
            <v>0</v>
          </cell>
          <cell r="AO27">
            <v>0</v>
          </cell>
          <cell r="AP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G28">
            <v>44568</v>
          </cell>
          <cell r="J28">
            <v>1</v>
          </cell>
          <cell r="K28">
            <v>35</v>
          </cell>
          <cell r="L28">
            <v>0</v>
          </cell>
          <cell r="M28">
            <v>0</v>
          </cell>
          <cell r="N28">
            <v>7</v>
          </cell>
          <cell r="O28">
            <v>0</v>
          </cell>
          <cell r="P28">
            <v>1</v>
          </cell>
          <cell r="Q28">
            <v>10</v>
          </cell>
          <cell r="R28">
            <v>8</v>
          </cell>
          <cell r="S28">
            <v>0</v>
          </cell>
          <cell r="T28">
            <v>0</v>
          </cell>
          <cell r="U28">
            <v>16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2</v>
          </cell>
          <cell r="AB28">
            <v>5600</v>
          </cell>
          <cell r="AC28">
            <v>98289.27</v>
          </cell>
          <cell r="AD28">
            <v>0</v>
          </cell>
          <cell r="AE28">
            <v>0</v>
          </cell>
          <cell r="AF28">
            <v>13260</v>
          </cell>
          <cell r="AG28">
            <v>0</v>
          </cell>
          <cell r="AH28">
            <v>1463</v>
          </cell>
          <cell r="AI28">
            <v>27821.14</v>
          </cell>
          <cell r="AJ28">
            <v>27558.54</v>
          </cell>
          <cell r="AK28">
            <v>0</v>
          </cell>
          <cell r="AL28">
            <v>0</v>
          </cell>
          <cell r="AM28">
            <v>56000</v>
          </cell>
          <cell r="AN28">
            <v>0</v>
          </cell>
          <cell r="AO28">
            <v>0</v>
          </cell>
          <cell r="AP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G29">
            <v>44569</v>
          </cell>
          <cell r="J29">
            <v>1</v>
          </cell>
          <cell r="K29">
            <v>29</v>
          </cell>
          <cell r="L29">
            <v>0</v>
          </cell>
          <cell r="M29">
            <v>0</v>
          </cell>
          <cell r="N29">
            <v>9</v>
          </cell>
          <cell r="O29">
            <v>0</v>
          </cell>
          <cell r="P29">
            <v>1</v>
          </cell>
          <cell r="Q29">
            <v>12</v>
          </cell>
          <cell r="R29">
            <v>8</v>
          </cell>
          <cell r="S29">
            <v>0</v>
          </cell>
          <cell r="T29">
            <v>0</v>
          </cell>
          <cell r="U29">
            <v>21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2</v>
          </cell>
          <cell r="AB29">
            <v>5600</v>
          </cell>
          <cell r="AC29">
            <v>86301.2</v>
          </cell>
          <cell r="AD29">
            <v>0</v>
          </cell>
          <cell r="AE29">
            <v>0</v>
          </cell>
          <cell r="AF29">
            <v>23224.54</v>
          </cell>
          <cell r="AG29">
            <v>0</v>
          </cell>
          <cell r="AH29">
            <v>1463</v>
          </cell>
          <cell r="AI29">
            <v>35289</v>
          </cell>
          <cell r="AJ29">
            <v>27558.54</v>
          </cell>
          <cell r="AK29">
            <v>0</v>
          </cell>
          <cell r="AL29">
            <v>0</v>
          </cell>
          <cell r="AM29">
            <v>81400</v>
          </cell>
          <cell r="AN29">
            <v>0</v>
          </cell>
          <cell r="AO29">
            <v>0</v>
          </cell>
          <cell r="AP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G30">
            <v>44570</v>
          </cell>
          <cell r="J30">
            <v>0</v>
          </cell>
          <cell r="K30">
            <v>40</v>
          </cell>
          <cell r="L30">
            <v>0</v>
          </cell>
          <cell r="M30">
            <v>0</v>
          </cell>
          <cell r="N30">
            <v>13</v>
          </cell>
          <cell r="O30">
            <v>0</v>
          </cell>
          <cell r="P30">
            <v>1</v>
          </cell>
          <cell r="Q30">
            <v>15</v>
          </cell>
          <cell r="R30">
            <v>8</v>
          </cell>
          <cell r="S30">
            <v>0</v>
          </cell>
          <cell r="T30">
            <v>0</v>
          </cell>
          <cell r="U30">
            <v>21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2</v>
          </cell>
          <cell r="AB30">
            <v>0</v>
          </cell>
          <cell r="AC30">
            <v>123053.62</v>
          </cell>
          <cell r="AD30">
            <v>0</v>
          </cell>
          <cell r="AE30">
            <v>0</v>
          </cell>
          <cell r="AF30">
            <v>27300</v>
          </cell>
          <cell r="AG30">
            <v>2999</v>
          </cell>
          <cell r="AH30">
            <v>1463</v>
          </cell>
          <cell r="AI30">
            <v>49555.96</v>
          </cell>
          <cell r="AJ30">
            <v>27558.54</v>
          </cell>
          <cell r="AK30">
            <v>0</v>
          </cell>
          <cell r="AL30">
            <v>0</v>
          </cell>
          <cell r="AM30">
            <v>83900</v>
          </cell>
          <cell r="AN30">
            <v>0</v>
          </cell>
          <cell r="AO30">
            <v>0</v>
          </cell>
          <cell r="AP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G31">
            <v>44571</v>
          </cell>
          <cell r="J31">
            <v>0</v>
          </cell>
          <cell r="K31">
            <v>30</v>
          </cell>
          <cell r="L31">
            <v>0</v>
          </cell>
          <cell r="M31">
            <v>0</v>
          </cell>
          <cell r="N31">
            <v>11</v>
          </cell>
          <cell r="O31">
            <v>0</v>
          </cell>
          <cell r="P31">
            <v>1</v>
          </cell>
          <cell r="Q31">
            <v>15</v>
          </cell>
          <cell r="R31">
            <v>9</v>
          </cell>
          <cell r="S31">
            <v>0</v>
          </cell>
          <cell r="T31">
            <v>0</v>
          </cell>
          <cell r="U31">
            <v>5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2</v>
          </cell>
          <cell r="AB31">
            <v>0</v>
          </cell>
          <cell r="AC31">
            <v>98301.32</v>
          </cell>
          <cell r="AD31">
            <v>0</v>
          </cell>
          <cell r="AE31">
            <v>0</v>
          </cell>
          <cell r="AF31">
            <v>27285</v>
          </cell>
          <cell r="AG31">
            <v>0</v>
          </cell>
          <cell r="AH31">
            <v>1463</v>
          </cell>
          <cell r="AI31">
            <v>47323.82</v>
          </cell>
          <cell r="AJ31">
            <v>30558.54</v>
          </cell>
          <cell r="AK31">
            <v>0</v>
          </cell>
          <cell r="AL31">
            <v>0</v>
          </cell>
          <cell r="AM31">
            <v>41275</v>
          </cell>
          <cell r="AN31">
            <v>0</v>
          </cell>
          <cell r="AO31">
            <v>0</v>
          </cell>
          <cell r="AP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G32">
            <v>44572</v>
          </cell>
          <cell r="J32">
            <v>0</v>
          </cell>
          <cell r="K32">
            <v>31</v>
          </cell>
          <cell r="L32">
            <v>0</v>
          </cell>
          <cell r="M32">
            <v>0</v>
          </cell>
          <cell r="N32">
            <v>5</v>
          </cell>
          <cell r="O32">
            <v>0</v>
          </cell>
          <cell r="P32">
            <v>0</v>
          </cell>
          <cell r="Q32">
            <v>17</v>
          </cell>
          <cell r="R32">
            <v>9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2</v>
          </cell>
          <cell r="AB32">
            <v>0</v>
          </cell>
          <cell r="AC32">
            <v>88580.85</v>
          </cell>
          <cell r="AD32">
            <v>0</v>
          </cell>
          <cell r="AE32">
            <v>0</v>
          </cell>
          <cell r="AF32">
            <v>12100</v>
          </cell>
          <cell r="AG32">
            <v>5498</v>
          </cell>
          <cell r="AH32">
            <v>0</v>
          </cell>
          <cell r="AI32">
            <v>53323.82</v>
          </cell>
          <cell r="AJ32">
            <v>30558.54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G33">
            <v>44573</v>
          </cell>
          <cell r="J33">
            <v>0</v>
          </cell>
          <cell r="K33">
            <v>28</v>
          </cell>
          <cell r="L33">
            <v>0</v>
          </cell>
          <cell r="M33">
            <v>0</v>
          </cell>
          <cell r="N33">
            <v>6</v>
          </cell>
          <cell r="O33">
            <v>0</v>
          </cell>
          <cell r="P33">
            <v>0</v>
          </cell>
          <cell r="Q33">
            <v>16</v>
          </cell>
          <cell r="R33">
            <v>9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2</v>
          </cell>
          <cell r="AA33">
            <v>2</v>
          </cell>
          <cell r="AB33">
            <v>0</v>
          </cell>
          <cell r="AC33">
            <v>72923.61</v>
          </cell>
          <cell r="AD33">
            <v>0</v>
          </cell>
          <cell r="AE33">
            <v>0</v>
          </cell>
          <cell r="AF33">
            <v>13924</v>
          </cell>
          <cell r="AG33">
            <v>0</v>
          </cell>
          <cell r="AH33">
            <v>0</v>
          </cell>
          <cell r="AI33">
            <v>51480.959999999999</v>
          </cell>
          <cell r="AJ33">
            <v>30558.54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G34">
            <v>44574</v>
          </cell>
          <cell r="J34">
            <v>0</v>
          </cell>
          <cell r="K34">
            <v>25</v>
          </cell>
          <cell r="L34">
            <v>0</v>
          </cell>
          <cell r="M34">
            <v>0</v>
          </cell>
          <cell r="N34">
            <v>3</v>
          </cell>
          <cell r="O34">
            <v>0</v>
          </cell>
          <cell r="P34">
            <v>0</v>
          </cell>
          <cell r="Q34">
            <v>14</v>
          </cell>
          <cell r="R34">
            <v>9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1</v>
          </cell>
          <cell r="AB34">
            <v>0</v>
          </cell>
          <cell r="AC34">
            <v>69489.47</v>
          </cell>
          <cell r="AD34">
            <v>0</v>
          </cell>
          <cell r="AE34">
            <v>0</v>
          </cell>
          <cell r="AF34">
            <v>6050</v>
          </cell>
          <cell r="AG34">
            <v>0</v>
          </cell>
          <cell r="AH34">
            <v>0</v>
          </cell>
          <cell r="AI34">
            <v>48481.86</v>
          </cell>
          <cell r="AJ34">
            <v>30558.54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G35">
            <v>44575</v>
          </cell>
          <cell r="J35">
            <v>0</v>
          </cell>
          <cell r="K35">
            <v>20</v>
          </cell>
          <cell r="L35">
            <v>0</v>
          </cell>
          <cell r="M35">
            <v>0</v>
          </cell>
          <cell r="N35">
            <v>1</v>
          </cell>
          <cell r="O35">
            <v>0</v>
          </cell>
          <cell r="P35">
            <v>0</v>
          </cell>
          <cell r="Q35">
            <v>12</v>
          </cell>
          <cell r="R35">
            <v>9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1</v>
          </cell>
          <cell r="AB35">
            <v>0</v>
          </cell>
          <cell r="AC35">
            <v>50905</v>
          </cell>
          <cell r="AD35">
            <v>0</v>
          </cell>
          <cell r="AE35">
            <v>0</v>
          </cell>
          <cell r="AF35">
            <v>1625</v>
          </cell>
          <cell r="AG35">
            <v>0</v>
          </cell>
          <cell r="AH35">
            <v>0</v>
          </cell>
          <cell r="AI35">
            <v>43481.86</v>
          </cell>
          <cell r="AJ35">
            <v>30558.54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G36">
            <v>44576</v>
          </cell>
          <cell r="J36">
            <v>0</v>
          </cell>
          <cell r="K36">
            <v>19</v>
          </cell>
          <cell r="L36">
            <v>0</v>
          </cell>
          <cell r="M36">
            <v>0</v>
          </cell>
          <cell r="N36">
            <v>1</v>
          </cell>
          <cell r="O36">
            <v>0</v>
          </cell>
          <cell r="P36">
            <v>0</v>
          </cell>
          <cell r="Q36">
            <v>12</v>
          </cell>
          <cell r="R36">
            <v>9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1</v>
          </cell>
          <cell r="AB36">
            <v>0</v>
          </cell>
          <cell r="AC36">
            <v>52269.7</v>
          </cell>
          <cell r="AD36">
            <v>0</v>
          </cell>
          <cell r="AE36">
            <v>0</v>
          </cell>
          <cell r="AF36">
            <v>1950</v>
          </cell>
          <cell r="AG36">
            <v>0</v>
          </cell>
          <cell r="AH36">
            <v>0</v>
          </cell>
          <cell r="AI36">
            <v>43481.86</v>
          </cell>
          <cell r="AJ36">
            <v>30558.54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G37">
            <v>44577</v>
          </cell>
          <cell r="J37">
            <v>0</v>
          </cell>
          <cell r="K37">
            <v>18</v>
          </cell>
          <cell r="L37">
            <v>0</v>
          </cell>
          <cell r="M37">
            <v>0</v>
          </cell>
          <cell r="N37">
            <v>2</v>
          </cell>
          <cell r="O37">
            <v>0</v>
          </cell>
          <cell r="P37">
            <v>0</v>
          </cell>
          <cell r="Q37">
            <v>14</v>
          </cell>
          <cell r="R37">
            <v>9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1</v>
          </cell>
          <cell r="AB37">
            <v>0</v>
          </cell>
          <cell r="AC37">
            <v>51398.7</v>
          </cell>
          <cell r="AD37">
            <v>0</v>
          </cell>
          <cell r="AE37">
            <v>0</v>
          </cell>
          <cell r="AF37">
            <v>6240</v>
          </cell>
          <cell r="AG37">
            <v>0</v>
          </cell>
          <cell r="AH37">
            <v>0</v>
          </cell>
          <cell r="AI37">
            <v>46541.4</v>
          </cell>
          <cell r="AJ37">
            <v>30558.54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G38">
            <v>44578</v>
          </cell>
          <cell r="J38">
            <v>0</v>
          </cell>
          <cell r="K38">
            <v>6</v>
          </cell>
          <cell r="L38">
            <v>0</v>
          </cell>
          <cell r="M38">
            <v>0</v>
          </cell>
          <cell r="N38">
            <v>2</v>
          </cell>
          <cell r="O38">
            <v>0</v>
          </cell>
          <cell r="P38">
            <v>0</v>
          </cell>
          <cell r="Q38">
            <v>13</v>
          </cell>
          <cell r="R38">
            <v>9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1</v>
          </cell>
          <cell r="AB38">
            <v>0</v>
          </cell>
          <cell r="AC38">
            <v>15570</v>
          </cell>
          <cell r="AD38">
            <v>0</v>
          </cell>
          <cell r="AE38">
            <v>0</v>
          </cell>
          <cell r="AF38">
            <v>6240</v>
          </cell>
          <cell r="AG38">
            <v>0</v>
          </cell>
          <cell r="AH38">
            <v>0</v>
          </cell>
          <cell r="AI38">
            <v>42541.4</v>
          </cell>
          <cell r="AJ38">
            <v>30558.54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G39">
            <v>44579</v>
          </cell>
          <cell r="J39">
            <v>0</v>
          </cell>
          <cell r="K39">
            <v>7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12</v>
          </cell>
          <cell r="R39">
            <v>9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21350.63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37041.4</v>
          </cell>
          <cell r="AJ39">
            <v>30558.54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G40">
            <v>44580</v>
          </cell>
          <cell r="J40">
            <v>0</v>
          </cell>
          <cell r="K40">
            <v>5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11</v>
          </cell>
          <cell r="R40">
            <v>9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13035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34541.4</v>
          </cell>
          <cell r="AJ40">
            <v>30558.54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G41">
            <v>44581</v>
          </cell>
          <cell r="J41">
            <v>1</v>
          </cell>
          <cell r="K41">
            <v>6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11</v>
          </cell>
          <cell r="R41">
            <v>9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3500</v>
          </cell>
          <cell r="AC41">
            <v>14722.5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34541.4</v>
          </cell>
          <cell r="AJ41">
            <v>30558.54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G42">
            <v>44582</v>
          </cell>
          <cell r="J42">
            <v>1</v>
          </cell>
          <cell r="K42">
            <v>4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10</v>
          </cell>
          <cell r="R42">
            <v>9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3500</v>
          </cell>
          <cell r="AC42">
            <v>8912.5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29541.4</v>
          </cell>
          <cell r="AJ42">
            <v>30558.54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G43">
            <v>44583</v>
          </cell>
          <cell r="J43">
            <v>1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9</v>
          </cell>
          <cell r="R43">
            <v>9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3500</v>
          </cell>
          <cell r="AC43">
            <v>7985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27041.4</v>
          </cell>
          <cell r="AJ43">
            <v>30558.54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G44">
            <v>44584</v>
          </cell>
          <cell r="J44">
            <v>1</v>
          </cell>
          <cell r="K44">
            <v>8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10</v>
          </cell>
          <cell r="R44">
            <v>9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3500</v>
          </cell>
          <cell r="AC44">
            <v>19935.88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30208.07</v>
          </cell>
          <cell r="AJ44">
            <v>30558.54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G45">
            <v>44585</v>
          </cell>
          <cell r="J45">
            <v>1</v>
          </cell>
          <cell r="K45">
            <v>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10</v>
          </cell>
          <cell r="R45">
            <v>9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3500</v>
          </cell>
          <cell r="AC45">
            <v>13851.25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30208.07</v>
          </cell>
          <cell r="AJ45">
            <v>30558.54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G46">
            <v>44586</v>
          </cell>
          <cell r="J46">
            <v>1</v>
          </cell>
          <cell r="K46">
            <v>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10</v>
          </cell>
          <cell r="R46">
            <v>9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3500</v>
          </cell>
          <cell r="AC46">
            <v>13262.5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30208.07</v>
          </cell>
          <cell r="AJ46">
            <v>30558.54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G47">
            <v>44587</v>
          </cell>
          <cell r="J47">
            <v>1</v>
          </cell>
          <cell r="K47">
            <v>2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15</v>
          </cell>
          <cell r="R47">
            <v>9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3500</v>
          </cell>
          <cell r="AC47">
            <v>4666.5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40922.370000000003</v>
          </cell>
          <cell r="AJ47">
            <v>30558.54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G48">
            <v>44588</v>
          </cell>
          <cell r="J48">
            <v>1</v>
          </cell>
          <cell r="K48">
            <v>1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10</v>
          </cell>
          <cell r="R48">
            <v>9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3500</v>
          </cell>
          <cell r="AC48">
            <v>1912.5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30208.07</v>
          </cell>
          <cell r="AJ48">
            <v>30558.54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G49">
            <v>44589</v>
          </cell>
          <cell r="J49">
            <v>1</v>
          </cell>
          <cell r="K49">
            <v>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10</v>
          </cell>
          <cell r="R49">
            <v>9</v>
          </cell>
          <cell r="S49">
            <v>0</v>
          </cell>
          <cell r="T49">
            <v>0</v>
          </cell>
          <cell r="U49">
            <v>2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3500</v>
          </cell>
          <cell r="AC49">
            <v>1912.5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30208.07</v>
          </cell>
          <cell r="AJ49">
            <v>30558.54</v>
          </cell>
          <cell r="AK49">
            <v>0</v>
          </cell>
          <cell r="AL49">
            <v>0</v>
          </cell>
          <cell r="AM49">
            <v>9300</v>
          </cell>
          <cell r="AN49">
            <v>0</v>
          </cell>
          <cell r="AO49">
            <v>0</v>
          </cell>
          <cell r="AP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G50">
            <v>44590</v>
          </cell>
          <cell r="J50">
            <v>1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10</v>
          </cell>
          <cell r="R50">
            <v>9</v>
          </cell>
          <cell r="S50">
            <v>0</v>
          </cell>
          <cell r="T50">
            <v>0</v>
          </cell>
          <cell r="U50">
            <v>14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3500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30208.07</v>
          </cell>
          <cell r="AJ50">
            <v>30558.54</v>
          </cell>
          <cell r="AK50">
            <v>0</v>
          </cell>
          <cell r="AL50">
            <v>0</v>
          </cell>
          <cell r="AM50">
            <v>40800</v>
          </cell>
          <cell r="AN50">
            <v>0</v>
          </cell>
          <cell r="AO50">
            <v>0</v>
          </cell>
          <cell r="AP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G51">
            <v>44591</v>
          </cell>
          <cell r="J51">
            <v>1</v>
          </cell>
          <cell r="K51">
            <v>2</v>
          </cell>
          <cell r="L51">
            <v>0</v>
          </cell>
          <cell r="M51">
            <v>0</v>
          </cell>
          <cell r="N51">
            <v>1</v>
          </cell>
          <cell r="O51">
            <v>0</v>
          </cell>
          <cell r="P51">
            <v>0</v>
          </cell>
          <cell r="Q51">
            <v>5</v>
          </cell>
          <cell r="R51">
            <v>9</v>
          </cell>
          <cell r="S51">
            <v>0</v>
          </cell>
          <cell r="T51">
            <v>0</v>
          </cell>
          <cell r="U51">
            <v>24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3500</v>
          </cell>
          <cell r="AC51">
            <v>4860</v>
          </cell>
          <cell r="AD51">
            <v>0</v>
          </cell>
          <cell r="AE51">
            <v>0</v>
          </cell>
          <cell r="AF51">
            <v>2450</v>
          </cell>
          <cell r="AG51">
            <v>0</v>
          </cell>
          <cell r="AH51">
            <v>0</v>
          </cell>
          <cell r="AI51">
            <v>14374.72</v>
          </cell>
          <cell r="AJ51">
            <v>30558.54</v>
          </cell>
          <cell r="AK51">
            <v>0</v>
          </cell>
          <cell r="AL51">
            <v>0</v>
          </cell>
          <cell r="AM51">
            <v>67300</v>
          </cell>
          <cell r="AN51">
            <v>0</v>
          </cell>
          <cell r="AO51">
            <v>0</v>
          </cell>
          <cell r="AP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G52">
            <v>44592</v>
          </cell>
          <cell r="J52">
            <v>0</v>
          </cell>
          <cell r="K52">
            <v>5</v>
          </cell>
          <cell r="L52">
            <v>0</v>
          </cell>
          <cell r="M52">
            <v>0</v>
          </cell>
          <cell r="N52">
            <v>1</v>
          </cell>
          <cell r="O52">
            <v>0</v>
          </cell>
          <cell r="P52">
            <v>0</v>
          </cell>
          <cell r="Q52">
            <v>3</v>
          </cell>
          <cell r="R52">
            <v>8</v>
          </cell>
          <cell r="S52">
            <v>0</v>
          </cell>
          <cell r="T52">
            <v>0</v>
          </cell>
          <cell r="U52">
            <v>24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15090</v>
          </cell>
          <cell r="AD52">
            <v>0</v>
          </cell>
          <cell r="AE52">
            <v>0</v>
          </cell>
          <cell r="AF52">
            <v>2450</v>
          </cell>
          <cell r="AG52">
            <v>0</v>
          </cell>
          <cell r="AH52">
            <v>0</v>
          </cell>
          <cell r="AI52">
            <v>9589</v>
          </cell>
          <cell r="AJ52">
            <v>27390.35</v>
          </cell>
          <cell r="AK52">
            <v>0</v>
          </cell>
          <cell r="AL52">
            <v>0</v>
          </cell>
          <cell r="AM52">
            <v>67300</v>
          </cell>
          <cell r="AN52">
            <v>0</v>
          </cell>
          <cell r="AO52">
            <v>0</v>
          </cell>
          <cell r="AP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G53">
            <v>44593</v>
          </cell>
          <cell r="J53">
            <v>0</v>
          </cell>
          <cell r="K53">
            <v>2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3</v>
          </cell>
          <cell r="R53">
            <v>8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5830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9589</v>
          </cell>
          <cell r="AJ53">
            <v>27390.35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G54">
            <v>44594</v>
          </cell>
          <cell r="J54">
            <v>0</v>
          </cell>
          <cell r="K54">
            <v>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3</v>
          </cell>
          <cell r="R54">
            <v>8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6098.25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9589</v>
          </cell>
          <cell r="AJ54">
            <v>27390.35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G55">
            <v>44595</v>
          </cell>
          <cell r="J55">
            <v>0</v>
          </cell>
          <cell r="K55">
            <v>1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3</v>
          </cell>
          <cell r="R55">
            <v>8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3098.25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9589</v>
          </cell>
          <cell r="AJ55">
            <v>27390.35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G56">
            <v>44596</v>
          </cell>
          <cell r="J56">
            <v>0</v>
          </cell>
          <cell r="K56">
            <v>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3</v>
          </cell>
          <cell r="R56">
            <v>7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5798.25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9589</v>
          </cell>
          <cell r="AJ56">
            <v>21140.35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G57">
            <v>44597</v>
          </cell>
          <cell r="J57">
            <v>0</v>
          </cell>
          <cell r="K57">
            <v>1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1</v>
          </cell>
          <cell r="R57">
            <v>7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2835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4000</v>
          </cell>
          <cell r="AJ57">
            <v>21140.35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G58">
            <v>44598</v>
          </cell>
          <cell r="J58">
            <v>0</v>
          </cell>
          <cell r="K58">
            <v>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1</v>
          </cell>
          <cell r="R58">
            <v>7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5283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4000</v>
          </cell>
          <cell r="AJ58">
            <v>21140.35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G59">
            <v>44599</v>
          </cell>
          <cell r="J59">
            <v>0</v>
          </cell>
          <cell r="K59">
            <v>1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1</v>
          </cell>
          <cell r="R59">
            <v>7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2835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4000</v>
          </cell>
          <cell r="AJ59">
            <v>21140.35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G60">
            <v>44600</v>
          </cell>
          <cell r="J60">
            <v>0</v>
          </cell>
          <cell r="K60">
            <v>2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1</v>
          </cell>
          <cell r="R60">
            <v>7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5400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4000</v>
          </cell>
          <cell r="AJ60">
            <v>21140.35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G61">
            <v>44601</v>
          </cell>
          <cell r="J61">
            <v>0</v>
          </cell>
          <cell r="K61">
            <v>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1</v>
          </cell>
          <cell r="R61">
            <v>7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2700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4000</v>
          </cell>
          <cell r="AJ61">
            <v>21140.35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G62">
            <v>44602</v>
          </cell>
          <cell r="J62">
            <v>0</v>
          </cell>
          <cell r="K62">
            <v>1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7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2700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21140.35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G63">
            <v>44603</v>
          </cell>
          <cell r="J63">
            <v>0</v>
          </cell>
          <cell r="K63">
            <v>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7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4800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21140.35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G64">
            <v>44604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7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21140.35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G65">
            <v>44605</v>
          </cell>
          <cell r="J65">
            <v>0</v>
          </cell>
          <cell r="K65">
            <v>3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6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9390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17973.689999999999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G66">
            <v>44606</v>
          </cell>
          <cell r="J66">
            <v>0</v>
          </cell>
          <cell r="K66">
            <v>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6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5310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17973.689999999999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G67">
            <v>44607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6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17973.689999999999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G68">
            <v>44608</v>
          </cell>
          <cell r="J68">
            <v>0</v>
          </cell>
          <cell r="K68">
            <v>1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6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3000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17973.689999999999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G69">
            <v>44609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6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17973.689999999999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G70">
            <v>44610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6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17973.689999999999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G71">
            <v>44611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6</v>
          </cell>
          <cell r="S71">
            <v>0</v>
          </cell>
          <cell r="T71">
            <v>0</v>
          </cell>
          <cell r="U71">
            <v>10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17973.689999999999</v>
          </cell>
          <cell r="AK71">
            <v>0</v>
          </cell>
          <cell r="AL71">
            <v>0</v>
          </cell>
          <cell r="AM71">
            <v>25000</v>
          </cell>
          <cell r="AN71">
            <v>0</v>
          </cell>
          <cell r="AO71">
            <v>0</v>
          </cell>
          <cell r="AP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G72">
            <v>44612</v>
          </cell>
          <cell r="J72">
            <v>0</v>
          </cell>
          <cell r="K72">
            <v>1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5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2200.5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15669.54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G73">
            <v>44613</v>
          </cell>
          <cell r="J73">
            <v>0</v>
          </cell>
          <cell r="K73">
            <v>1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5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2200.5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15669.54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G74">
            <v>44614</v>
          </cell>
          <cell r="J74">
            <v>0</v>
          </cell>
          <cell r="K74">
            <v>1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5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2200.5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15669.54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G75">
            <v>44615</v>
          </cell>
          <cell r="J75">
            <v>0</v>
          </cell>
          <cell r="K75">
            <v>1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5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2200.5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15669.54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G76">
            <v>44616</v>
          </cell>
          <cell r="J76">
            <v>0</v>
          </cell>
          <cell r="K76">
            <v>2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5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7975.5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15669.54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G77">
            <v>44617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5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15669.54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G78">
            <v>44618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5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15669.54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G79">
            <v>44619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5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15669.54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G80">
            <v>44620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4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12169.54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G81">
            <v>44621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4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12169.54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G82">
            <v>44622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4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12169.54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G83">
            <v>44623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4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12169.54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G84">
            <v>44624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4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12169.54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G85">
            <v>44625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4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12169.54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G86">
            <v>44626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4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12169.54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G87">
            <v>44627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4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12169.54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G88">
            <v>44628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4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12169.54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G89">
            <v>44629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4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12169.54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G90">
            <v>44630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4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12169.54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G91">
            <v>44631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4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12169.54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G92">
            <v>44632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4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12169.54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G93">
            <v>44633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4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12169.54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G94">
            <v>44634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4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12169.54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G95">
            <v>44635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3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9193.5400000000009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G96">
            <v>44636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3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9193.5400000000009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G97">
            <v>44637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3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9193.5400000000009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G98">
            <v>44638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3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9193.5400000000009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G99">
            <v>44639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3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9193.5400000000009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G100">
            <v>44640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3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9193.5400000000009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G101">
            <v>44641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3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9193.5400000000009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G102">
            <v>44642</v>
          </cell>
          <cell r="J102">
            <v>0</v>
          </cell>
          <cell r="K102">
            <v>1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3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3450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9193.5400000000009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G103">
            <v>44643</v>
          </cell>
          <cell r="J103">
            <v>0</v>
          </cell>
          <cell r="K103">
            <v>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3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3450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9193.5400000000009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G104">
            <v>44644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3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9193.5400000000009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G105">
            <v>44645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3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9193.5400000000009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G106">
            <v>44646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3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9193.5400000000009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G107">
            <v>44647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3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9193.5400000000009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G108">
            <v>44648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3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9193.5400000000009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G109">
            <v>44649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3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9193.5400000000009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G110">
            <v>44650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3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9193.5400000000009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G111">
            <v>44651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1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3000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G112">
            <v>44652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1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3000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G113">
            <v>44653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1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3000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G114">
            <v>44654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1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3000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G115">
            <v>44655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1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3000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G116">
            <v>44656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1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3000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G117">
            <v>44657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1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3000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G118">
            <v>44658</v>
          </cell>
          <cell r="J118">
            <v>0</v>
          </cell>
          <cell r="K118">
            <v>1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3600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3000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G119">
            <v>44659</v>
          </cell>
          <cell r="J119">
            <v>0</v>
          </cell>
          <cell r="K119">
            <v>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1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3600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3000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G120">
            <v>44660</v>
          </cell>
          <cell r="J120">
            <v>0</v>
          </cell>
          <cell r="K120">
            <v>1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1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3600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3000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G121">
            <v>44661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1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3000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G122">
            <v>44662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1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3000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G123">
            <v>44663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1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3000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G124">
            <v>44664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1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3000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G125">
            <v>44665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1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3000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G126">
            <v>44666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1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3000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G127">
            <v>44667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1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3000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G128">
            <v>44668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1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3000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G129">
            <v>44669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1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3000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G130">
            <v>44670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1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3000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G131">
            <v>44671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1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3000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G132">
            <v>44672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1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3000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G133">
            <v>44673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1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3000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G134">
            <v>44674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1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3000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G135">
            <v>44675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1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3000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G136">
            <v>44676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1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3000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G137">
            <v>44677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1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3000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G138">
            <v>44678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1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3000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G139">
            <v>44679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1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3000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G140">
            <v>44680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1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3000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G141">
            <v>44681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1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3000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G142">
            <v>44682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1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3000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G143">
            <v>44683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1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3000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G144">
            <v>44684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1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3000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G145">
            <v>44685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1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3000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G146">
            <v>44686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1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3000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G147">
            <v>44687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1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3000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G148">
            <v>44688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1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3000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G149">
            <v>44689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1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3000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G150">
            <v>44690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1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3000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G151">
            <v>44691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1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3000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G152">
            <v>44692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1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3000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G153">
            <v>44693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1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3000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G154">
            <v>44694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1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3000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G155">
            <v>44695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1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3000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G156">
            <v>44696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1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3000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G157">
            <v>44697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1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3000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G158">
            <v>44698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1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3000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G159">
            <v>44699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1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3000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G160">
            <v>44700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1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3000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G161">
            <v>44701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1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3000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G162">
            <v>44702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1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3000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G163">
            <v>44703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1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3000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R163">
            <v>0</v>
          </cell>
          <cell r="AS163">
            <v>0</v>
          </cell>
          <cell r="AT163">
            <v>0</v>
          </cell>
        </row>
        <row r="164">
          <cell r="G164">
            <v>44704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1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3000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G165">
            <v>44705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1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3000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G166">
            <v>44706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1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3000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G167">
            <v>44707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1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3000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G168">
            <v>44708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1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3000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G169">
            <v>44709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1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3000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G170">
            <v>44710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1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3000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G171">
            <v>44711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1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3000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G172">
            <v>44712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1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3000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G173">
            <v>44713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1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3000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G174">
            <v>44714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1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3000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G175">
            <v>44715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1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3000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G176">
            <v>44716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1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3000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G177">
            <v>44717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1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3000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G178">
            <v>44718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1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3000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G179">
            <v>44719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1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3000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G180">
            <v>44720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1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3000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G181">
            <v>44721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1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3000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G182">
            <v>44722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1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3000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G183">
            <v>44723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1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3000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G184">
            <v>44724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1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3000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G185">
            <v>44725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1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3000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R185">
            <v>0</v>
          </cell>
          <cell r="AS185">
            <v>0</v>
          </cell>
          <cell r="AT185">
            <v>0</v>
          </cell>
        </row>
        <row r="186">
          <cell r="G186">
            <v>44726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1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3000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G187">
            <v>44727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1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3000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G188">
            <v>44728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1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3000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G189">
            <v>44729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1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3000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G190">
            <v>44730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1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3000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G191">
            <v>44731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1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3000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G192">
            <v>44732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1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3000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G193">
            <v>44733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1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3000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G194">
            <v>44734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1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3000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G195">
            <v>44735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1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3000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G196">
            <v>44736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1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3000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G197">
            <v>44737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1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3000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G198">
            <v>44738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1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3000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G199">
            <v>44739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1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3000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G200">
            <v>44740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1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3000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G201">
            <v>44741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1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3000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G202">
            <v>44742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1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3000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G203">
            <v>44743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1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3000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G204">
            <v>44744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1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3000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R204">
            <v>0</v>
          </cell>
          <cell r="AS204">
            <v>0</v>
          </cell>
          <cell r="AT204">
            <v>0</v>
          </cell>
        </row>
        <row r="205">
          <cell r="G205">
            <v>44745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1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3000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G206">
            <v>44746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1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3000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G207">
            <v>44747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1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3000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G208">
            <v>44748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1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3000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G209">
            <v>44749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1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3000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G210">
            <v>44750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1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3000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G211">
            <v>44751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1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3000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G212">
            <v>44752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G213">
            <v>44753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G214">
            <v>44754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G215">
            <v>44755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G216">
            <v>44756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G217">
            <v>44757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G218">
            <v>44758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G219">
            <v>44759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G220">
            <v>44760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G221">
            <v>44761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R221">
            <v>0</v>
          </cell>
          <cell r="AS221">
            <v>0</v>
          </cell>
          <cell r="AT221">
            <v>0</v>
          </cell>
        </row>
        <row r="222">
          <cell r="G222">
            <v>44762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G223">
            <v>44763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G224">
            <v>44764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G225">
            <v>44765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G226">
            <v>44766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G227">
            <v>44767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G228">
            <v>44768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G229">
            <v>44769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G230">
            <v>44770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G231">
            <v>44771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G232">
            <v>44772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G233">
            <v>44773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G234">
            <v>44774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G235">
            <v>44775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G236">
            <v>44776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G237">
            <v>44777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G238">
            <v>44778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G239">
            <v>44779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G240">
            <v>44780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G241">
            <v>44781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G242">
            <v>44782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G243">
            <v>44783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G244">
            <v>44784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G245">
            <v>44785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G246">
            <v>44786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G247">
            <v>44787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G248">
            <v>44788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G249">
            <v>44789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G250">
            <v>44790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G251">
            <v>44791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G252">
            <v>44792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G253">
            <v>44793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G254">
            <v>44794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G255">
            <v>44795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G256">
            <v>44796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G257">
            <v>44797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G258">
            <v>44798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G259">
            <v>44799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G260">
            <v>44800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G261">
            <v>44801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G262">
            <v>44802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G263">
            <v>44803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G264">
            <v>44804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G265">
            <v>44805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G266">
            <v>44806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G267">
            <v>44807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G268">
            <v>44808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G269">
            <v>44809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G270">
            <v>44810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G271">
            <v>44811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G272">
            <v>44812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G273">
            <v>44813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G274">
            <v>44814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G275">
            <v>44815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G276">
            <v>44816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G277">
            <v>44817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G278">
            <v>44818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G279">
            <v>44819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G280">
            <v>44820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G281">
            <v>44821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G282">
            <v>44822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G283">
            <v>44823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G284">
            <v>44824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G285">
            <v>44825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G286">
            <v>44826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G287">
            <v>44827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G288">
            <v>44828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G289">
            <v>44829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G290">
            <v>44830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G291">
            <v>44831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G292">
            <v>44832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G293">
            <v>44833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G294">
            <v>44834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G295">
            <v>44835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G296">
            <v>44836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G297">
            <v>44837</v>
          </cell>
          <cell r="J297">
            <v>0</v>
          </cell>
          <cell r="K297">
            <v>1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2890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G298">
            <v>44838</v>
          </cell>
          <cell r="J298">
            <v>0</v>
          </cell>
          <cell r="K298">
            <v>1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2890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G299">
            <v>44839</v>
          </cell>
          <cell r="J299">
            <v>0</v>
          </cell>
          <cell r="K299">
            <v>1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2890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G300">
            <v>44840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G301">
            <v>44841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G302">
            <v>44842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G303">
            <v>44843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G304">
            <v>44844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G305">
            <v>44845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G306">
            <v>44846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G307">
            <v>44847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G308">
            <v>44848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G309">
            <v>44849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G310">
            <v>44850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G311">
            <v>44851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G312">
            <v>44852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G313">
            <v>44853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G314">
            <v>44854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G315">
            <v>44855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G316">
            <v>44856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G317">
            <v>44857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G318">
            <v>44858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G319">
            <v>44859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G320">
            <v>44860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G321">
            <v>44861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G322">
            <v>44862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G323">
            <v>44863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G324">
            <v>44864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G325">
            <v>44865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G326">
            <v>44866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G327">
            <v>44867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G328">
            <v>44868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G329">
            <v>44869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G330">
            <v>44870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G331">
            <v>44871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G332">
            <v>44872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G333">
            <v>44873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G334">
            <v>44874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G335">
            <v>44875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G336">
            <v>44876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G337">
            <v>44877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G338">
            <v>44878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G339">
            <v>44879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G340">
            <v>44880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G341">
            <v>44881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G342">
            <v>44882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G343">
            <v>44883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G344">
            <v>44884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G345">
            <v>44885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G346">
            <v>44886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G347">
            <v>44887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G348">
            <v>44888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G349">
            <v>44889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G350">
            <v>44890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G351">
            <v>44891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G352">
            <v>44892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G353">
            <v>44893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G354">
            <v>44894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G355">
            <v>44895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G356">
            <v>44896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G357">
            <v>44897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G358">
            <v>44898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G359">
            <v>44899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G360">
            <v>44900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G361">
            <v>44901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G362">
            <v>44902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G363">
            <v>44903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G364">
            <v>44904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R364">
            <v>0</v>
          </cell>
          <cell r="AS364">
            <v>0</v>
          </cell>
          <cell r="AT364">
            <v>0</v>
          </cell>
        </row>
        <row r="365">
          <cell r="G365">
            <v>44905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G366">
            <v>44906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G367">
            <v>44907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G368">
            <v>44908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G369">
            <v>44909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G370">
            <v>44910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G371">
            <v>44911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G372">
            <v>44912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G373">
            <v>44913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G374">
            <v>44914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G375">
            <v>44915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G376">
            <v>44916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G377">
            <v>44917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G378">
            <v>44918</v>
          </cell>
          <cell r="J378">
            <v>1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5400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G379">
            <v>44919</v>
          </cell>
          <cell r="J379">
            <v>1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5400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G380">
            <v>44920</v>
          </cell>
          <cell r="J380">
            <v>1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5400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G381">
            <v>44921</v>
          </cell>
          <cell r="J381">
            <v>1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5400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G382">
            <v>44922</v>
          </cell>
          <cell r="J382">
            <v>1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5400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G383">
            <v>44923</v>
          </cell>
          <cell r="J383">
            <v>1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5400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G384">
            <v>44924</v>
          </cell>
          <cell r="J384">
            <v>1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5400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G385">
            <v>44925</v>
          </cell>
          <cell r="J385">
            <v>1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5400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G386">
            <v>44926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G387" t="str">
            <v/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R387">
            <v>0</v>
          </cell>
          <cell r="AS387">
            <v>0</v>
          </cell>
          <cell r="AT387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>
        <row r="5">
          <cell r="X5">
            <v>44562</v>
          </cell>
          <cell r="Y5">
            <v>44198</v>
          </cell>
        </row>
        <row r="6">
          <cell r="P6">
            <v>44562</v>
          </cell>
          <cell r="Q6" t="str">
            <v>New Year</v>
          </cell>
          <cell r="R6" t="str">
            <v xml:space="preserve">High </v>
          </cell>
          <cell r="X6">
            <v>44563</v>
          </cell>
          <cell r="Y6">
            <v>44199</v>
          </cell>
        </row>
        <row r="7">
          <cell r="P7">
            <v>44563</v>
          </cell>
          <cell r="Q7"/>
          <cell r="R7"/>
          <cell r="X7">
            <v>44564</v>
          </cell>
          <cell r="Y7">
            <v>44200</v>
          </cell>
        </row>
        <row r="8">
          <cell r="P8">
            <v>44564</v>
          </cell>
          <cell r="Q8"/>
          <cell r="R8"/>
          <cell r="X8">
            <v>44565</v>
          </cell>
          <cell r="Y8">
            <v>44201</v>
          </cell>
          <cell r="AB8">
            <v>1</v>
          </cell>
          <cell r="AC8" t="str">
            <v>January</v>
          </cell>
        </row>
        <row r="9">
          <cell r="P9">
            <v>44565</v>
          </cell>
          <cell r="Q9"/>
          <cell r="R9"/>
          <cell r="X9">
            <v>44566</v>
          </cell>
          <cell r="Y9">
            <v>44202</v>
          </cell>
          <cell r="AB9">
            <v>2</v>
          </cell>
          <cell r="AC9" t="str">
            <v>February</v>
          </cell>
        </row>
        <row r="10">
          <cell r="P10">
            <v>44566</v>
          </cell>
          <cell r="Q10"/>
          <cell r="R10"/>
          <cell r="X10">
            <v>44567</v>
          </cell>
          <cell r="Y10">
            <v>44203</v>
          </cell>
          <cell r="AB10">
            <v>3</v>
          </cell>
          <cell r="AC10" t="str">
            <v>March</v>
          </cell>
        </row>
        <row r="11">
          <cell r="P11">
            <v>44567</v>
          </cell>
          <cell r="Q11"/>
          <cell r="R11"/>
          <cell r="X11">
            <v>44568</v>
          </cell>
          <cell r="Y11">
            <v>44204</v>
          </cell>
          <cell r="AB11">
            <v>4</v>
          </cell>
          <cell r="AC11" t="str">
            <v>April</v>
          </cell>
        </row>
        <row r="12">
          <cell r="P12">
            <v>44568</v>
          </cell>
          <cell r="Q12"/>
          <cell r="R12"/>
          <cell r="X12">
            <v>44569</v>
          </cell>
          <cell r="Y12">
            <v>44205</v>
          </cell>
          <cell r="AB12">
            <v>5</v>
          </cell>
          <cell r="AC12" t="str">
            <v>May</v>
          </cell>
        </row>
        <row r="13">
          <cell r="P13">
            <v>44569</v>
          </cell>
          <cell r="Q13"/>
          <cell r="R13"/>
          <cell r="X13">
            <v>44570</v>
          </cell>
          <cell r="Y13">
            <v>44206</v>
          </cell>
          <cell r="AB13">
            <v>6</v>
          </cell>
          <cell r="AC13" t="str">
            <v>June</v>
          </cell>
        </row>
        <row r="14">
          <cell r="P14">
            <v>44570</v>
          </cell>
          <cell r="Q14"/>
          <cell r="R14"/>
          <cell r="X14">
            <v>44571</v>
          </cell>
          <cell r="Y14">
            <v>44207</v>
          </cell>
          <cell r="AB14">
            <v>7</v>
          </cell>
          <cell r="AC14" t="str">
            <v>July</v>
          </cell>
        </row>
        <row r="15">
          <cell r="P15">
            <v>44571</v>
          </cell>
          <cell r="Q15"/>
          <cell r="R15"/>
          <cell r="X15">
            <v>44572</v>
          </cell>
          <cell r="Y15">
            <v>44208</v>
          </cell>
          <cell r="AB15">
            <v>8</v>
          </cell>
          <cell r="AC15" t="str">
            <v>August</v>
          </cell>
        </row>
        <row r="16">
          <cell r="P16">
            <v>44572</v>
          </cell>
          <cell r="Q16"/>
          <cell r="R16"/>
          <cell r="X16">
            <v>44573</v>
          </cell>
          <cell r="Y16">
            <v>44209</v>
          </cell>
          <cell r="AB16">
            <v>9</v>
          </cell>
          <cell r="AC16" t="str">
            <v>September</v>
          </cell>
        </row>
        <row r="17">
          <cell r="P17">
            <v>44573</v>
          </cell>
          <cell r="Q17"/>
          <cell r="R17"/>
          <cell r="X17">
            <v>44574</v>
          </cell>
          <cell r="Y17">
            <v>44210</v>
          </cell>
          <cell r="AB17">
            <v>10</v>
          </cell>
          <cell r="AC17" t="str">
            <v>October</v>
          </cell>
        </row>
        <row r="18">
          <cell r="P18">
            <v>44574</v>
          </cell>
          <cell r="Q18"/>
          <cell r="R18"/>
          <cell r="X18">
            <v>44575</v>
          </cell>
          <cell r="Y18">
            <v>44211</v>
          </cell>
          <cell r="AB18">
            <v>11</v>
          </cell>
          <cell r="AC18" t="str">
            <v>November</v>
          </cell>
        </row>
        <row r="19">
          <cell r="P19">
            <v>44575</v>
          </cell>
          <cell r="Q19" t="str">
            <v>Pongal</v>
          </cell>
          <cell r="R19" t="str">
            <v xml:space="preserve">Medium </v>
          </cell>
          <cell r="X19">
            <v>44576</v>
          </cell>
          <cell r="Y19">
            <v>44212</v>
          </cell>
          <cell r="AB19">
            <v>12</v>
          </cell>
          <cell r="AC19" t="str">
            <v>December</v>
          </cell>
        </row>
        <row r="20">
          <cell r="P20">
            <v>44576</v>
          </cell>
          <cell r="Q20" t="str">
            <v>Thiruvalluvar Day</v>
          </cell>
          <cell r="R20" t="str">
            <v xml:space="preserve">Medium </v>
          </cell>
          <cell r="X20">
            <v>44577</v>
          </cell>
          <cell r="Y20">
            <v>44213</v>
          </cell>
        </row>
        <row r="21">
          <cell r="P21">
            <v>44577</v>
          </cell>
          <cell r="Q21" t="str">
            <v>Pongal</v>
          </cell>
          <cell r="R21" t="str">
            <v xml:space="preserve">Medium </v>
          </cell>
          <cell r="X21">
            <v>44578</v>
          </cell>
          <cell r="Y21">
            <v>44214</v>
          </cell>
          <cell r="AB21">
            <v>1</v>
          </cell>
          <cell r="AC21" t="str">
            <v>Jan</v>
          </cell>
        </row>
        <row r="22">
          <cell r="P22">
            <v>44578</v>
          </cell>
          <cell r="Q22"/>
          <cell r="R22"/>
          <cell r="X22">
            <v>44579</v>
          </cell>
          <cell r="Y22">
            <v>44215</v>
          </cell>
          <cell r="AB22">
            <v>2</v>
          </cell>
          <cell r="AC22" t="str">
            <v>Feb</v>
          </cell>
        </row>
        <row r="23">
          <cell r="P23">
            <v>44579</v>
          </cell>
          <cell r="Q23"/>
          <cell r="R23"/>
          <cell r="X23">
            <v>44580</v>
          </cell>
          <cell r="Y23">
            <v>44216</v>
          </cell>
          <cell r="AB23">
            <v>3</v>
          </cell>
          <cell r="AC23" t="str">
            <v>Mar</v>
          </cell>
        </row>
        <row r="24">
          <cell r="P24">
            <v>44580</v>
          </cell>
          <cell r="Q24"/>
          <cell r="R24"/>
          <cell r="X24">
            <v>44581</v>
          </cell>
          <cell r="Y24">
            <v>44217</v>
          </cell>
          <cell r="AB24">
            <v>4</v>
          </cell>
          <cell r="AC24" t="str">
            <v>Apr</v>
          </cell>
        </row>
        <row r="25">
          <cell r="P25">
            <v>44581</v>
          </cell>
          <cell r="Q25"/>
          <cell r="R25"/>
          <cell r="X25">
            <v>44582</v>
          </cell>
          <cell r="Y25">
            <v>44218</v>
          </cell>
          <cell r="AB25">
            <v>5</v>
          </cell>
          <cell r="AC25" t="str">
            <v>May</v>
          </cell>
        </row>
        <row r="26">
          <cell r="P26">
            <v>44582</v>
          </cell>
          <cell r="Q26"/>
          <cell r="R26"/>
          <cell r="X26">
            <v>44583</v>
          </cell>
          <cell r="Y26">
            <v>44219</v>
          </cell>
          <cell r="AB26">
            <v>6</v>
          </cell>
          <cell r="AC26" t="str">
            <v>Jun</v>
          </cell>
        </row>
        <row r="27">
          <cell r="P27">
            <v>44583</v>
          </cell>
          <cell r="Q27"/>
          <cell r="R27"/>
          <cell r="X27">
            <v>44584</v>
          </cell>
          <cell r="Y27">
            <v>44220</v>
          </cell>
          <cell r="AB27">
            <v>7</v>
          </cell>
          <cell r="AC27" t="str">
            <v>Jul</v>
          </cell>
        </row>
        <row r="28">
          <cell r="P28">
            <v>44584</v>
          </cell>
          <cell r="Q28"/>
          <cell r="R28"/>
          <cell r="X28">
            <v>44585</v>
          </cell>
          <cell r="Y28">
            <v>44221</v>
          </cell>
          <cell r="AB28">
            <v>8</v>
          </cell>
          <cell r="AC28" t="str">
            <v>Aug</v>
          </cell>
        </row>
        <row r="29">
          <cell r="P29">
            <v>44585</v>
          </cell>
          <cell r="Q29"/>
          <cell r="R29"/>
          <cell r="X29">
            <v>44586</v>
          </cell>
          <cell r="Y29">
            <v>44222</v>
          </cell>
          <cell r="AB29">
            <v>9</v>
          </cell>
          <cell r="AC29" t="str">
            <v>Sep</v>
          </cell>
        </row>
        <row r="30">
          <cell r="P30">
            <v>44586</v>
          </cell>
          <cell r="Q30"/>
          <cell r="R30"/>
          <cell r="X30">
            <v>44587</v>
          </cell>
          <cell r="Y30">
            <v>44223</v>
          </cell>
          <cell r="AB30">
            <v>10</v>
          </cell>
          <cell r="AC30" t="str">
            <v>Oct</v>
          </cell>
        </row>
        <row r="31">
          <cell r="P31">
            <v>44587</v>
          </cell>
          <cell r="Q31" t="str">
            <v>Republic Day</v>
          </cell>
          <cell r="R31"/>
          <cell r="X31">
            <v>44588</v>
          </cell>
          <cell r="Y31">
            <v>44224</v>
          </cell>
          <cell r="AB31">
            <v>11</v>
          </cell>
          <cell r="AC31" t="str">
            <v>Nov</v>
          </cell>
        </row>
        <row r="32">
          <cell r="P32">
            <v>44588</v>
          </cell>
          <cell r="Q32"/>
          <cell r="R32"/>
          <cell r="X32">
            <v>44589</v>
          </cell>
          <cell r="Y32">
            <v>44225</v>
          </cell>
          <cell r="AB32">
            <v>12</v>
          </cell>
          <cell r="AC32" t="str">
            <v>Dec</v>
          </cell>
        </row>
        <row r="33">
          <cell r="P33">
            <v>44589</v>
          </cell>
          <cell r="Q33"/>
          <cell r="R33"/>
          <cell r="X33">
            <v>44590</v>
          </cell>
          <cell r="Y33">
            <v>44226</v>
          </cell>
        </row>
        <row r="34">
          <cell r="P34">
            <v>44590</v>
          </cell>
          <cell r="Q34"/>
          <cell r="R34"/>
          <cell r="X34">
            <v>44591</v>
          </cell>
          <cell r="Y34">
            <v>44227</v>
          </cell>
        </row>
        <row r="35">
          <cell r="P35">
            <v>44591</v>
          </cell>
          <cell r="Q35"/>
          <cell r="R35"/>
          <cell r="X35">
            <v>44592</v>
          </cell>
          <cell r="Y35">
            <v>44228</v>
          </cell>
        </row>
        <row r="36">
          <cell r="P36">
            <v>44592</v>
          </cell>
          <cell r="Q36"/>
          <cell r="R36"/>
          <cell r="X36">
            <v>44593</v>
          </cell>
          <cell r="Y36">
            <v>44229</v>
          </cell>
        </row>
        <row r="37">
          <cell r="P37">
            <v>44593</v>
          </cell>
          <cell r="Q37"/>
          <cell r="R37"/>
          <cell r="X37">
            <v>44594</v>
          </cell>
          <cell r="Y37">
            <v>44230</v>
          </cell>
        </row>
        <row r="38">
          <cell r="P38">
            <v>44594</v>
          </cell>
          <cell r="Q38"/>
          <cell r="R38"/>
          <cell r="X38">
            <v>44595</v>
          </cell>
          <cell r="Y38">
            <v>44231</v>
          </cell>
        </row>
        <row r="39">
          <cell r="P39">
            <v>44595</v>
          </cell>
          <cell r="Q39"/>
          <cell r="R39"/>
          <cell r="X39">
            <v>44596</v>
          </cell>
          <cell r="Y39">
            <v>44232</v>
          </cell>
        </row>
        <row r="40">
          <cell r="P40">
            <v>44596</v>
          </cell>
          <cell r="Q40"/>
          <cell r="R40"/>
          <cell r="X40">
            <v>44597</v>
          </cell>
          <cell r="Y40">
            <v>44233</v>
          </cell>
        </row>
        <row r="41">
          <cell r="P41">
            <v>44597</v>
          </cell>
          <cell r="Q41"/>
          <cell r="R41"/>
          <cell r="X41">
            <v>44598</v>
          </cell>
          <cell r="Y41">
            <v>44234</v>
          </cell>
        </row>
        <row r="42">
          <cell r="P42">
            <v>44598</v>
          </cell>
          <cell r="Q42"/>
          <cell r="R42"/>
          <cell r="X42">
            <v>44599</v>
          </cell>
          <cell r="Y42">
            <v>44235</v>
          </cell>
        </row>
        <row r="43">
          <cell r="P43">
            <v>44599</v>
          </cell>
          <cell r="Q43"/>
          <cell r="R43"/>
          <cell r="X43">
            <v>44600</v>
          </cell>
          <cell r="Y43">
            <v>44236</v>
          </cell>
        </row>
        <row r="44">
          <cell r="P44">
            <v>44600</v>
          </cell>
          <cell r="Q44"/>
          <cell r="R44"/>
          <cell r="X44">
            <v>44601</v>
          </cell>
          <cell r="Y44">
            <v>44237</v>
          </cell>
        </row>
        <row r="45">
          <cell r="P45">
            <v>44601</v>
          </cell>
          <cell r="Q45"/>
          <cell r="R45"/>
          <cell r="X45">
            <v>44602</v>
          </cell>
          <cell r="Y45">
            <v>44238</v>
          </cell>
        </row>
        <row r="46">
          <cell r="P46">
            <v>44602</v>
          </cell>
          <cell r="Q46"/>
          <cell r="R46"/>
          <cell r="X46">
            <v>44603</v>
          </cell>
          <cell r="Y46">
            <v>44239</v>
          </cell>
        </row>
        <row r="47">
          <cell r="P47">
            <v>44603</v>
          </cell>
          <cell r="Q47"/>
          <cell r="R47"/>
          <cell r="X47">
            <v>44604</v>
          </cell>
          <cell r="Y47">
            <v>44240</v>
          </cell>
        </row>
        <row r="48">
          <cell r="P48">
            <v>44604</v>
          </cell>
          <cell r="Q48" t="str">
            <v>Chinese New Year</v>
          </cell>
          <cell r="R48" t="str">
            <v xml:space="preserve">Medium </v>
          </cell>
          <cell r="X48">
            <v>44605</v>
          </cell>
          <cell r="Y48">
            <v>44241</v>
          </cell>
        </row>
        <row r="49">
          <cell r="P49">
            <v>44240</v>
          </cell>
          <cell r="Q49" t="str">
            <v>Chinese New Year</v>
          </cell>
          <cell r="R49" t="str">
            <v xml:space="preserve">Medium </v>
          </cell>
          <cell r="X49"/>
          <cell r="Y49"/>
        </row>
        <row r="50">
          <cell r="P50">
            <v>44241</v>
          </cell>
          <cell r="Q50"/>
          <cell r="R50"/>
          <cell r="X50">
            <v>44606</v>
          </cell>
          <cell r="Y50">
            <v>44242</v>
          </cell>
        </row>
        <row r="51">
          <cell r="P51">
            <v>44242</v>
          </cell>
          <cell r="Q51"/>
          <cell r="R51"/>
          <cell r="X51">
            <v>44607</v>
          </cell>
          <cell r="Y51">
            <v>44243</v>
          </cell>
        </row>
        <row r="52">
          <cell r="P52">
            <v>44243</v>
          </cell>
          <cell r="Q52"/>
          <cell r="R52"/>
          <cell r="X52">
            <v>44608</v>
          </cell>
          <cell r="Y52">
            <v>44244</v>
          </cell>
        </row>
        <row r="53">
          <cell r="P53">
            <v>44244</v>
          </cell>
          <cell r="Q53"/>
          <cell r="R53"/>
          <cell r="X53">
            <v>44609</v>
          </cell>
          <cell r="Y53">
            <v>44245</v>
          </cell>
        </row>
        <row r="54">
          <cell r="P54">
            <v>44245</v>
          </cell>
          <cell r="Q54"/>
          <cell r="R54"/>
          <cell r="X54">
            <v>44610</v>
          </cell>
          <cell r="Y54">
            <v>44246</v>
          </cell>
        </row>
        <row r="55">
          <cell r="P55">
            <v>44246</v>
          </cell>
          <cell r="Q55"/>
          <cell r="R55"/>
          <cell r="X55">
            <v>44611</v>
          </cell>
          <cell r="Y55">
            <v>44247</v>
          </cell>
        </row>
        <row r="56">
          <cell r="P56">
            <v>44247</v>
          </cell>
          <cell r="Q56"/>
          <cell r="R56"/>
          <cell r="X56">
            <v>44612</v>
          </cell>
          <cell r="Y56">
            <v>44248</v>
          </cell>
        </row>
        <row r="57">
          <cell r="P57">
            <v>44248</v>
          </cell>
          <cell r="Q57"/>
          <cell r="R57"/>
          <cell r="X57">
            <v>44613</v>
          </cell>
          <cell r="Y57">
            <v>44249</v>
          </cell>
          <cell r="AO57"/>
          <cell r="AP57" t="str">
            <v>Jan</v>
          </cell>
          <cell r="AQ57" t="str">
            <v>Feb</v>
          </cell>
          <cell r="AR57" t="str">
            <v>Mar</v>
          </cell>
          <cell r="AS57" t="str">
            <v>Apr</v>
          </cell>
          <cell r="AT57" t="str">
            <v>May</v>
          </cell>
          <cell r="AU57" t="str">
            <v>Jun</v>
          </cell>
          <cell r="AV57" t="str">
            <v>Jul</v>
          </cell>
          <cell r="AW57" t="str">
            <v>Aug</v>
          </cell>
          <cell r="AX57" t="str">
            <v>Sep</v>
          </cell>
          <cell r="AY57" t="str">
            <v>Oct</v>
          </cell>
          <cell r="AZ57" t="str">
            <v>Nov</v>
          </cell>
          <cell r="BA57" t="str">
            <v>Dec</v>
          </cell>
          <cell r="BB57" t="str">
            <v>Total</v>
          </cell>
        </row>
        <row r="58">
          <cell r="P58">
            <v>44249</v>
          </cell>
          <cell r="Q58"/>
          <cell r="R58"/>
          <cell r="X58">
            <v>44614</v>
          </cell>
          <cell r="Y58">
            <v>44250</v>
          </cell>
          <cell r="AO58" t="str">
            <v>Best Flexible Rate</v>
          </cell>
          <cell r="AP58">
            <v>127.02400000000002</v>
          </cell>
          <cell r="AQ58">
            <v>119.71400000000001</v>
          </cell>
          <cell r="AR58">
            <v>138.04000000000002</v>
          </cell>
          <cell r="AS58">
            <v>136.30600000000001</v>
          </cell>
          <cell r="AT58">
            <v>146.37</v>
          </cell>
          <cell r="AU58">
            <v>146.982</v>
          </cell>
          <cell r="AV58">
            <v>154.63200000000001</v>
          </cell>
          <cell r="AW58">
            <v>162.92800000000003</v>
          </cell>
          <cell r="AX58">
            <v>165.68200000000002</v>
          </cell>
          <cell r="AY58">
            <v>182.274</v>
          </cell>
          <cell r="AZ58">
            <v>181.73000000000002</v>
          </cell>
          <cell r="BA58">
            <v>193.29000000000002</v>
          </cell>
          <cell r="BB58">
            <v>1854.9720000000002</v>
          </cell>
        </row>
        <row r="59">
          <cell r="P59">
            <v>44250</v>
          </cell>
          <cell r="Q59"/>
          <cell r="R59"/>
          <cell r="X59">
            <v>44615</v>
          </cell>
          <cell r="Y59">
            <v>44251</v>
          </cell>
          <cell r="AO59" t="str">
            <v>Public Discount</v>
          </cell>
          <cell r="AP59">
            <v>287.67199999999997</v>
          </cell>
          <cell r="AQ59">
            <v>271.11700000000002</v>
          </cell>
          <cell r="AR59">
            <v>312.62</v>
          </cell>
          <cell r="AS59">
            <v>308.69299999999998</v>
          </cell>
          <cell r="AT59">
            <v>331.48500000000001</v>
          </cell>
          <cell r="AU59">
            <v>332.87099999999998</v>
          </cell>
          <cell r="AV59">
            <v>350.19599999999997</v>
          </cell>
          <cell r="AW59">
            <v>368.98399999999998</v>
          </cell>
          <cell r="AX59">
            <v>375.221</v>
          </cell>
          <cell r="AY59">
            <v>412.79699999999997</v>
          </cell>
          <cell r="AZ59">
            <v>411.565</v>
          </cell>
          <cell r="BA59">
            <v>437.745</v>
          </cell>
          <cell r="BB59">
            <v>4200.9660000000003</v>
          </cell>
        </row>
        <row r="60">
          <cell r="P60">
            <v>44251</v>
          </cell>
          <cell r="Q60"/>
          <cell r="R60"/>
          <cell r="X60">
            <v>44616</v>
          </cell>
          <cell r="Y60">
            <v>44252</v>
          </cell>
          <cell r="AO60" t="str">
            <v>Corporate Discount</v>
          </cell>
          <cell r="AP60">
            <v>127.3976</v>
          </cell>
          <cell r="AQ60">
            <v>120.06609999999999</v>
          </cell>
          <cell r="AR60">
            <v>138.446</v>
          </cell>
          <cell r="AS60">
            <v>136.70689999999999</v>
          </cell>
          <cell r="AT60">
            <v>146.8005</v>
          </cell>
          <cell r="AU60">
            <v>147.4143</v>
          </cell>
          <cell r="AV60">
            <v>155.08679999999998</v>
          </cell>
          <cell r="AW60">
            <v>163.40719999999999</v>
          </cell>
          <cell r="AX60">
            <v>166.16929999999999</v>
          </cell>
          <cell r="AY60">
            <v>182.81009999999998</v>
          </cell>
          <cell r="AZ60">
            <v>182.2645</v>
          </cell>
          <cell r="BA60">
            <v>193.85849999999999</v>
          </cell>
          <cell r="BB60">
            <v>1860.4277999999997</v>
          </cell>
        </row>
        <row r="61">
          <cell r="P61">
            <v>44252</v>
          </cell>
          <cell r="Q61"/>
          <cell r="R61"/>
          <cell r="X61">
            <v>44617</v>
          </cell>
          <cell r="Y61">
            <v>44253</v>
          </cell>
          <cell r="AO61" t="str">
            <v>Partnership Discount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</row>
        <row r="62">
          <cell r="P62">
            <v>44253</v>
          </cell>
          <cell r="Q62"/>
          <cell r="R62"/>
          <cell r="X62">
            <v>44618</v>
          </cell>
          <cell r="Y62">
            <v>44254</v>
          </cell>
          <cell r="AO62" t="str">
            <v>Ascott Star Rewards</v>
          </cell>
          <cell r="AP62">
            <v>186.8</v>
          </cell>
          <cell r="AQ62">
            <v>176.05</v>
          </cell>
          <cell r="AR62">
            <v>203</v>
          </cell>
          <cell r="AS62">
            <v>200.45000000000002</v>
          </cell>
          <cell r="AT62">
            <v>215.25</v>
          </cell>
          <cell r="AU62">
            <v>216.15</v>
          </cell>
          <cell r="AV62">
            <v>227.4</v>
          </cell>
          <cell r="AW62">
            <v>239.60000000000002</v>
          </cell>
          <cell r="AX62">
            <v>243.65</v>
          </cell>
          <cell r="AY62">
            <v>268.05</v>
          </cell>
          <cell r="AZ62">
            <v>267.25</v>
          </cell>
          <cell r="BA62">
            <v>284.25</v>
          </cell>
          <cell r="BB62">
            <v>2727.9000000000005</v>
          </cell>
        </row>
        <row r="63">
          <cell r="P63">
            <v>44254</v>
          </cell>
          <cell r="Q63"/>
          <cell r="R63"/>
          <cell r="X63">
            <v>44619</v>
          </cell>
          <cell r="Y63">
            <v>44255</v>
          </cell>
          <cell r="AO63" t="str">
            <v>Work Space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</row>
        <row r="64">
          <cell r="P64">
            <v>44255</v>
          </cell>
          <cell r="Q64"/>
          <cell r="R64"/>
          <cell r="X64">
            <v>44620</v>
          </cell>
          <cell r="Y64">
            <v>44256</v>
          </cell>
          <cell r="AO64" t="str">
            <v>Employee Travel</v>
          </cell>
          <cell r="AP64">
            <v>10.460800000000001</v>
          </cell>
          <cell r="AQ64">
            <v>9.8588000000000005</v>
          </cell>
          <cell r="AR64">
            <v>11.368</v>
          </cell>
          <cell r="AS64">
            <v>11.225199999999999</v>
          </cell>
          <cell r="AT64">
            <v>12.054</v>
          </cell>
          <cell r="AU64">
            <v>12.1044</v>
          </cell>
          <cell r="AV64">
            <v>12.734399999999999</v>
          </cell>
          <cell r="AW64">
            <v>13.4176</v>
          </cell>
          <cell r="AX64">
            <v>13.644399999999999</v>
          </cell>
          <cell r="AY64">
            <v>15.0108</v>
          </cell>
          <cell r="AZ64">
            <v>14.965999999999999</v>
          </cell>
          <cell r="BA64">
            <v>15.917999999999999</v>
          </cell>
          <cell r="BB64">
            <v>152.76240000000001</v>
          </cell>
        </row>
        <row r="65">
          <cell r="P65">
            <v>44256</v>
          </cell>
          <cell r="Q65"/>
          <cell r="R65"/>
          <cell r="X65">
            <v>44621</v>
          </cell>
          <cell r="Y65">
            <v>44257</v>
          </cell>
          <cell r="AO65" t="str">
            <v>Corporate Contract (below 1 mth)</v>
          </cell>
          <cell r="AP65">
            <v>261.52000000000004</v>
          </cell>
          <cell r="AQ65">
            <v>246.47000000000003</v>
          </cell>
          <cell r="AR65">
            <v>284.20000000000005</v>
          </cell>
          <cell r="AS65">
            <v>280.63000000000005</v>
          </cell>
          <cell r="AT65">
            <v>301.35000000000002</v>
          </cell>
          <cell r="AU65">
            <v>302.61</v>
          </cell>
          <cell r="AV65">
            <v>318.36</v>
          </cell>
          <cell r="AW65">
            <v>335.44000000000005</v>
          </cell>
          <cell r="AX65">
            <v>341.11</v>
          </cell>
          <cell r="AY65">
            <v>375.27000000000004</v>
          </cell>
          <cell r="AZ65">
            <v>374.15000000000003</v>
          </cell>
          <cell r="BA65">
            <v>397.95000000000005</v>
          </cell>
          <cell r="BB65">
            <v>3819.0600000000004</v>
          </cell>
        </row>
        <row r="66">
          <cell r="P66">
            <v>44257</v>
          </cell>
          <cell r="Q66"/>
          <cell r="R66"/>
          <cell r="X66">
            <v>44622</v>
          </cell>
          <cell r="Y66">
            <v>44258</v>
          </cell>
          <cell r="AO66" t="str">
            <v>Monthly Contract (1 to 6 mth)</v>
          </cell>
          <cell r="AP66">
            <v>2568.5</v>
          </cell>
          <cell r="AQ66">
            <v>2420.6875</v>
          </cell>
          <cell r="AR66">
            <v>2791.25</v>
          </cell>
          <cell r="AS66">
            <v>2756.1875</v>
          </cell>
          <cell r="AT66">
            <v>2959.6875</v>
          </cell>
          <cell r="AU66">
            <v>2972.0625</v>
          </cell>
          <cell r="AV66">
            <v>3126.75</v>
          </cell>
          <cell r="AW66">
            <v>3294.5</v>
          </cell>
          <cell r="AX66">
            <v>3350.1875</v>
          </cell>
          <cell r="AY66">
            <v>3685.6875</v>
          </cell>
          <cell r="AZ66">
            <v>3674.6875</v>
          </cell>
          <cell r="BA66">
            <v>3908.4375</v>
          </cell>
          <cell r="BB66">
            <v>37508.625</v>
          </cell>
        </row>
        <row r="67">
          <cell r="P67">
            <v>44258</v>
          </cell>
          <cell r="Q67"/>
          <cell r="R67"/>
          <cell r="X67">
            <v>44623</v>
          </cell>
          <cell r="Y67">
            <v>44259</v>
          </cell>
          <cell r="AO67" t="str">
            <v>Long Term Contract (above 6 mth)</v>
          </cell>
          <cell r="AP67">
            <v>87.422399999999996</v>
          </cell>
          <cell r="AQ67">
            <v>82.391400000000004</v>
          </cell>
          <cell r="AR67">
            <v>95.004000000000005</v>
          </cell>
          <cell r="AS67">
            <v>93.810600000000008</v>
          </cell>
          <cell r="AT67">
            <v>100.73700000000001</v>
          </cell>
          <cell r="AU67">
            <v>101.15820000000001</v>
          </cell>
          <cell r="AV67">
            <v>106.42320000000001</v>
          </cell>
          <cell r="AW67">
            <v>112.1328</v>
          </cell>
          <cell r="AX67">
            <v>114.0282</v>
          </cell>
          <cell r="AY67">
            <v>125.4474</v>
          </cell>
          <cell r="AZ67">
            <v>125.07300000000001</v>
          </cell>
          <cell r="BA67">
            <v>133.029</v>
          </cell>
          <cell r="BB67">
            <v>1276.6572000000001</v>
          </cell>
        </row>
        <row r="68">
          <cell r="P68">
            <v>44259</v>
          </cell>
          <cell r="Q68"/>
          <cell r="R68"/>
          <cell r="X68">
            <v>44624</v>
          </cell>
          <cell r="Y68">
            <v>44260</v>
          </cell>
          <cell r="AO68" t="str">
            <v>Wholesale</v>
          </cell>
          <cell r="AP68">
            <v>20.547999999999998</v>
          </cell>
          <cell r="AQ68">
            <v>19.365499999999997</v>
          </cell>
          <cell r="AR68">
            <v>22.33</v>
          </cell>
          <cell r="AS68">
            <v>22.049499999999998</v>
          </cell>
          <cell r="AT68">
            <v>23.677499999999998</v>
          </cell>
          <cell r="AU68">
            <v>23.776499999999999</v>
          </cell>
          <cell r="AV68">
            <v>25.013999999999999</v>
          </cell>
          <cell r="AW68">
            <v>26.355999999999998</v>
          </cell>
          <cell r="AX68">
            <v>26.801499999999997</v>
          </cell>
          <cell r="AY68">
            <v>29.485499999999998</v>
          </cell>
          <cell r="AZ68">
            <v>29.397499999999997</v>
          </cell>
          <cell r="BA68">
            <v>31.267499999999998</v>
          </cell>
          <cell r="BB68">
            <v>300.06899999999996</v>
          </cell>
        </row>
        <row r="69">
          <cell r="P69">
            <v>44260</v>
          </cell>
          <cell r="Q69"/>
          <cell r="R69"/>
          <cell r="X69">
            <v>44625</v>
          </cell>
          <cell r="Y69">
            <v>44261</v>
          </cell>
          <cell r="AO69" t="str">
            <v>Corporate Group (below 1 mth)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</row>
        <row r="70">
          <cell r="P70">
            <v>44261</v>
          </cell>
          <cell r="Q70"/>
          <cell r="R70"/>
          <cell r="X70">
            <v>44626</v>
          </cell>
          <cell r="Y70">
            <v>44262</v>
          </cell>
          <cell r="AO70" t="str">
            <v>Corp Monthly Group (above 1 mth)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</row>
        <row r="71">
          <cell r="P71">
            <v>44262</v>
          </cell>
          <cell r="Q71"/>
          <cell r="R71"/>
          <cell r="X71">
            <v>44627</v>
          </cell>
          <cell r="Y71">
            <v>44263</v>
          </cell>
          <cell r="AO71" t="str">
            <v>Leisure Group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</row>
        <row r="72">
          <cell r="P72">
            <v>44263</v>
          </cell>
          <cell r="Q72"/>
          <cell r="R72"/>
          <cell r="X72">
            <v>44628</v>
          </cell>
          <cell r="Y72">
            <v>44264</v>
          </cell>
          <cell r="AO72" t="str">
            <v>Airline Crew Group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</row>
        <row r="73">
          <cell r="P73">
            <v>44264</v>
          </cell>
          <cell r="Q73"/>
          <cell r="R73"/>
          <cell r="X73">
            <v>44629</v>
          </cell>
          <cell r="Y73">
            <v>44265</v>
          </cell>
          <cell r="AO73" t="str">
            <v>Complimentary</v>
          </cell>
          <cell r="AP73">
            <v>8.5928000000000004</v>
          </cell>
          <cell r="AQ73">
            <v>8.0983000000000001</v>
          </cell>
          <cell r="AR73">
            <v>9.3379999999999992</v>
          </cell>
          <cell r="AS73">
            <v>9.220699999999999</v>
          </cell>
          <cell r="AT73">
            <v>9.9015000000000004</v>
          </cell>
          <cell r="AU73">
            <v>9.9428999999999998</v>
          </cell>
          <cell r="AV73">
            <v>10.4604</v>
          </cell>
          <cell r="AW73">
            <v>11.021599999999999</v>
          </cell>
          <cell r="AX73">
            <v>11.2079</v>
          </cell>
          <cell r="AY73">
            <v>12.330299999999999</v>
          </cell>
          <cell r="AZ73">
            <v>12.2935</v>
          </cell>
          <cell r="BA73">
            <v>13.0755</v>
          </cell>
          <cell r="BB73">
            <v>125.48339999999999</v>
          </cell>
        </row>
        <row r="74">
          <cell r="P74">
            <v>44265</v>
          </cell>
          <cell r="Q74"/>
          <cell r="R74"/>
          <cell r="X74">
            <v>44630</v>
          </cell>
          <cell r="Y74">
            <v>44266</v>
          </cell>
          <cell r="AO74" t="str">
            <v>House Use</v>
          </cell>
          <cell r="AP74">
            <v>50.062400000000004</v>
          </cell>
          <cell r="AQ74">
            <v>47.181400000000004</v>
          </cell>
          <cell r="AR74">
            <v>54.404000000000003</v>
          </cell>
          <cell r="AS74">
            <v>53.720600000000005</v>
          </cell>
          <cell r="AT74">
            <v>57.687000000000005</v>
          </cell>
          <cell r="AU74">
            <v>57.928200000000004</v>
          </cell>
          <cell r="AV74">
            <v>60.943200000000004</v>
          </cell>
          <cell r="AW74">
            <v>64.212800000000001</v>
          </cell>
          <cell r="AX74">
            <v>65.298200000000008</v>
          </cell>
          <cell r="AY74">
            <v>71.837400000000002</v>
          </cell>
          <cell r="AZ74">
            <v>71.623000000000005</v>
          </cell>
          <cell r="BA74">
            <v>76.179000000000002</v>
          </cell>
          <cell r="BB74">
            <v>731.07720000000006</v>
          </cell>
        </row>
        <row r="75">
          <cell r="P75">
            <v>44266</v>
          </cell>
          <cell r="Q75" t="str">
            <v>Maha Shivratri</v>
          </cell>
          <cell r="R75" t="str">
            <v xml:space="preserve">Low </v>
          </cell>
          <cell r="X75">
            <v>44631</v>
          </cell>
          <cell r="Y75">
            <v>44267</v>
          </cell>
          <cell r="AO75" t="str">
            <v>System Use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</row>
        <row r="76">
          <cell r="P76">
            <v>44267</v>
          </cell>
          <cell r="Q76"/>
          <cell r="R76"/>
          <cell r="X76">
            <v>44632</v>
          </cell>
          <cell r="Y76">
            <v>44268</v>
          </cell>
          <cell r="AO76" t="str">
            <v>Total</v>
          </cell>
          <cell r="AP76">
            <v>3735.9999999999991</v>
          </cell>
          <cell r="AQ76">
            <v>3521</v>
          </cell>
          <cell r="AR76">
            <v>4060</v>
          </cell>
          <cell r="AS76">
            <v>4009</v>
          </cell>
          <cell r="AT76">
            <v>4305</v>
          </cell>
          <cell r="AU76">
            <v>4323</v>
          </cell>
          <cell r="AV76">
            <v>4548</v>
          </cell>
          <cell r="AW76">
            <v>4792</v>
          </cell>
          <cell r="AX76">
            <v>4873</v>
          </cell>
          <cell r="AY76">
            <v>5361</v>
          </cell>
          <cell r="AZ76">
            <v>5345</v>
          </cell>
          <cell r="BA76">
            <v>5685.0000000000009</v>
          </cell>
          <cell r="BB76">
            <v>54558</v>
          </cell>
        </row>
        <row r="77">
          <cell r="P77">
            <v>44268</v>
          </cell>
          <cell r="Q77"/>
          <cell r="R77"/>
          <cell r="X77">
            <v>44633</v>
          </cell>
          <cell r="Y77">
            <v>44269</v>
          </cell>
        </row>
        <row r="78">
          <cell r="P78">
            <v>44269</v>
          </cell>
          <cell r="Q78"/>
          <cell r="R78"/>
          <cell r="X78">
            <v>44634</v>
          </cell>
          <cell r="Y78">
            <v>44270</v>
          </cell>
        </row>
        <row r="79">
          <cell r="P79">
            <v>44270</v>
          </cell>
          <cell r="Q79"/>
          <cell r="R79"/>
          <cell r="X79">
            <v>44635</v>
          </cell>
          <cell r="Y79">
            <v>44271</v>
          </cell>
        </row>
        <row r="80">
          <cell r="P80">
            <v>44271</v>
          </cell>
          <cell r="Q80"/>
          <cell r="R80"/>
          <cell r="X80">
            <v>44636</v>
          </cell>
          <cell r="Y80">
            <v>44272</v>
          </cell>
        </row>
        <row r="81">
          <cell r="P81">
            <v>44272</v>
          </cell>
          <cell r="Q81"/>
          <cell r="R81"/>
          <cell r="X81">
            <v>44637</v>
          </cell>
          <cell r="Y81">
            <v>44273</v>
          </cell>
        </row>
        <row r="82">
          <cell r="P82">
            <v>44273</v>
          </cell>
          <cell r="Q82"/>
          <cell r="R82"/>
          <cell r="X82">
            <v>44638</v>
          </cell>
          <cell r="Y82">
            <v>44274</v>
          </cell>
          <cell r="AO82"/>
          <cell r="AP82" t="str">
            <v>Jan</v>
          </cell>
          <cell r="AQ82" t="str">
            <v>Feb</v>
          </cell>
          <cell r="AR82" t="str">
            <v>Mar</v>
          </cell>
          <cell r="AS82" t="str">
            <v>Apr</v>
          </cell>
          <cell r="AT82" t="str">
            <v>May</v>
          </cell>
          <cell r="AU82" t="str">
            <v>Jun</v>
          </cell>
          <cell r="AV82" t="str">
            <v>Jul</v>
          </cell>
          <cell r="AW82" t="str">
            <v>Aug</v>
          </cell>
          <cell r="AX82" t="str">
            <v>Sep</v>
          </cell>
          <cell r="AY82" t="str">
            <v>Oct</v>
          </cell>
          <cell r="AZ82" t="str">
            <v>Nov</v>
          </cell>
          <cell r="BA82" t="str">
            <v>Dec</v>
          </cell>
          <cell r="BB82" t="str">
            <v>Total</v>
          </cell>
        </row>
        <row r="83">
          <cell r="P83">
            <v>44274</v>
          </cell>
          <cell r="Q83"/>
          <cell r="R83"/>
          <cell r="X83">
            <v>44639</v>
          </cell>
          <cell r="Y83">
            <v>44275</v>
          </cell>
          <cell r="AO83" t="str">
            <v>Best Flexible Rate</v>
          </cell>
          <cell r="AP83">
            <v>277636.68779999996</v>
          </cell>
          <cell r="AQ83">
            <v>265062.57209999999</v>
          </cell>
          <cell r="AR83">
            <v>303734.37299999996</v>
          </cell>
          <cell r="AS83">
            <v>295311.55769999995</v>
          </cell>
          <cell r="AT83">
            <v>316431.23909999995</v>
          </cell>
          <cell r="AU83">
            <v>317085.53339999996</v>
          </cell>
          <cell r="AV83">
            <v>332152.40669999999</v>
          </cell>
          <cell r="AW83">
            <v>352253.65139999997</v>
          </cell>
          <cell r="AX83">
            <v>355877.61299999995</v>
          </cell>
          <cell r="AY83">
            <v>402650.13779999997</v>
          </cell>
          <cell r="AZ83">
            <v>403184.98799999995</v>
          </cell>
          <cell r="BA83">
            <v>430703.16239999997</v>
          </cell>
          <cell r="BB83">
            <v>4052083.9223999996</v>
          </cell>
        </row>
        <row r="84">
          <cell r="P84">
            <v>44275</v>
          </cell>
          <cell r="Q84"/>
          <cell r="R84"/>
          <cell r="X84">
            <v>44640</v>
          </cell>
          <cell r="Y84">
            <v>44276</v>
          </cell>
          <cell r="AO84" t="str">
            <v>Public Discount</v>
          </cell>
          <cell r="AP84">
            <v>534515.49239999999</v>
          </cell>
          <cell r="AQ84">
            <v>510307.38180000003</v>
          </cell>
          <cell r="AR84">
            <v>584759.63399999996</v>
          </cell>
          <cell r="AS84">
            <v>568543.74659999995</v>
          </cell>
          <cell r="AT84">
            <v>609204.06779999996</v>
          </cell>
          <cell r="AU84">
            <v>610463.73719999997</v>
          </cell>
          <cell r="AV84">
            <v>639470.98860000004</v>
          </cell>
          <cell r="AW84">
            <v>678170.58120000002</v>
          </cell>
          <cell r="AX84">
            <v>685147.554</v>
          </cell>
          <cell r="AY84">
            <v>775195.59239999996</v>
          </cell>
          <cell r="AZ84">
            <v>776225.304</v>
          </cell>
          <cell r="BA84">
            <v>829204.21920000005</v>
          </cell>
          <cell r="BB84">
            <v>7801208.2991999984</v>
          </cell>
        </row>
        <row r="85">
          <cell r="P85">
            <v>44276</v>
          </cell>
          <cell r="Q85"/>
          <cell r="R85"/>
          <cell r="X85">
            <v>44641</v>
          </cell>
          <cell r="Y85">
            <v>44277</v>
          </cell>
          <cell r="AO85" t="str">
            <v>Corporate Discount</v>
          </cell>
          <cell r="AP85">
            <v>257743.7164</v>
          </cell>
          <cell r="AQ85">
            <v>246070.54980000001</v>
          </cell>
          <cell r="AR85">
            <v>281971.47399999999</v>
          </cell>
          <cell r="AS85">
            <v>274152.16259999998</v>
          </cell>
          <cell r="AT85">
            <v>293758.59580000001</v>
          </cell>
          <cell r="AU85">
            <v>294366.00920000003</v>
          </cell>
          <cell r="AV85">
            <v>308353.32459999999</v>
          </cell>
          <cell r="AW85">
            <v>327014.29320000001</v>
          </cell>
          <cell r="AX85">
            <v>330378.59399999998</v>
          </cell>
          <cell r="AY85">
            <v>373799.81640000001</v>
          </cell>
          <cell r="AZ85">
            <v>374296.34399999998</v>
          </cell>
          <cell r="BA85">
            <v>399842.8112</v>
          </cell>
          <cell r="BB85">
            <v>3761747.6911999998</v>
          </cell>
        </row>
        <row r="86">
          <cell r="P86">
            <v>44277</v>
          </cell>
          <cell r="Q86"/>
          <cell r="R86"/>
          <cell r="X86">
            <v>44642</v>
          </cell>
          <cell r="Y86">
            <v>44278</v>
          </cell>
          <cell r="AO86" t="str">
            <v>Partnership Discount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</row>
        <row r="87">
          <cell r="P87">
            <v>44278</v>
          </cell>
          <cell r="Q87"/>
          <cell r="R87"/>
          <cell r="X87">
            <v>44643</v>
          </cell>
          <cell r="Y87">
            <v>44279</v>
          </cell>
          <cell r="AO87" t="str">
            <v>Ascott Star Rewards</v>
          </cell>
          <cell r="AP87">
            <v>330396.3076</v>
          </cell>
          <cell r="AQ87">
            <v>315432.7182</v>
          </cell>
          <cell r="AR87">
            <v>361453.36599999998</v>
          </cell>
          <cell r="AS87">
            <v>351429.9534</v>
          </cell>
          <cell r="AT87">
            <v>376563.03219999996</v>
          </cell>
          <cell r="AU87">
            <v>377341.66279999999</v>
          </cell>
          <cell r="AV87">
            <v>395271.71139999997</v>
          </cell>
          <cell r="AW87">
            <v>419192.81879999995</v>
          </cell>
          <cell r="AX87">
            <v>423505.446</v>
          </cell>
          <cell r="AY87">
            <v>479166.20759999997</v>
          </cell>
          <cell r="AZ87">
            <v>479802.696</v>
          </cell>
          <cell r="BA87">
            <v>512550.18079999997</v>
          </cell>
          <cell r="BB87">
            <v>4822106.1008000001</v>
          </cell>
        </row>
        <row r="88">
          <cell r="P88">
            <v>44279</v>
          </cell>
          <cell r="Q88"/>
          <cell r="R88"/>
          <cell r="X88">
            <v>44644</v>
          </cell>
          <cell r="Y88">
            <v>44280</v>
          </cell>
          <cell r="AO88" t="str">
            <v>Work Space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</row>
        <row r="89">
          <cell r="P89">
            <v>44279</v>
          </cell>
          <cell r="Q89"/>
          <cell r="R89"/>
          <cell r="X89">
            <v>44645</v>
          </cell>
          <cell r="Y89">
            <v>44281</v>
          </cell>
          <cell r="AO89" t="str">
            <v>Employee Travel</v>
          </cell>
          <cell r="AP89">
            <v>19028.059600000001</v>
          </cell>
          <cell r="AQ89">
            <v>18166.282200000001</v>
          </cell>
          <cell r="AR89">
            <v>20816.686000000002</v>
          </cell>
          <cell r="AS89">
            <v>20239.421400000003</v>
          </cell>
          <cell r="AT89">
            <v>21686.876200000002</v>
          </cell>
          <cell r="AU89">
            <v>21731.718800000002</v>
          </cell>
          <cell r="AV89">
            <v>22764.339400000001</v>
          </cell>
          <cell r="AW89">
            <v>24141.9948</v>
          </cell>
          <cell r="AX89">
            <v>24390.366000000002</v>
          </cell>
          <cell r="AY89">
            <v>27595.959600000002</v>
          </cell>
          <cell r="AZ89">
            <v>27632.616000000002</v>
          </cell>
          <cell r="BA89">
            <v>29518.596800000003</v>
          </cell>
          <cell r="BB89">
            <v>277712.91680000001</v>
          </cell>
        </row>
        <row r="90">
          <cell r="P90">
            <v>44280</v>
          </cell>
          <cell r="Q90"/>
          <cell r="R90"/>
          <cell r="X90">
            <v>44645</v>
          </cell>
          <cell r="Y90">
            <v>44281</v>
          </cell>
          <cell r="AO90" t="str">
            <v>Corporate Contract (below 1 mth)</v>
          </cell>
          <cell r="AP90">
            <v>508568.1384</v>
          </cell>
          <cell r="AQ90">
            <v>485535.17879999999</v>
          </cell>
          <cell r="AR90">
            <v>556373.24399999995</v>
          </cell>
          <cell r="AS90">
            <v>540944.53559999994</v>
          </cell>
          <cell r="AT90">
            <v>579631.05479999993</v>
          </cell>
          <cell r="AU90">
            <v>580829.57519999996</v>
          </cell>
          <cell r="AV90">
            <v>608428.70759999997</v>
          </cell>
          <cell r="AW90">
            <v>645249.67920000001</v>
          </cell>
          <cell r="AX90">
            <v>651887.96400000004</v>
          </cell>
          <cell r="AY90">
            <v>737564.73840000003</v>
          </cell>
          <cell r="AZ90">
            <v>738544.46399999992</v>
          </cell>
          <cell r="BA90">
            <v>788951.58719999995</v>
          </cell>
          <cell r="BB90">
            <v>7422508.8671999993</v>
          </cell>
        </row>
        <row r="91">
          <cell r="P91">
            <v>44281</v>
          </cell>
          <cell r="Q91"/>
          <cell r="R91"/>
          <cell r="X91">
            <v>44646</v>
          </cell>
          <cell r="Y91">
            <v>44282</v>
          </cell>
          <cell r="AO91" t="str">
            <v>Monthly Contract (1 to 6 mth)</v>
          </cell>
          <cell r="AP91">
            <v>6446187.6453999998</v>
          </cell>
          <cell r="AQ91">
            <v>6154240.9652999993</v>
          </cell>
          <cell r="AR91">
            <v>7052125.4890000001</v>
          </cell>
          <cell r="AS91">
            <v>6856563.9860999994</v>
          </cell>
          <cell r="AT91">
            <v>7346922.1963</v>
          </cell>
          <cell r="AU91">
            <v>7362113.6461999994</v>
          </cell>
          <cell r="AV91">
            <v>7711937.3430999992</v>
          </cell>
          <cell r="AW91">
            <v>8178649.4201999996</v>
          </cell>
          <cell r="AX91">
            <v>8262790.8089999994</v>
          </cell>
          <cell r="AY91">
            <v>9348758.4954000004</v>
          </cell>
          <cell r="AZ91">
            <v>9361176.6840000004</v>
          </cell>
          <cell r="BA91">
            <v>10000095.543199999</v>
          </cell>
          <cell r="BB91">
            <v>94081562.223199993</v>
          </cell>
        </row>
        <row r="92">
          <cell r="P92">
            <v>44282</v>
          </cell>
          <cell r="Q92"/>
          <cell r="R92"/>
          <cell r="X92">
            <v>44647</v>
          </cell>
          <cell r="Y92">
            <v>44283</v>
          </cell>
          <cell r="AO92" t="str">
            <v>Long Term Contract (above 6 mth)</v>
          </cell>
          <cell r="AP92">
            <v>237850.745</v>
          </cell>
          <cell r="AQ92">
            <v>227078.5275</v>
          </cell>
          <cell r="AR92">
            <v>260208.57500000001</v>
          </cell>
          <cell r="AS92">
            <v>252992.76749999999</v>
          </cell>
          <cell r="AT92">
            <v>271085.95250000001</v>
          </cell>
          <cell r="AU92">
            <v>271646.48499999999</v>
          </cell>
          <cell r="AV92">
            <v>284554.24249999999</v>
          </cell>
          <cell r="AW92">
            <v>301774.935</v>
          </cell>
          <cell r="AX92">
            <v>304879.57500000001</v>
          </cell>
          <cell r="AY92">
            <v>344949.495</v>
          </cell>
          <cell r="AZ92">
            <v>345407.7</v>
          </cell>
          <cell r="BA92">
            <v>368982.46</v>
          </cell>
          <cell r="BB92">
            <v>3471411.46</v>
          </cell>
        </row>
        <row r="93">
          <cell r="P93">
            <v>44283</v>
          </cell>
          <cell r="Q93"/>
          <cell r="R93"/>
          <cell r="X93">
            <v>44648</v>
          </cell>
          <cell r="Y93">
            <v>44284</v>
          </cell>
          <cell r="AO93" t="str">
            <v>Wholesale</v>
          </cell>
          <cell r="AP93">
            <v>37191.207399999999</v>
          </cell>
          <cell r="AQ93">
            <v>35506.8243</v>
          </cell>
          <cell r="AR93">
            <v>40687.159</v>
          </cell>
          <cell r="AS93">
            <v>39558.869100000004</v>
          </cell>
          <cell r="AT93">
            <v>42387.9853</v>
          </cell>
          <cell r="AU93">
            <v>42475.6322</v>
          </cell>
          <cell r="AV93">
            <v>44493.936099999999</v>
          </cell>
          <cell r="AW93">
            <v>47186.626199999999</v>
          </cell>
          <cell r="AX93">
            <v>47672.078999999998</v>
          </cell>
          <cell r="AY93">
            <v>53937.557399999998</v>
          </cell>
          <cell r="AZ93">
            <v>54009.203999999998</v>
          </cell>
          <cell r="BA93">
            <v>57695.439200000001</v>
          </cell>
          <cell r="BB93">
            <v>542802.51919999998</v>
          </cell>
        </row>
        <row r="94">
          <cell r="P94">
            <v>44284</v>
          </cell>
          <cell r="Q94" t="str">
            <v>Holi</v>
          </cell>
          <cell r="R94" t="str">
            <v xml:space="preserve">Low </v>
          </cell>
          <cell r="X94">
            <v>44649</v>
          </cell>
          <cell r="Y94">
            <v>44285</v>
          </cell>
          <cell r="AO94" t="str">
            <v>Corporate Group (below 1 mth)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</row>
        <row r="95">
          <cell r="P95">
            <v>44285</v>
          </cell>
          <cell r="Q95"/>
          <cell r="R95"/>
          <cell r="X95">
            <v>44650</v>
          </cell>
          <cell r="Y95">
            <v>44286</v>
          </cell>
          <cell r="AO95" t="str">
            <v>Corp Monthly Group (above 1 mth)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</row>
        <row r="96">
          <cell r="P96">
            <v>44286</v>
          </cell>
          <cell r="Q96"/>
          <cell r="R96"/>
          <cell r="X96">
            <v>44651</v>
          </cell>
          <cell r="Y96">
            <v>44287</v>
          </cell>
          <cell r="AO96" t="str">
            <v>Leisure Group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</row>
        <row r="97">
          <cell r="P97">
            <v>44287</v>
          </cell>
          <cell r="Q97"/>
          <cell r="R97"/>
          <cell r="X97">
            <v>44652</v>
          </cell>
          <cell r="Y97">
            <v>44288</v>
          </cell>
          <cell r="AO97" t="str">
            <v>Airline Crew Group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</row>
        <row r="98">
          <cell r="P98">
            <v>44288</v>
          </cell>
          <cell r="Q98" t="str">
            <v>Good Friday</v>
          </cell>
          <cell r="R98" t="str">
            <v xml:space="preserve">Medium </v>
          </cell>
          <cell r="X98">
            <v>44653</v>
          </cell>
          <cell r="Y98">
            <v>44289</v>
          </cell>
          <cell r="AO98" t="str">
            <v>Complimentary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</row>
        <row r="99">
          <cell r="P99">
            <v>44289</v>
          </cell>
          <cell r="Q99"/>
          <cell r="R99"/>
          <cell r="X99">
            <v>44654</v>
          </cell>
          <cell r="Y99">
            <v>44290</v>
          </cell>
          <cell r="AO99" t="str">
            <v>House Use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</row>
        <row r="100">
          <cell r="P100">
            <v>44290</v>
          </cell>
          <cell r="Q100"/>
          <cell r="R100"/>
          <cell r="X100">
            <v>44655</v>
          </cell>
          <cell r="Y100">
            <v>44291</v>
          </cell>
          <cell r="AO100" t="str">
            <v>System Use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</row>
        <row r="101">
          <cell r="P101">
            <v>44291</v>
          </cell>
          <cell r="Q101"/>
          <cell r="R101"/>
          <cell r="X101">
            <v>44656</v>
          </cell>
          <cell r="Y101">
            <v>44292</v>
          </cell>
          <cell r="AO101" t="str">
            <v>Total</v>
          </cell>
          <cell r="AP101">
            <v>8649117.9999999981</v>
          </cell>
          <cell r="AQ101">
            <v>8257401</v>
          </cell>
          <cell r="AR101">
            <v>9462129.9999999981</v>
          </cell>
          <cell r="AS101">
            <v>9199737</v>
          </cell>
          <cell r="AT101">
            <v>9857671.0000000019</v>
          </cell>
          <cell r="AU101">
            <v>9878054</v>
          </cell>
          <cell r="AV101">
            <v>10347426.999999998</v>
          </cell>
          <cell r="AW101">
            <v>10973634</v>
          </cell>
          <cell r="AX101">
            <v>11086529.999999998</v>
          </cell>
          <cell r="AY101">
            <v>12543617.999999998</v>
          </cell>
          <cell r="AZ101">
            <v>12560280</v>
          </cell>
          <cell r="BA101">
            <v>13417544</v>
          </cell>
          <cell r="BB101">
            <v>126233143.99999999</v>
          </cell>
        </row>
        <row r="102">
          <cell r="P102">
            <v>44292</v>
          </cell>
          <cell r="Q102"/>
          <cell r="R102"/>
          <cell r="X102">
            <v>44657</v>
          </cell>
          <cell r="Y102">
            <v>44293</v>
          </cell>
        </row>
        <row r="103">
          <cell r="P103">
            <v>44293</v>
          </cell>
          <cell r="Q103"/>
          <cell r="R103"/>
          <cell r="X103">
            <v>44658</v>
          </cell>
          <cell r="Y103">
            <v>44294</v>
          </cell>
        </row>
        <row r="104">
          <cell r="P104">
            <v>44294</v>
          </cell>
          <cell r="Q104"/>
          <cell r="R104"/>
          <cell r="X104">
            <v>44659</v>
          </cell>
          <cell r="Y104">
            <v>44295</v>
          </cell>
        </row>
        <row r="105">
          <cell r="P105">
            <v>44295</v>
          </cell>
          <cell r="Q105"/>
          <cell r="R105"/>
          <cell r="X105">
            <v>44660</v>
          </cell>
          <cell r="Y105">
            <v>44296</v>
          </cell>
        </row>
        <row r="106">
          <cell r="P106">
            <v>44296</v>
          </cell>
          <cell r="Q106"/>
          <cell r="R106"/>
          <cell r="X106">
            <v>44661</v>
          </cell>
          <cell r="Y106">
            <v>44297</v>
          </cell>
        </row>
        <row r="107">
          <cell r="P107">
            <v>44297</v>
          </cell>
          <cell r="Q107"/>
          <cell r="R107"/>
          <cell r="X107">
            <v>44662</v>
          </cell>
          <cell r="Y107">
            <v>44298</v>
          </cell>
        </row>
        <row r="108">
          <cell r="P108">
            <v>44298</v>
          </cell>
          <cell r="Q108"/>
          <cell r="R108"/>
          <cell r="X108">
            <v>44663</v>
          </cell>
          <cell r="Y108">
            <v>44299</v>
          </cell>
        </row>
        <row r="109">
          <cell r="P109">
            <v>44299</v>
          </cell>
          <cell r="Q109" t="str">
            <v>Gudi Padwa / Ugadi</v>
          </cell>
          <cell r="R109" t="str">
            <v xml:space="preserve">Low </v>
          </cell>
          <cell r="X109">
            <v>44664</v>
          </cell>
          <cell r="Y109">
            <v>44300</v>
          </cell>
        </row>
        <row r="110">
          <cell r="P110">
            <v>44300</v>
          </cell>
          <cell r="Q110"/>
          <cell r="R110"/>
          <cell r="X110">
            <v>44665</v>
          </cell>
          <cell r="Y110">
            <v>44301</v>
          </cell>
        </row>
        <row r="111">
          <cell r="P111">
            <v>44301</v>
          </cell>
          <cell r="Q111"/>
          <cell r="R111"/>
          <cell r="X111">
            <v>44666</v>
          </cell>
          <cell r="Y111">
            <v>44302</v>
          </cell>
        </row>
        <row r="112">
          <cell r="P112">
            <v>44302</v>
          </cell>
          <cell r="Q112"/>
          <cell r="R112"/>
          <cell r="X112">
            <v>44667</v>
          </cell>
          <cell r="Y112">
            <v>44303</v>
          </cell>
        </row>
        <row r="113">
          <cell r="P113">
            <v>44303</v>
          </cell>
          <cell r="Q113"/>
          <cell r="R113"/>
          <cell r="X113">
            <v>44668</v>
          </cell>
          <cell r="Y113">
            <v>44304</v>
          </cell>
        </row>
        <row r="114">
          <cell r="P114">
            <v>44304</v>
          </cell>
          <cell r="Q114"/>
          <cell r="R114"/>
          <cell r="X114">
            <v>44669</v>
          </cell>
          <cell r="Y114">
            <v>44305</v>
          </cell>
        </row>
        <row r="115">
          <cell r="P115">
            <v>44305</v>
          </cell>
          <cell r="Q115"/>
          <cell r="R115"/>
          <cell r="X115">
            <v>44670</v>
          </cell>
          <cell r="Y115">
            <v>44306</v>
          </cell>
        </row>
        <row r="116">
          <cell r="P116">
            <v>44306</v>
          </cell>
          <cell r="Q116"/>
          <cell r="R116"/>
          <cell r="X116">
            <v>44671</v>
          </cell>
          <cell r="Y116">
            <v>44307</v>
          </cell>
        </row>
        <row r="117">
          <cell r="P117">
            <v>44307</v>
          </cell>
          <cell r="Q117" t="str">
            <v>Ram Navami</v>
          </cell>
          <cell r="R117" t="str">
            <v xml:space="preserve">Low </v>
          </cell>
          <cell r="X117">
            <v>44672</v>
          </cell>
          <cell r="Y117">
            <v>44308</v>
          </cell>
        </row>
        <row r="118">
          <cell r="P118">
            <v>44308</v>
          </cell>
          <cell r="Q118"/>
          <cell r="R118"/>
          <cell r="X118">
            <v>44673</v>
          </cell>
          <cell r="Y118">
            <v>44309</v>
          </cell>
        </row>
        <row r="119">
          <cell r="P119">
            <v>44309</v>
          </cell>
          <cell r="Q119"/>
          <cell r="R119"/>
          <cell r="X119">
            <v>44674</v>
          </cell>
          <cell r="Y119">
            <v>44310</v>
          </cell>
        </row>
        <row r="120">
          <cell r="P120">
            <v>44310</v>
          </cell>
          <cell r="Q120"/>
          <cell r="R120"/>
          <cell r="X120">
            <v>44675</v>
          </cell>
          <cell r="Y120">
            <v>44311</v>
          </cell>
        </row>
        <row r="121">
          <cell r="P121">
            <v>44311</v>
          </cell>
          <cell r="Q121" t="str">
            <v>Mahavir Jayanti</v>
          </cell>
          <cell r="R121" t="str">
            <v xml:space="preserve">Low </v>
          </cell>
          <cell r="X121">
            <v>44676</v>
          </cell>
          <cell r="Y121">
            <v>44312</v>
          </cell>
        </row>
        <row r="122">
          <cell r="P122">
            <v>44312</v>
          </cell>
          <cell r="Q122"/>
          <cell r="R122"/>
          <cell r="X122">
            <v>44677</v>
          </cell>
          <cell r="Y122">
            <v>44313</v>
          </cell>
        </row>
        <row r="123">
          <cell r="P123">
            <v>44313</v>
          </cell>
          <cell r="Q123"/>
          <cell r="R123"/>
          <cell r="X123">
            <v>44678</v>
          </cell>
          <cell r="Y123">
            <v>44314</v>
          </cell>
        </row>
        <row r="124">
          <cell r="P124">
            <v>44314</v>
          </cell>
          <cell r="Q124"/>
          <cell r="R124"/>
          <cell r="X124">
            <v>44679</v>
          </cell>
          <cell r="Y124">
            <v>44315</v>
          </cell>
        </row>
        <row r="125">
          <cell r="P125">
            <v>44315</v>
          </cell>
          <cell r="Q125"/>
          <cell r="R125"/>
          <cell r="X125">
            <v>44680</v>
          </cell>
          <cell r="Y125">
            <v>44316</v>
          </cell>
        </row>
        <row r="126">
          <cell r="P126">
            <v>44316</v>
          </cell>
          <cell r="Q126"/>
          <cell r="R126"/>
          <cell r="X126">
            <v>44681</v>
          </cell>
          <cell r="Y126">
            <v>44317</v>
          </cell>
        </row>
        <row r="127">
          <cell r="P127">
            <v>44317</v>
          </cell>
          <cell r="Q127" t="str">
            <v>Labour Day</v>
          </cell>
          <cell r="R127" t="str">
            <v xml:space="preserve">Low </v>
          </cell>
          <cell r="X127">
            <v>44682</v>
          </cell>
          <cell r="Y127">
            <v>44318</v>
          </cell>
        </row>
        <row r="128">
          <cell r="P128">
            <v>44318</v>
          </cell>
          <cell r="Q128"/>
          <cell r="R128"/>
          <cell r="X128">
            <v>44683</v>
          </cell>
          <cell r="Y128">
            <v>44319</v>
          </cell>
        </row>
        <row r="129">
          <cell r="P129">
            <v>44319</v>
          </cell>
          <cell r="Q129"/>
          <cell r="R129"/>
          <cell r="X129">
            <v>44684</v>
          </cell>
          <cell r="Y129">
            <v>44320</v>
          </cell>
        </row>
        <row r="130">
          <cell r="P130">
            <v>44320</v>
          </cell>
          <cell r="Q130"/>
          <cell r="R130"/>
          <cell r="X130">
            <v>44685</v>
          </cell>
          <cell r="Y130">
            <v>44321</v>
          </cell>
        </row>
        <row r="131">
          <cell r="P131">
            <v>44321</v>
          </cell>
          <cell r="Q131"/>
          <cell r="R131"/>
          <cell r="X131">
            <v>44686</v>
          </cell>
          <cell r="Y131">
            <v>44322</v>
          </cell>
        </row>
        <row r="132">
          <cell r="P132">
            <v>44322</v>
          </cell>
          <cell r="Q132"/>
          <cell r="R132"/>
          <cell r="X132">
            <v>44687</v>
          </cell>
          <cell r="Y132">
            <v>44323</v>
          </cell>
        </row>
        <row r="133">
          <cell r="P133">
            <v>44323</v>
          </cell>
          <cell r="Q133"/>
          <cell r="R133"/>
          <cell r="X133">
            <v>44688</v>
          </cell>
          <cell r="Y133">
            <v>44324</v>
          </cell>
        </row>
        <row r="134">
          <cell r="P134">
            <v>44324</v>
          </cell>
          <cell r="Q134"/>
          <cell r="R134"/>
          <cell r="X134">
            <v>44689</v>
          </cell>
          <cell r="Y134">
            <v>44325</v>
          </cell>
        </row>
        <row r="135">
          <cell r="P135">
            <v>44325</v>
          </cell>
          <cell r="Q135"/>
          <cell r="R135"/>
          <cell r="X135">
            <v>44690</v>
          </cell>
          <cell r="Y135">
            <v>44326</v>
          </cell>
        </row>
        <row r="136">
          <cell r="P136">
            <v>44326</v>
          </cell>
          <cell r="Q136"/>
          <cell r="R136"/>
          <cell r="X136">
            <v>44691</v>
          </cell>
          <cell r="Y136">
            <v>44327</v>
          </cell>
        </row>
        <row r="137">
          <cell r="P137">
            <v>44327</v>
          </cell>
          <cell r="Q137"/>
          <cell r="R137"/>
          <cell r="X137">
            <v>44692</v>
          </cell>
          <cell r="Y137">
            <v>44328</v>
          </cell>
        </row>
        <row r="138">
          <cell r="P138">
            <v>44328</v>
          </cell>
          <cell r="Q138"/>
          <cell r="R138"/>
          <cell r="X138">
            <v>44693</v>
          </cell>
          <cell r="Y138">
            <v>44329</v>
          </cell>
        </row>
        <row r="139">
          <cell r="P139">
            <v>44329</v>
          </cell>
          <cell r="Q139" t="str">
            <v>Eid-ul-Fitar</v>
          </cell>
          <cell r="R139" t="str">
            <v xml:space="preserve">Low </v>
          </cell>
          <cell r="X139">
            <v>44694</v>
          </cell>
          <cell r="Y139">
            <v>44330</v>
          </cell>
        </row>
        <row r="140">
          <cell r="P140">
            <v>44330</v>
          </cell>
          <cell r="Q140"/>
          <cell r="R140"/>
          <cell r="X140">
            <v>44695</v>
          </cell>
          <cell r="Y140">
            <v>44331</v>
          </cell>
        </row>
        <row r="141">
          <cell r="P141">
            <v>44331</v>
          </cell>
          <cell r="Q141"/>
          <cell r="R141"/>
          <cell r="X141">
            <v>44696</v>
          </cell>
          <cell r="Y141">
            <v>44332</v>
          </cell>
        </row>
        <row r="142">
          <cell r="P142">
            <v>44332</v>
          </cell>
          <cell r="Q142"/>
          <cell r="R142"/>
          <cell r="X142">
            <v>44697</v>
          </cell>
          <cell r="Y142">
            <v>44333</v>
          </cell>
        </row>
        <row r="143">
          <cell r="P143">
            <v>44333</v>
          </cell>
          <cell r="Q143"/>
          <cell r="R143"/>
          <cell r="X143">
            <v>44698</v>
          </cell>
          <cell r="Y143">
            <v>44334</v>
          </cell>
        </row>
        <row r="144">
          <cell r="P144">
            <v>44334</v>
          </cell>
          <cell r="Q144"/>
          <cell r="R144"/>
          <cell r="X144">
            <v>44699</v>
          </cell>
          <cell r="Y144">
            <v>44335</v>
          </cell>
        </row>
        <row r="145">
          <cell r="P145">
            <v>44335</v>
          </cell>
          <cell r="Q145"/>
          <cell r="R145"/>
          <cell r="X145">
            <v>44700</v>
          </cell>
          <cell r="Y145">
            <v>44336</v>
          </cell>
        </row>
        <row r="146">
          <cell r="P146">
            <v>44336</v>
          </cell>
          <cell r="Q146"/>
          <cell r="R146"/>
          <cell r="X146">
            <v>44701</v>
          </cell>
          <cell r="Y146">
            <v>44337</v>
          </cell>
        </row>
        <row r="147">
          <cell r="P147">
            <v>44337</v>
          </cell>
          <cell r="Q147"/>
          <cell r="R147"/>
          <cell r="X147">
            <v>44702</v>
          </cell>
          <cell r="Y147">
            <v>44338</v>
          </cell>
        </row>
        <row r="148">
          <cell r="P148">
            <v>44338</v>
          </cell>
          <cell r="Q148"/>
          <cell r="R148"/>
          <cell r="X148">
            <v>44703</v>
          </cell>
          <cell r="Y148">
            <v>44339</v>
          </cell>
        </row>
        <row r="149">
          <cell r="P149">
            <v>44339</v>
          </cell>
          <cell r="Q149"/>
          <cell r="R149"/>
          <cell r="X149">
            <v>44704</v>
          </cell>
          <cell r="Y149">
            <v>44340</v>
          </cell>
        </row>
        <row r="150">
          <cell r="P150">
            <v>44340</v>
          </cell>
          <cell r="Q150"/>
          <cell r="R150"/>
          <cell r="X150">
            <v>44705</v>
          </cell>
          <cell r="Y150">
            <v>44341</v>
          </cell>
        </row>
        <row r="151">
          <cell r="P151">
            <v>44341</v>
          </cell>
          <cell r="Q151" t="str">
            <v>Eid-ul-Fitr</v>
          </cell>
          <cell r="R151" t="str">
            <v xml:space="preserve">Low </v>
          </cell>
          <cell r="X151">
            <v>44706</v>
          </cell>
          <cell r="Y151">
            <v>44342</v>
          </cell>
        </row>
        <row r="152">
          <cell r="P152">
            <v>44342</v>
          </cell>
          <cell r="Q152" t="str">
            <v>Buddha Purnima</v>
          </cell>
          <cell r="R152" t="str">
            <v xml:space="preserve">Low </v>
          </cell>
          <cell r="X152">
            <v>44707</v>
          </cell>
          <cell r="Y152">
            <v>44343</v>
          </cell>
        </row>
        <row r="153">
          <cell r="P153">
            <v>44343</v>
          </cell>
          <cell r="Q153"/>
          <cell r="R153"/>
          <cell r="X153">
            <v>44708</v>
          </cell>
          <cell r="Y153">
            <v>44344</v>
          </cell>
        </row>
        <row r="154">
          <cell r="P154">
            <v>44344</v>
          </cell>
          <cell r="Q154"/>
          <cell r="R154"/>
          <cell r="X154">
            <v>44709</v>
          </cell>
          <cell r="Y154">
            <v>44345</v>
          </cell>
        </row>
        <row r="155">
          <cell r="P155">
            <v>44345</v>
          </cell>
          <cell r="Q155"/>
          <cell r="R155"/>
          <cell r="X155">
            <v>44710</v>
          </cell>
          <cell r="Y155">
            <v>44346</v>
          </cell>
        </row>
        <row r="156">
          <cell r="P156">
            <v>44346</v>
          </cell>
          <cell r="Q156"/>
          <cell r="R156"/>
          <cell r="X156">
            <v>44711</v>
          </cell>
          <cell r="Y156">
            <v>44347</v>
          </cell>
        </row>
        <row r="157">
          <cell r="P157">
            <v>44347</v>
          </cell>
          <cell r="Q157"/>
          <cell r="R157"/>
          <cell r="X157">
            <v>44712</v>
          </cell>
          <cell r="Y157">
            <v>44348</v>
          </cell>
        </row>
        <row r="158">
          <cell r="P158">
            <v>44348</v>
          </cell>
          <cell r="Q158"/>
          <cell r="R158"/>
          <cell r="X158">
            <v>44713</v>
          </cell>
          <cell r="Y158">
            <v>44349</v>
          </cell>
        </row>
        <row r="159">
          <cell r="P159">
            <v>44349</v>
          </cell>
          <cell r="Q159"/>
          <cell r="R159"/>
          <cell r="X159">
            <v>44714</v>
          </cell>
          <cell r="Y159">
            <v>44350</v>
          </cell>
        </row>
        <row r="160">
          <cell r="P160">
            <v>44350</v>
          </cell>
          <cell r="Q160"/>
          <cell r="R160"/>
          <cell r="X160">
            <v>44715</v>
          </cell>
          <cell r="Y160">
            <v>44351</v>
          </cell>
        </row>
        <row r="161">
          <cell r="P161">
            <v>44351</v>
          </cell>
          <cell r="Q161"/>
          <cell r="R161"/>
          <cell r="X161">
            <v>44716</v>
          </cell>
          <cell r="Y161">
            <v>44352</v>
          </cell>
        </row>
        <row r="162">
          <cell r="P162">
            <v>44352</v>
          </cell>
          <cell r="Q162"/>
          <cell r="R162"/>
          <cell r="X162">
            <v>44717</v>
          </cell>
          <cell r="Y162">
            <v>44353</v>
          </cell>
        </row>
        <row r="163">
          <cell r="P163">
            <v>44353</v>
          </cell>
          <cell r="Q163"/>
          <cell r="R163"/>
          <cell r="X163">
            <v>44718</v>
          </cell>
          <cell r="Y163">
            <v>44354</v>
          </cell>
        </row>
        <row r="164">
          <cell r="P164">
            <v>44354</v>
          </cell>
          <cell r="Q164"/>
          <cell r="R164"/>
          <cell r="X164">
            <v>44719</v>
          </cell>
          <cell r="Y164">
            <v>44355</v>
          </cell>
        </row>
        <row r="165">
          <cell r="P165">
            <v>44355</v>
          </cell>
          <cell r="Q165"/>
          <cell r="R165"/>
          <cell r="X165">
            <v>44720</v>
          </cell>
          <cell r="Y165">
            <v>44356</v>
          </cell>
        </row>
        <row r="166">
          <cell r="P166">
            <v>44356</v>
          </cell>
          <cell r="Q166"/>
          <cell r="R166"/>
          <cell r="X166">
            <v>44721</v>
          </cell>
          <cell r="Y166">
            <v>44357</v>
          </cell>
        </row>
        <row r="167">
          <cell r="P167">
            <v>44357</v>
          </cell>
          <cell r="Q167"/>
          <cell r="R167"/>
          <cell r="X167">
            <v>44722</v>
          </cell>
          <cell r="Y167">
            <v>44358</v>
          </cell>
        </row>
        <row r="168">
          <cell r="P168">
            <v>44358</v>
          </cell>
          <cell r="Q168"/>
          <cell r="R168"/>
          <cell r="X168">
            <v>44723</v>
          </cell>
          <cell r="Y168">
            <v>44359</v>
          </cell>
        </row>
        <row r="169">
          <cell r="P169">
            <v>44359</v>
          </cell>
          <cell r="Q169"/>
          <cell r="R169"/>
          <cell r="X169">
            <v>44724</v>
          </cell>
          <cell r="Y169">
            <v>44360</v>
          </cell>
        </row>
        <row r="170">
          <cell r="P170">
            <v>44360</v>
          </cell>
          <cell r="Q170"/>
          <cell r="R170"/>
          <cell r="X170">
            <v>44725</v>
          </cell>
          <cell r="Y170">
            <v>44361</v>
          </cell>
        </row>
        <row r="171">
          <cell r="P171">
            <v>44361</v>
          </cell>
          <cell r="Q171"/>
          <cell r="R171"/>
          <cell r="X171">
            <v>44726</v>
          </cell>
          <cell r="Y171">
            <v>44362</v>
          </cell>
        </row>
        <row r="172">
          <cell r="P172">
            <v>44362</v>
          </cell>
          <cell r="Q172"/>
          <cell r="R172"/>
          <cell r="X172">
            <v>44727</v>
          </cell>
          <cell r="Y172">
            <v>44363</v>
          </cell>
        </row>
        <row r="173">
          <cell r="P173">
            <v>44363</v>
          </cell>
          <cell r="Q173"/>
          <cell r="R173"/>
          <cell r="X173">
            <v>44728</v>
          </cell>
          <cell r="Y173">
            <v>44364</v>
          </cell>
        </row>
        <row r="174">
          <cell r="P174">
            <v>44364</v>
          </cell>
          <cell r="Q174"/>
          <cell r="R174"/>
          <cell r="X174">
            <v>44729</v>
          </cell>
          <cell r="Y174">
            <v>44365</v>
          </cell>
        </row>
        <row r="175">
          <cell r="P175">
            <v>44365</v>
          </cell>
          <cell r="Q175"/>
          <cell r="R175"/>
          <cell r="X175">
            <v>44730</v>
          </cell>
          <cell r="Y175">
            <v>44366</v>
          </cell>
        </row>
        <row r="176">
          <cell r="P176">
            <v>44366</v>
          </cell>
          <cell r="Q176"/>
          <cell r="R176"/>
          <cell r="X176">
            <v>44731</v>
          </cell>
          <cell r="Y176">
            <v>44367</v>
          </cell>
        </row>
        <row r="177">
          <cell r="P177">
            <v>44367</v>
          </cell>
          <cell r="Q177"/>
          <cell r="R177"/>
          <cell r="X177">
            <v>44732</v>
          </cell>
          <cell r="Y177">
            <v>44368</v>
          </cell>
        </row>
        <row r="178">
          <cell r="P178">
            <v>44368</v>
          </cell>
          <cell r="Q178"/>
          <cell r="R178"/>
          <cell r="X178">
            <v>44733</v>
          </cell>
          <cell r="Y178">
            <v>44369</v>
          </cell>
        </row>
        <row r="179">
          <cell r="P179">
            <v>44369</v>
          </cell>
          <cell r="Q179"/>
          <cell r="R179"/>
          <cell r="X179">
            <v>44734</v>
          </cell>
          <cell r="Y179">
            <v>44370</v>
          </cell>
        </row>
        <row r="180">
          <cell r="P180">
            <v>44370</v>
          </cell>
          <cell r="Q180"/>
          <cell r="R180"/>
          <cell r="X180">
            <v>44735</v>
          </cell>
          <cell r="Y180">
            <v>44371</v>
          </cell>
        </row>
        <row r="181">
          <cell r="P181">
            <v>44371</v>
          </cell>
          <cell r="Q181"/>
          <cell r="R181"/>
          <cell r="X181">
            <v>44736</v>
          </cell>
          <cell r="Y181">
            <v>44372</v>
          </cell>
        </row>
        <row r="182">
          <cell r="P182">
            <v>44372</v>
          </cell>
          <cell r="Q182"/>
          <cell r="R182"/>
          <cell r="X182">
            <v>44737</v>
          </cell>
          <cell r="Y182">
            <v>44373</v>
          </cell>
        </row>
        <row r="183">
          <cell r="P183">
            <v>44373</v>
          </cell>
          <cell r="Q183"/>
          <cell r="R183"/>
          <cell r="X183">
            <v>44738</v>
          </cell>
          <cell r="Y183">
            <v>44374</v>
          </cell>
        </row>
        <row r="184">
          <cell r="P184">
            <v>44374</v>
          </cell>
          <cell r="Q184"/>
          <cell r="R184"/>
          <cell r="X184">
            <v>44739</v>
          </cell>
          <cell r="Y184">
            <v>44375</v>
          </cell>
        </row>
        <row r="185">
          <cell r="P185">
            <v>44375</v>
          </cell>
          <cell r="Q185"/>
          <cell r="R185"/>
          <cell r="X185">
            <v>44740</v>
          </cell>
          <cell r="Y185">
            <v>44376</v>
          </cell>
        </row>
        <row r="186">
          <cell r="P186">
            <v>44376</v>
          </cell>
          <cell r="Q186"/>
          <cell r="R186"/>
          <cell r="X186">
            <v>44741</v>
          </cell>
          <cell r="Y186">
            <v>44377</v>
          </cell>
        </row>
        <row r="187">
          <cell r="P187">
            <v>44377</v>
          </cell>
          <cell r="Q187"/>
          <cell r="R187"/>
          <cell r="X187">
            <v>44742</v>
          </cell>
          <cell r="Y187">
            <v>44378</v>
          </cell>
        </row>
        <row r="188">
          <cell r="P188">
            <v>44378</v>
          </cell>
          <cell r="Q188"/>
          <cell r="R188"/>
          <cell r="X188">
            <v>44743</v>
          </cell>
          <cell r="Y188">
            <v>44379</v>
          </cell>
        </row>
        <row r="189">
          <cell r="P189">
            <v>44379</v>
          </cell>
          <cell r="Q189"/>
          <cell r="R189"/>
          <cell r="X189">
            <v>44744</v>
          </cell>
          <cell r="Y189">
            <v>44380</v>
          </cell>
        </row>
        <row r="190">
          <cell r="P190">
            <v>44380</v>
          </cell>
          <cell r="Q190"/>
          <cell r="R190"/>
          <cell r="X190">
            <v>44745</v>
          </cell>
          <cell r="Y190">
            <v>44381</v>
          </cell>
        </row>
        <row r="191">
          <cell r="P191">
            <v>44381</v>
          </cell>
          <cell r="Q191"/>
          <cell r="R191"/>
          <cell r="X191">
            <v>44746</v>
          </cell>
          <cell r="Y191">
            <v>44382</v>
          </cell>
        </row>
        <row r="192">
          <cell r="P192">
            <v>44382</v>
          </cell>
          <cell r="Q192"/>
          <cell r="R192"/>
          <cell r="X192">
            <v>44747</v>
          </cell>
          <cell r="Y192">
            <v>44383</v>
          </cell>
        </row>
        <row r="193">
          <cell r="P193">
            <v>44383</v>
          </cell>
          <cell r="Q193"/>
          <cell r="R193"/>
          <cell r="X193">
            <v>44748</v>
          </cell>
          <cell r="Y193">
            <v>44384</v>
          </cell>
        </row>
        <row r="194">
          <cell r="P194">
            <v>44384</v>
          </cell>
          <cell r="Q194"/>
          <cell r="R194"/>
          <cell r="X194">
            <v>44749</v>
          </cell>
          <cell r="Y194">
            <v>44385</v>
          </cell>
        </row>
        <row r="195">
          <cell r="P195">
            <v>44385</v>
          </cell>
          <cell r="Q195"/>
          <cell r="R195"/>
          <cell r="X195">
            <v>44750</v>
          </cell>
          <cell r="Y195">
            <v>44386</v>
          </cell>
        </row>
        <row r="196">
          <cell r="P196">
            <v>44386</v>
          </cell>
          <cell r="Q196"/>
          <cell r="R196"/>
          <cell r="X196">
            <v>44751</v>
          </cell>
          <cell r="Y196">
            <v>44387</v>
          </cell>
        </row>
        <row r="197">
          <cell r="P197">
            <v>44387</v>
          </cell>
          <cell r="Q197"/>
          <cell r="R197"/>
          <cell r="X197">
            <v>44752</v>
          </cell>
          <cell r="Y197">
            <v>44388</v>
          </cell>
        </row>
        <row r="198">
          <cell r="P198">
            <v>44388</v>
          </cell>
          <cell r="Q198"/>
          <cell r="R198"/>
          <cell r="X198">
            <v>44753</v>
          </cell>
          <cell r="Y198">
            <v>44389</v>
          </cell>
        </row>
        <row r="199">
          <cell r="P199">
            <v>44389</v>
          </cell>
          <cell r="Q199"/>
          <cell r="R199"/>
          <cell r="X199">
            <v>44754</v>
          </cell>
          <cell r="Y199">
            <v>44390</v>
          </cell>
        </row>
        <row r="200">
          <cell r="P200">
            <v>44390</v>
          </cell>
          <cell r="Q200"/>
          <cell r="R200"/>
          <cell r="X200">
            <v>44755</v>
          </cell>
          <cell r="Y200">
            <v>44391</v>
          </cell>
        </row>
        <row r="201">
          <cell r="P201">
            <v>44391</v>
          </cell>
          <cell r="Q201"/>
          <cell r="R201"/>
          <cell r="X201">
            <v>44756</v>
          </cell>
          <cell r="Y201">
            <v>44392</v>
          </cell>
        </row>
        <row r="202">
          <cell r="P202">
            <v>44392</v>
          </cell>
          <cell r="Q202"/>
          <cell r="R202"/>
          <cell r="X202">
            <v>44757</v>
          </cell>
          <cell r="Y202">
            <v>44393</v>
          </cell>
        </row>
        <row r="203">
          <cell r="P203">
            <v>44393</v>
          </cell>
          <cell r="Q203"/>
          <cell r="R203"/>
          <cell r="X203">
            <v>44758</v>
          </cell>
          <cell r="Y203">
            <v>44394</v>
          </cell>
        </row>
        <row r="204">
          <cell r="P204">
            <v>44394</v>
          </cell>
          <cell r="Q204"/>
          <cell r="R204"/>
          <cell r="X204">
            <v>44759</v>
          </cell>
          <cell r="Y204">
            <v>44395</v>
          </cell>
        </row>
        <row r="205">
          <cell r="P205">
            <v>44395</v>
          </cell>
          <cell r="Q205"/>
          <cell r="R205"/>
          <cell r="X205">
            <v>44760</v>
          </cell>
          <cell r="Y205">
            <v>44396</v>
          </cell>
        </row>
        <row r="206">
          <cell r="P206">
            <v>44396</v>
          </cell>
          <cell r="Q206"/>
          <cell r="R206"/>
          <cell r="X206">
            <v>44761</v>
          </cell>
          <cell r="Y206">
            <v>44397</v>
          </cell>
        </row>
        <row r="207">
          <cell r="P207">
            <v>44397</v>
          </cell>
          <cell r="Q207" t="str">
            <v>Bakri Eid</v>
          </cell>
          <cell r="R207" t="str">
            <v xml:space="preserve">Low </v>
          </cell>
          <cell r="X207">
            <v>44762</v>
          </cell>
          <cell r="Y207">
            <v>44398</v>
          </cell>
        </row>
        <row r="208">
          <cell r="P208">
            <v>44398</v>
          </cell>
          <cell r="Q208"/>
          <cell r="R208"/>
          <cell r="X208">
            <v>44763</v>
          </cell>
          <cell r="Y208">
            <v>44399</v>
          </cell>
        </row>
        <row r="209">
          <cell r="P209">
            <v>44399</v>
          </cell>
          <cell r="Q209"/>
          <cell r="R209"/>
          <cell r="X209">
            <v>44764</v>
          </cell>
          <cell r="Y209">
            <v>44400</v>
          </cell>
        </row>
        <row r="210">
          <cell r="P210">
            <v>44400</v>
          </cell>
          <cell r="Q210"/>
          <cell r="R210"/>
          <cell r="X210">
            <v>44765</v>
          </cell>
          <cell r="Y210">
            <v>44401</v>
          </cell>
        </row>
        <row r="211">
          <cell r="P211">
            <v>44401</v>
          </cell>
          <cell r="Q211"/>
          <cell r="R211"/>
          <cell r="X211">
            <v>44766</v>
          </cell>
          <cell r="Y211">
            <v>44402</v>
          </cell>
        </row>
        <row r="212">
          <cell r="P212">
            <v>44402</v>
          </cell>
          <cell r="Q212"/>
          <cell r="R212"/>
          <cell r="X212">
            <v>44767</v>
          </cell>
          <cell r="Y212">
            <v>44403</v>
          </cell>
        </row>
        <row r="213">
          <cell r="P213">
            <v>44403</v>
          </cell>
          <cell r="Q213"/>
          <cell r="R213"/>
          <cell r="X213">
            <v>44768</v>
          </cell>
          <cell r="Y213">
            <v>44404</v>
          </cell>
        </row>
        <row r="214">
          <cell r="P214">
            <v>44404</v>
          </cell>
          <cell r="Q214"/>
          <cell r="R214"/>
          <cell r="X214">
            <v>44769</v>
          </cell>
          <cell r="Y214">
            <v>44405</v>
          </cell>
        </row>
        <row r="215">
          <cell r="P215">
            <v>44405</v>
          </cell>
          <cell r="Q215"/>
          <cell r="R215"/>
          <cell r="X215">
            <v>44770</v>
          </cell>
          <cell r="Y215">
            <v>44406</v>
          </cell>
        </row>
        <row r="216">
          <cell r="P216">
            <v>44406</v>
          </cell>
          <cell r="Q216"/>
          <cell r="R216"/>
          <cell r="X216">
            <v>44771</v>
          </cell>
          <cell r="Y216">
            <v>44407</v>
          </cell>
        </row>
        <row r="217">
          <cell r="P217">
            <v>44407</v>
          </cell>
          <cell r="Q217"/>
          <cell r="R217"/>
          <cell r="X217">
            <v>44772</v>
          </cell>
          <cell r="Y217">
            <v>44408</v>
          </cell>
        </row>
        <row r="218">
          <cell r="P218">
            <v>44408</v>
          </cell>
          <cell r="Q218"/>
          <cell r="R218"/>
          <cell r="X218">
            <v>44773</v>
          </cell>
          <cell r="Y218">
            <v>44409</v>
          </cell>
        </row>
        <row r="219">
          <cell r="P219">
            <v>44409</v>
          </cell>
          <cell r="Q219"/>
          <cell r="R219"/>
          <cell r="X219">
            <v>44774</v>
          </cell>
          <cell r="Y219">
            <v>44410</v>
          </cell>
        </row>
        <row r="220">
          <cell r="P220">
            <v>44410</v>
          </cell>
          <cell r="Q220"/>
          <cell r="R220"/>
          <cell r="X220">
            <v>44775</v>
          </cell>
          <cell r="Y220">
            <v>44411</v>
          </cell>
        </row>
        <row r="221">
          <cell r="P221">
            <v>44411</v>
          </cell>
          <cell r="Q221"/>
          <cell r="R221"/>
          <cell r="X221">
            <v>44776</v>
          </cell>
          <cell r="Y221">
            <v>44412</v>
          </cell>
        </row>
        <row r="222">
          <cell r="P222">
            <v>44412</v>
          </cell>
          <cell r="Q222"/>
          <cell r="R222"/>
          <cell r="X222">
            <v>44777</v>
          </cell>
          <cell r="Y222">
            <v>44413</v>
          </cell>
        </row>
        <row r="223">
          <cell r="P223">
            <v>44413</v>
          </cell>
          <cell r="Q223"/>
          <cell r="R223"/>
          <cell r="X223">
            <v>44778</v>
          </cell>
          <cell r="Y223">
            <v>44414</v>
          </cell>
        </row>
        <row r="224">
          <cell r="P224">
            <v>44414</v>
          </cell>
          <cell r="Q224"/>
          <cell r="R224"/>
          <cell r="X224">
            <v>44779</v>
          </cell>
          <cell r="Y224">
            <v>44415</v>
          </cell>
        </row>
        <row r="225">
          <cell r="P225">
            <v>44415</v>
          </cell>
          <cell r="Q225"/>
          <cell r="R225"/>
          <cell r="X225">
            <v>44780</v>
          </cell>
          <cell r="Y225">
            <v>44416</v>
          </cell>
        </row>
        <row r="226">
          <cell r="P226">
            <v>44416</v>
          </cell>
          <cell r="Q226"/>
          <cell r="R226"/>
          <cell r="X226">
            <v>44781</v>
          </cell>
          <cell r="Y226">
            <v>44417</v>
          </cell>
        </row>
        <row r="227">
          <cell r="P227">
            <v>44417</v>
          </cell>
          <cell r="Q227"/>
          <cell r="R227"/>
          <cell r="X227">
            <v>44782</v>
          </cell>
          <cell r="Y227">
            <v>44418</v>
          </cell>
        </row>
        <row r="228">
          <cell r="P228">
            <v>44418</v>
          </cell>
          <cell r="Q228" t="str">
            <v>Muharram</v>
          </cell>
          <cell r="R228" t="str">
            <v xml:space="preserve">Low </v>
          </cell>
          <cell r="X228">
            <v>44783</v>
          </cell>
          <cell r="Y228">
            <v>44419</v>
          </cell>
        </row>
        <row r="229">
          <cell r="P229">
            <v>44419</v>
          </cell>
          <cell r="Q229"/>
          <cell r="R229"/>
          <cell r="X229">
            <v>44784</v>
          </cell>
          <cell r="Y229">
            <v>44420</v>
          </cell>
        </row>
        <row r="230">
          <cell r="P230">
            <v>44420</v>
          </cell>
          <cell r="Q230"/>
          <cell r="R230"/>
          <cell r="X230">
            <v>44785</v>
          </cell>
          <cell r="Y230">
            <v>44421</v>
          </cell>
        </row>
        <row r="231">
          <cell r="P231">
            <v>44421</v>
          </cell>
          <cell r="Q231"/>
          <cell r="R231"/>
          <cell r="X231">
            <v>44786</v>
          </cell>
          <cell r="Y231">
            <v>44422</v>
          </cell>
        </row>
        <row r="232">
          <cell r="P232">
            <v>44422</v>
          </cell>
          <cell r="Q232"/>
          <cell r="R232"/>
          <cell r="X232">
            <v>44787</v>
          </cell>
          <cell r="Y232">
            <v>44423</v>
          </cell>
        </row>
        <row r="233">
          <cell r="P233">
            <v>44423</v>
          </cell>
          <cell r="Q233" t="str">
            <v>Independence Day</v>
          </cell>
          <cell r="R233" t="str">
            <v xml:space="preserve">Low </v>
          </cell>
          <cell r="X233">
            <v>44788</v>
          </cell>
          <cell r="Y233">
            <v>44424</v>
          </cell>
        </row>
        <row r="234">
          <cell r="P234">
            <v>44424</v>
          </cell>
          <cell r="Q234"/>
          <cell r="R234"/>
          <cell r="X234">
            <v>44789</v>
          </cell>
          <cell r="Y234">
            <v>44425</v>
          </cell>
        </row>
        <row r="235">
          <cell r="P235">
            <v>44425</v>
          </cell>
          <cell r="Q235"/>
          <cell r="R235"/>
          <cell r="X235">
            <v>44790</v>
          </cell>
          <cell r="Y235">
            <v>44426</v>
          </cell>
        </row>
        <row r="236">
          <cell r="P236">
            <v>44426</v>
          </cell>
          <cell r="Q236"/>
          <cell r="R236"/>
          <cell r="X236">
            <v>44791</v>
          </cell>
          <cell r="Y236">
            <v>44427</v>
          </cell>
        </row>
        <row r="237">
          <cell r="P237">
            <v>44427</v>
          </cell>
          <cell r="Q237"/>
          <cell r="R237"/>
          <cell r="X237">
            <v>44792</v>
          </cell>
          <cell r="Y237">
            <v>44428</v>
          </cell>
        </row>
        <row r="238">
          <cell r="P238">
            <v>44428</v>
          </cell>
          <cell r="Q238"/>
          <cell r="R238"/>
          <cell r="X238">
            <v>44793</v>
          </cell>
          <cell r="Y238">
            <v>44429</v>
          </cell>
        </row>
        <row r="239">
          <cell r="P239">
            <v>44429</v>
          </cell>
          <cell r="Q239" t="str">
            <v>Onam</v>
          </cell>
          <cell r="R239" t="str">
            <v xml:space="preserve">Low </v>
          </cell>
          <cell r="X239">
            <v>44794</v>
          </cell>
          <cell r="Y239">
            <v>44430</v>
          </cell>
        </row>
        <row r="240">
          <cell r="P240">
            <v>44430</v>
          </cell>
          <cell r="Q240"/>
          <cell r="R240"/>
          <cell r="X240">
            <v>44795</v>
          </cell>
          <cell r="Y240">
            <v>44431</v>
          </cell>
        </row>
        <row r="241">
          <cell r="P241">
            <v>44431</v>
          </cell>
          <cell r="Q241"/>
          <cell r="R241"/>
          <cell r="X241">
            <v>44796</v>
          </cell>
          <cell r="Y241">
            <v>44432</v>
          </cell>
        </row>
        <row r="242">
          <cell r="P242">
            <v>44432</v>
          </cell>
          <cell r="Q242"/>
          <cell r="R242"/>
          <cell r="X242">
            <v>44797</v>
          </cell>
          <cell r="Y242">
            <v>44433</v>
          </cell>
        </row>
        <row r="243">
          <cell r="P243">
            <v>44433</v>
          </cell>
          <cell r="Q243"/>
          <cell r="R243"/>
          <cell r="X243">
            <v>44798</v>
          </cell>
          <cell r="Y243">
            <v>44434</v>
          </cell>
        </row>
        <row r="244">
          <cell r="P244">
            <v>44434</v>
          </cell>
          <cell r="Q244"/>
          <cell r="R244"/>
          <cell r="X244">
            <v>44799</v>
          </cell>
          <cell r="Y244">
            <v>44435</v>
          </cell>
        </row>
        <row r="245">
          <cell r="P245">
            <v>44435</v>
          </cell>
          <cell r="Q245"/>
          <cell r="R245"/>
          <cell r="X245">
            <v>44800</v>
          </cell>
          <cell r="Y245">
            <v>44436</v>
          </cell>
        </row>
        <row r="246">
          <cell r="P246">
            <v>44436</v>
          </cell>
          <cell r="Q246"/>
          <cell r="R246"/>
          <cell r="X246">
            <v>44801</v>
          </cell>
          <cell r="Y246">
            <v>44437</v>
          </cell>
        </row>
        <row r="247">
          <cell r="P247">
            <v>44437</v>
          </cell>
          <cell r="Q247"/>
          <cell r="R247"/>
          <cell r="X247">
            <v>44802</v>
          </cell>
          <cell r="Y247">
            <v>44438</v>
          </cell>
        </row>
        <row r="248">
          <cell r="P248">
            <v>44438</v>
          </cell>
          <cell r="Q248" t="str">
            <v>Janamashtami</v>
          </cell>
          <cell r="R248" t="str">
            <v xml:space="preserve">Low </v>
          </cell>
          <cell r="X248">
            <v>44803</v>
          </cell>
          <cell r="Y248">
            <v>44439</v>
          </cell>
        </row>
        <row r="249">
          <cell r="P249">
            <v>44439</v>
          </cell>
          <cell r="Q249"/>
          <cell r="R249"/>
          <cell r="X249">
            <v>44804</v>
          </cell>
          <cell r="Y249">
            <v>44440</v>
          </cell>
        </row>
        <row r="250">
          <cell r="P250">
            <v>44440</v>
          </cell>
          <cell r="Q250"/>
          <cell r="R250"/>
          <cell r="X250">
            <v>44805</v>
          </cell>
          <cell r="Y250">
            <v>44441</v>
          </cell>
        </row>
        <row r="251">
          <cell r="P251">
            <v>44441</v>
          </cell>
          <cell r="Q251"/>
          <cell r="R251"/>
          <cell r="X251">
            <v>44806</v>
          </cell>
          <cell r="Y251">
            <v>44442</v>
          </cell>
        </row>
        <row r="252">
          <cell r="P252">
            <v>44442</v>
          </cell>
          <cell r="Q252"/>
          <cell r="R252"/>
          <cell r="X252">
            <v>44807</v>
          </cell>
          <cell r="Y252">
            <v>44443</v>
          </cell>
        </row>
        <row r="253">
          <cell r="P253">
            <v>44443</v>
          </cell>
          <cell r="Q253"/>
          <cell r="R253"/>
          <cell r="X253">
            <v>44808</v>
          </cell>
          <cell r="Y253">
            <v>44444</v>
          </cell>
        </row>
        <row r="254">
          <cell r="P254">
            <v>44444</v>
          </cell>
          <cell r="Q254"/>
          <cell r="R254"/>
          <cell r="X254">
            <v>44809</v>
          </cell>
          <cell r="Y254">
            <v>44445</v>
          </cell>
        </row>
        <row r="255">
          <cell r="P255">
            <v>44445</v>
          </cell>
          <cell r="Q255"/>
          <cell r="R255"/>
          <cell r="X255">
            <v>44810</v>
          </cell>
          <cell r="Y255">
            <v>44446</v>
          </cell>
        </row>
        <row r="256">
          <cell r="P256">
            <v>44446</v>
          </cell>
          <cell r="Q256"/>
          <cell r="R256"/>
          <cell r="X256">
            <v>44811</v>
          </cell>
          <cell r="Y256">
            <v>44447</v>
          </cell>
        </row>
        <row r="257">
          <cell r="P257">
            <v>44447</v>
          </cell>
          <cell r="Q257"/>
          <cell r="R257"/>
          <cell r="X257">
            <v>44812</v>
          </cell>
          <cell r="Y257">
            <v>44448</v>
          </cell>
        </row>
        <row r="258">
          <cell r="P258">
            <v>44448</v>
          </cell>
          <cell r="Q258"/>
          <cell r="R258"/>
          <cell r="X258">
            <v>44813</v>
          </cell>
          <cell r="Y258">
            <v>44449</v>
          </cell>
        </row>
        <row r="259">
          <cell r="P259">
            <v>44449</v>
          </cell>
          <cell r="Q259" t="str">
            <v>Vinayaka Chaturthi</v>
          </cell>
          <cell r="R259" t="str">
            <v xml:space="preserve">Low </v>
          </cell>
          <cell r="X259">
            <v>44814</v>
          </cell>
          <cell r="Y259">
            <v>44450</v>
          </cell>
        </row>
        <row r="260">
          <cell r="P260">
            <v>44450</v>
          </cell>
          <cell r="Q260"/>
          <cell r="R260"/>
          <cell r="X260">
            <v>44815</v>
          </cell>
          <cell r="Y260">
            <v>44451</v>
          </cell>
        </row>
        <row r="261">
          <cell r="P261">
            <v>44451</v>
          </cell>
          <cell r="Q261"/>
          <cell r="R261"/>
          <cell r="X261">
            <v>44816</v>
          </cell>
          <cell r="Y261">
            <v>44452</v>
          </cell>
        </row>
        <row r="262">
          <cell r="P262">
            <v>44452</v>
          </cell>
          <cell r="Q262"/>
          <cell r="R262"/>
          <cell r="X262">
            <v>44817</v>
          </cell>
          <cell r="Y262">
            <v>44453</v>
          </cell>
        </row>
        <row r="263">
          <cell r="P263">
            <v>44453</v>
          </cell>
          <cell r="Q263"/>
          <cell r="R263"/>
          <cell r="X263">
            <v>44818</v>
          </cell>
          <cell r="Y263">
            <v>44454</v>
          </cell>
        </row>
        <row r="264">
          <cell r="P264">
            <v>44454</v>
          </cell>
          <cell r="Q264"/>
          <cell r="R264"/>
          <cell r="X264">
            <v>44819</v>
          </cell>
          <cell r="Y264">
            <v>44455</v>
          </cell>
        </row>
        <row r="265">
          <cell r="P265">
            <v>44455</v>
          </cell>
          <cell r="Q265"/>
          <cell r="R265"/>
          <cell r="X265">
            <v>44820</v>
          </cell>
          <cell r="Y265">
            <v>44456</v>
          </cell>
        </row>
        <row r="266">
          <cell r="P266">
            <v>44456</v>
          </cell>
          <cell r="Q266"/>
          <cell r="R266"/>
          <cell r="X266">
            <v>44821</v>
          </cell>
          <cell r="Y266">
            <v>44457</v>
          </cell>
        </row>
        <row r="267">
          <cell r="P267">
            <v>44457</v>
          </cell>
          <cell r="Q267"/>
          <cell r="R267"/>
          <cell r="X267">
            <v>44822</v>
          </cell>
          <cell r="Y267">
            <v>44458</v>
          </cell>
        </row>
        <row r="268">
          <cell r="P268">
            <v>44458</v>
          </cell>
          <cell r="Q268"/>
          <cell r="R268"/>
          <cell r="X268">
            <v>44823</v>
          </cell>
          <cell r="Y268">
            <v>44459</v>
          </cell>
        </row>
        <row r="269">
          <cell r="P269">
            <v>44459</v>
          </cell>
          <cell r="Q269"/>
          <cell r="R269"/>
          <cell r="X269">
            <v>44824</v>
          </cell>
          <cell r="Y269">
            <v>44460</v>
          </cell>
        </row>
        <row r="270">
          <cell r="P270">
            <v>44460</v>
          </cell>
          <cell r="Q270"/>
          <cell r="R270"/>
          <cell r="X270">
            <v>44825</v>
          </cell>
          <cell r="Y270">
            <v>44461</v>
          </cell>
        </row>
        <row r="271">
          <cell r="P271">
            <v>44461</v>
          </cell>
          <cell r="Q271"/>
          <cell r="R271"/>
          <cell r="X271">
            <v>44826</v>
          </cell>
          <cell r="Y271">
            <v>44462</v>
          </cell>
        </row>
        <row r="272">
          <cell r="P272">
            <v>44462</v>
          </cell>
          <cell r="Q272"/>
          <cell r="R272"/>
          <cell r="X272">
            <v>44827</v>
          </cell>
          <cell r="Y272">
            <v>44463</v>
          </cell>
        </row>
        <row r="273">
          <cell r="P273">
            <v>44463</v>
          </cell>
          <cell r="Q273"/>
          <cell r="R273"/>
          <cell r="X273">
            <v>44828</v>
          </cell>
          <cell r="Y273">
            <v>44464</v>
          </cell>
        </row>
        <row r="274">
          <cell r="P274">
            <v>44464</v>
          </cell>
          <cell r="Q274"/>
          <cell r="R274"/>
          <cell r="X274">
            <v>44829</v>
          </cell>
          <cell r="Y274">
            <v>44465</v>
          </cell>
        </row>
        <row r="275">
          <cell r="P275">
            <v>44465</v>
          </cell>
          <cell r="Q275"/>
          <cell r="R275"/>
          <cell r="X275">
            <v>44830</v>
          </cell>
          <cell r="Y275">
            <v>44466</v>
          </cell>
        </row>
        <row r="276">
          <cell r="P276">
            <v>44466</v>
          </cell>
          <cell r="Q276"/>
          <cell r="R276"/>
          <cell r="X276">
            <v>44831</v>
          </cell>
          <cell r="Y276">
            <v>44467</v>
          </cell>
        </row>
        <row r="277">
          <cell r="P277">
            <v>44467</v>
          </cell>
          <cell r="Q277"/>
          <cell r="R277"/>
          <cell r="X277">
            <v>44832</v>
          </cell>
          <cell r="Y277">
            <v>44468</v>
          </cell>
        </row>
        <row r="278">
          <cell r="P278">
            <v>44468</v>
          </cell>
          <cell r="Q278"/>
          <cell r="R278"/>
          <cell r="X278">
            <v>44833</v>
          </cell>
          <cell r="Y278">
            <v>44469</v>
          </cell>
        </row>
        <row r="279">
          <cell r="P279">
            <v>44469</v>
          </cell>
          <cell r="Q279"/>
          <cell r="R279"/>
          <cell r="X279">
            <v>44834</v>
          </cell>
          <cell r="Y279">
            <v>44470</v>
          </cell>
        </row>
        <row r="280">
          <cell r="P280">
            <v>44470</v>
          </cell>
          <cell r="Q280"/>
          <cell r="R280"/>
          <cell r="X280">
            <v>44835</v>
          </cell>
          <cell r="Y280">
            <v>44471</v>
          </cell>
        </row>
        <row r="281">
          <cell r="P281">
            <v>44471</v>
          </cell>
          <cell r="Q281" t="str">
            <v>Gandhi Jayanti</v>
          </cell>
          <cell r="R281" t="str">
            <v xml:space="preserve">Low </v>
          </cell>
          <cell r="X281">
            <v>44836</v>
          </cell>
          <cell r="Y281">
            <v>44472</v>
          </cell>
        </row>
        <row r="282">
          <cell r="P282">
            <v>44472</v>
          </cell>
          <cell r="Q282"/>
          <cell r="R282"/>
          <cell r="X282">
            <v>44837</v>
          </cell>
          <cell r="Y282">
            <v>44473</v>
          </cell>
        </row>
        <row r="283">
          <cell r="P283">
            <v>44473</v>
          </cell>
          <cell r="Q283"/>
          <cell r="R283"/>
          <cell r="X283">
            <v>44838</v>
          </cell>
          <cell r="Y283">
            <v>44474</v>
          </cell>
        </row>
        <row r="284">
          <cell r="P284">
            <v>44474</v>
          </cell>
          <cell r="Q284"/>
          <cell r="R284"/>
          <cell r="X284">
            <v>44839</v>
          </cell>
          <cell r="Y284">
            <v>44475</v>
          </cell>
        </row>
        <row r="285">
          <cell r="P285">
            <v>44475</v>
          </cell>
          <cell r="Q285"/>
          <cell r="R285"/>
          <cell r="X285">
            <v>44840</v>
          </cell>
          <cell r="Y285">
            <v>44476</v>
          </cell>
        </row>
        <row r="286">
          <cell r="P286">
            <v>44476</v>
          </cell>
          <cell r="Q286"/>
          <cell r="R286"/>
          <cell r="X286">
            <v>44841</v>
          </cell>
          <cell r="Y286">
            <v>44477</v>
          </cell>
        </row>
        <row r="287">
          <cell r="P287">
            <v>44477</v>
          </cell>
          <cell r="Q287"/>
          <cell r="R287"/>
          <cell r="X287">
            <v>44842</v>
          </cell>
          <cell r="Y287">
            <v>44478</v>
          </cell>
        </row>
        <row r="288">
          <cell r="P288">
            <v>44478</v>
          </cell>
          <cell r="Q288"/>
          <cell r="R288"/>
          <cell r="X288">
            <v>44843</v>
          </cell>
          <cell r="Y288">
            <v>44479</v>
          </cell>
        </row>
        <row r="289">
          <cell r="P289">
            <v>44479</v>
          </cell>
          <cell r="Q289"/>
          <cell r="R289"/>
          <cell r="X289">
            <v>44844</v>
          </cell>
          <cell r="Y289">
            <v>44480</v>
          </cell>
        </row>
        <row r="290">
          <cell r="P290">
            <v>44480</v>
          </cell>
          <cell r="Q290"/>
          <cell r="R290"/>
          <cell r="X290">
            <v>44845</v>
          </cell>
          <cell r="Y290">
            <v>44481</v>
          </cell>
        </row>
        <row r="291">
          <cell r="P291">
            <v>44481</v>
          </cell>
          <cell r="Q291"/>
          <cell r="R291"/>
          <cell r="X291">
            <v>44846</v>
          </cell>
          <cell r="Y291">
            <v>44482</v>
          </cell>
        </row>
        <row r="292">
          <cell r="P292">
            <v>44482</v>
          </cell>
          <cell r="Q292"/>
          <cell r="R292"/>
          <cell r="X292">
            <v>44847</v>
          </cell>
          <cell r="Y292">
            <v>44483</v>
          </cell>
        </row>
        <row r="293">
          <cell r="P293">
            <v>44483</v>
          </cell>
          <cell r="Q293"/>
          <cell r="R293"/>
          <cell r="X293">
            <v>44848</v>
          </cell>
          <cell r="Y293">
            <v>44484</v>
          </cell>
        </row>
        <row r="294">
          <cell r="P294">
            <v>44484</v>
          </cell>
          <cell r="Q294" t="str">
            <v>Dussehra</v>
          </cell>
          <cell r="R294" t="str">
            <v xml:space="preserve">Low </v>
          </cell>
          <cell r="X294">
            <v>44849</v>
          </cell>
          <cell r="Y294">
            <v>44485</v>
          </cell>
        </row>
        <row r="295">
          <cell r="P295">
            <v>44485</v>
          </cell>
          <cell r="Q295"/>
          <cell r="R295"/>
          <cell r="X295">
            <v>44850</v>
          </cell>
          <cell r="Y295">
            <v>44486</v>
          </cell>
        </row>
        <row r="296">
          <cell r="P296">
            <v>44486</v>
          </cell>
          <cell r="Q296"/>
          <cell r="R296"/>
          <cell r="X296">
            <v>44851</v>
          </cell>
          <cell r="Y296">
            <v>44487</v>
          </cell>
        </row>
        <row r="297">
          <cell r="P297">
            <v>44487</v>
          </cell>
          <cell r="Q297"/>
          <cell r="R297"/>
          <cell r="X297">
            <v>44852</v>
          </cell>
          <cell r="Y297">
            <v>44488</v>
          </cell>
        </row>
        <row r="298">
          <cell r="P298">
            <v>44488</v>
          </cell>
          <cell r="Q298"/>
          <cell r="R298"/>
          <cell r="X298">
            <v>44853</v>
          </cell>
          <cell r="Y298">
            <v>44489</v>
          </cell>
        </row>
        <row r="299">
          <cell r="P299">
            <v>44489</v>
          </cell>
          <cell r="Q299"/>
          <cell r="R299"/>
          <cell r="X299">
            <v>44854</v>
          </cell>
          <cell r="Y299">
            <v>44490</v>
          </cell>
        </row>
        <row r="300">
          <cell r="P300">
            <v>44490</v>
          </cell>
          <cell r="Q300"/>
          <cell r="R300"/>
          <cell r="X300">
            <v>44855</v>
          </cell>
          <cell r="Y300">
            <v>44491</v>
          </cell>
        </row>
        <row r="301">
          <cell r="P301">
            <v>44491</v>
          </cell>
          <cell r="Q301"/>
          <cell r="R301"/>
          <cell r="X301">
            <v>44856</v>
          </cell>
          <cell r="Y301">
            <v>44492</v>
          </cell>
        </row>
        <row r="302">
          <cell r="P302">
            <v>44492</v>
          </cell>
          <cell r="Q302"/>
          <cell r="R302"/>
          <cell r="X302">
            <v>44857</v>
          </cell>
          <cell r="Y302">
            <v>44493</v>
          </cell>
        </row>
        <row r="303">
          <cell r="P303">
            <v>44493</v>
          </cell>
          <cell r="Q303"/>
          <cell r="R303"/>
          <cell r="X303">
            <v>44858</v>
          </cell>
          <cell r="Y303">
            <v>44494</v>
          </cell>
        </row>
        <row r="304">
          <cell r="P304">
            <v>44494</v>
          </cell>
          <cell r="Q304"/>
          <cell r="R304"/>
          <cell r="X304">
            <v>44859</v>
          </cell>
          <cell r="Y304">
            <v>44495</v>
          </cell>
        </row>
        <row r="305">
          <cell r="P305">
            <v>44495</v>
          </cell>
          <cell r="Q305"/>
          <cell r="R305"/>
          <cell r="X305">
            <v>44860</v>
          </cell>
          <cell r="Y305">
            <v>44496</v>
          </cell>
        </row>
        <row r="306">
          <cell r="P306">
            <v>44496</v>
          </cell>
          <cell r="Q306"/>
          <cell r="R306"/>
          <cell r="X306">
            <v>44861</v>
          </cell>
          <cell r="Y306">
            <v>44497</v>
          </cell>
        </row>
        <row r="307">
          <cell r="P307">
            <v>44497</v>
          </cell>
          <cell r="Q307"/>
          <cell r="R307"/>
          <cell r="X307">
            <v>44862</v>
          </cell>
          <cell r="Y307">
            <v>44498</v>
          </cell>
        </row>
        <row r="308">
          <cell r="P308">
            <v>44498</v>
          </cell>
          <cell r="Q308"/>
          <cell r="R308"/>
          <cell r="X308">
            <v>44863</v>
          </cell>
          <cell r="Y308">
            <v>44499</v>
          </cell>
        </row>
        <row r="309">
          <cell r="P309">
            <v>44499</v>
          </cell>
          <cell r="Q309"/>
          <cell r="R309"/>
          <cell r="X309">
            <v>44864</v>
          </cell>
          <cell r="Y309">
            <v>44500</v>
          </cell>
        </row>
        <row r="310">
          <cell r="P310">
            <v>44500</v>
          </cell>
          <cell r="Q310"/>
          <cell r="R310"/>
          <cell r="X310">
            <v>44865</v>
          </cell>
          <cell r="Y310">
            <v>44501</v>
          </cell>
        </row>
        <row r="311">
          <cell r="P311">
            <v>44501</v>
          </cell>
          <cell r="Q311"/>
          <cell r="R311"/>
          <cell r="X311">
            <v>44866</v>
          </cell>
          <cell r="Y311">
            <v>44502</v>
          </cell>
        </row>
        <row r="312">
          <cell r="P312">
            <v>44502</v>
          </cell>
          <cell r="Q312"/>
          <cell r="R312"/>
          <cell r="X312">
            <v>44867</v>
          </cell>
          <cell r="Y312">
            <v>44503</v>
          </cell>
        </row>
        <row r="313">
          <cell r="P313">
            <v>44503</v>
          </cell>
          <cell r="Q313"/>
          <cell r="R313"/>
          <cell r="X313">
            <v>44868</v>
          </cell>
          <cell r="Y313">
            <v>44504</v>
          </cell>
        </row>
        <row r="314">
          <cell r="P314">
            <v>44504</v>
          </cell>
          <cell r="Q314" t="str">
            <v>Diwali</v>
          </cell>
          <cell r="R314" t="str">
            <v xml:space="preserve">Low </v>
          </cell>
          <cell r="X314">
            <v>44869</v>
          </cell>
          <cell r="Y314">
            <v>44505</v>
          </cell>
        </row>
        <row r="315">
          <cell r="P315">
            <v>44505</v>
          </cell>
          <cell r="Q315"/>
          <cell r="R315"/>
          <cell r="X315">
            <v>44870</v>
          </cell>
          <cell r="Y315">
            <v>44506</v>
          </cell>
        </row>
        <row r="316">
          <cell r="P316">
            <v>44506</v>
          </cell>
          <cell r="Q316"/>
          <cell r="R316"/>
          <cell r="X316">
            <v>44871</v>
          </cell>
          <cell r="Y316">
            <v>44507</v>
          </cell>
        </row>
        <row r="317">
          <cell r="P317">
            <v>44507</v>
          </cell>
          <cell r="Q317"/>
          <cell r="R317"/>
          <cell r="X317">
            <v>44872</v>
          </cell>
          <cell r="Y317">
            <v>44508</v>
          </cell>
        </row>
        <row r="318">
          <cell r="P318">
            <v>44508</v>
          </cell>
          <cell r="Q318"/>
          <cell r="R318"/>
          <cell r="X318">
            <v>44873</v>
          </cell>
          <cell r="Y318">
            <v>44509</v>
          </cell>
        </row>
        <row r="319">
          <cell r="P319">
            <v>44509</v>
          </cell>
          <cell r="Q319"/>
          <cell r="R319"/>
          <cell r="X319">
            <v>44874</v>
          </cell>
          <cell r="Y319">
            <v>44510</v>
          </cell>
        </row>
        <row r="320">
          <cell r="P320">
            <v>44510</v>
          </cell>
          <cell r="Q320"/>
          <cell r="R320"/>
          <cell r="X320">
            <v>44875</v>
          </cell>
          <cell r="Y320">
            <v>44511</v>
          </cell>
        </row>
        <row r="321">
          <cell r="P321">
            <v>44511</v>
          </cell>
          <cell r="Q321"/>
          <cell r="R321"/>
          <cell r="X321">
            <v>44876</v>
          </cell>
          <cell r="Y321">
            <v>44512</v>
          </cell>
        </row>
        <row r="322">
          <cell r="P322">
            <v>44512</v>
          </cell>
          <cell r="Q322"/>
          <cell r="R322"/>
          <cell r="X322">
            <v>44877</v>
          </cell>
          <cell r="Y322">
            <v>44513</v>
          </cell>
        </row>
        <row r="323">
          <cell r="P323">
            <v>44513</v>
          </cell>
          <cell r="Q323"/>
          <cell r="R323"/>
          <cell r="X323">
            <v>44878</v>
          </cell>
          <cell r="Y323">
            <v>44514</v>
          </cell>
        </row>
        <row r="324">
          <cell r="P324">
            <v>44514</v>
          </cell>
          <cell r="Q324"/>
          <cell r="R324"/>
          <cell r="X324">
            <v>44879</v>
          </cell>
          <cell r="Y324">
            <v>44515</v>
          </cell>
        </row>
        <row r="325">
          <cell r="P325">
            <v>44515</v>
          </cell>
          <cell r="Q325"/>
          <cell r="R325"/>
          <cell r="X325">
            <v>44880</v>
          </cell>
          <cell r="Y325">
            <v>44516</v>
          </cell>
        </row>
        <row r="326">
          <cell r="P326">
            <v>44516</v>
          </cell>
          <cell r="Q326"/>
          <cell r="R326"/>
          <cell r="X326">
            <v>44881</v>
          </cell>
          <cell r="Y326">
            <v>44517</v>
          </cell>
        </row>
        <row r="327">
          <cell r="P327">
            <v>44517</v>
          </cell>
          <cell r="Q327"/>
          <cell r="R327"/>
          <cell r="X327">
            <v>44882</v>
          </cell>
          <cell r="Y327">
            <v>44518</v>
          </cell>
        </row>
        <row r="328">
          <cell r="P328">
            <v>44518</v>
          </cell>
          <cell r="Q328"/>
          <cell r="R328"/>
          <cell r="X328">
            <v>44883</v>
          </cell>
          <cell r="Y328">
            <v>44519</v>
          </cell>
        </row>
        <row r="329">
          <cell r="P329">
            <v>44519</v>
          </cell>
          <cell r="Q329" t="str">
            <v>Milad un Nabi</v>
          </cell>
          <cell r="R329" t="str">
            <v xml:space="preserve">Low </v>
          </cell>
          <cell r="X329">
            <v>44884</v>
          </cell>
          <cell r="Y329">
            <v>44520</v>
          </cell>
        </row>
        <row r="330">
          <cell r="P330">
            <v>44520</v>
          </cell>
          <cell r="Q330"/>
          <cell r="R330"/>
          <cell r="X330">
            <v>44885</v>
          </cell>
          <cell r="Y330">
            <v>44521</v>
          </cell>
        </row>
        <row r="331">
          <cell r="P331">
            <v>44521</v>
          </cell>
          <cell r="Q331"/>
          <cell r="R331"/>
          <cell r="X331">
            <v>44886</v>
          </cell>
          <cell r="Y331">
            <v>44522</v>
          </cell>
        </row>
        <row r="332">
          <cell r="P332">
            <v>44522</v>
          </cell>
          <cell r="Q332"/>
          <cell r="R332"/>
          <cell r="X332">
            <v>44887</v>
          </cell>
          <cell r="Y332">
            <v>44523</v>
          </cell>
        </row>
        <row r="333">
          <cell r="P333">
            <v>44523</v>
          </cell>
          <cell r="Q333"/>
          <cell r="R333"/>
          <cell r="X333">
            <v>44888</v>
          </cell>
          <cell r="Y333">
            <v>44524</v>
          </cell>
        </row>
        <row r="334">
          <cell r="P334">
            <v>44524</v>
          </cell>
          <cell r="Q334"/>
          <cell r="R334"/>
          <cell r="X334">
            <v>44889</v>
          </cell>
          <cell r="Y334">
            <v>44525</v>
          </cell>
        </row>
        <row r="335">
          <cell r="P335">
            <v>44525</v>
          </cell>
          <cell r="Q335"/>
          <cell r="R335"/>
          <cell r="X335">
            <v>44890</v>
          </cell>
          <cell r="Y335">
            <v>44526</v>
          </cell>
        </row>
        <row r="336">
          <cell r="P336">
            <v>44526</v>
          </cell>
          <cell r="Q336"/>
          <cell r="R336"/>
          <cell r="X336">
            <v>44891</v>
          </cell>
          <cell r="Y336">
            <v>44527</v>
          </cell>
        </row>
        <row r="337">
          <cell r="P337">
            <v>44527</v>
          </cell>
          <cell r="Q337"/>
          <cell r="R337"/>
          <cell r="X337">
            <v>44892</v>
          </cell>
          <cell r="Y337">
            <v>44528</v>
          </cell>
        </row>
        <row r="338">
          <cell r="P338">
            <v>44528</v>
          </cell>
          <cell r="Q338"/>
          <cell r="R338"/>
          <cell r="X338">
            <v>44893</v>
          </cell>
          <cell r="Y338">
            <v>44529</v>
          </cell>
        </row>
        <row r="339">
          <cell r="P339">
            <v>44529</v>
          </cell>
          <cell r="Q339"/>
          <cell r="R339"/>
          <cell r="X339">
            <v>44894</v>
          </cell>
          <cell r="Y339">
            <v>44530</v>
          </cell>
        </row>
        <row r="340">
          <cell r="P340">
            <v>44530</v>
          </cell>
          <cell r="Q340"/>
          <cell r="R340"/>
          <cell r="X340">
            <v>44895</v>
          </cell>
          <cell r="Y340">
            <v>44531</v>
          </cell>
        </row>
        <row r="341">
          <cell r="P341">
            <v>44531</v>
          </cell>
          <cell r="Q341"/>
          <cell r="R341"/>
          <cell r="X341">
            <v>44896</v>
          </cell>
          <cell r="Y341">
            <v>44532</v>
          </cell>
        </row>
        <row r="342">
          <cell r="P342">
            <v>44532</v>
          </cell>
          <cell r="Q342"/>
          <cell r="R342"/>
          <cell r="X342">
            <v>44897</v>
          </cell>
          <cell r="Y342">
            <v>44533</v>
          </cell>
        </row>
        <row r="343">
          <cell r="P343">
            <v>44533</v>
          </cell>
          <cell r="Q343"/>
          <cell r="R343"/>
          <cell r="X343">
            <v>44898</v>
          </cell>
          <cell r="Y343">
            <v>44534</v>
          </cell>
        </row>
        <row r="344">
          <cell r="P344">
            <v>44534</v>
          </cell>
          <cell r="Q344"/>
          <cell r="R344"/>
          <cell r="X344">
            <v>44899</v>
          </cell>
          <cell r="Y344">
            <v>44535</v>
          </cell>
        </row>
        <row r="345">
          <cell r="P345">
            <v>44535</v>
          </cell>
          <cell r="Q345"/>
          <cell r="R345"/>
          <cell r="X345">
            <v>44900</v>
          </cell>
          <cell r="Y345">
            <v>44536</v>
          </cell>
        </row>
        <row r="346">
          <cell r="P346">
            <v>44536</v>
          </cell>
          <cell r="Q346"/>
          <cell r="R346"/>
          <cell r="X346">
            <v>44901</v>
          </cell>
          <cell r="Y346">
            <v>44537</v>
          </cell>
        </row>
        <row r="347">
          <cell r="P347">
            <v>44537</v>
          </cell>
          <cell r="Q347"/>
          <cell r="R347"/>
          <cell r="X347">
            <v>44902</v>
          </cell>
          <cell r="Y347">
            <v>44538</v>
          </cell>
        </row>
        <row r="348">
          <cell r="P348">
            <v>44538</v>
          </cell>
          <cell r="Q348"/>
          <cell r="R348"/>
          <cell r="X348">
            <v>44903</v>
          </cell>
          <cell r="Y348">
            <v>44539</v>
          </cell>
        </row>
        <row r="349">
          <cell r="P349">
            <v>44539</v>
          </cell>
          <cell r="Q349"/>
          <cell r="R349"/>
          <cell r="X349">
            <v>44904</v>
          </cell>
          <cell r="Y349">
            <v>44540</v>
          </cell>
        </row>
        <row r="350">
          <cell r="P350">
            <v>44540</v>
          </cell>
          <cell r="Q350"/>
          <cell r="R350"/>
          <cell r="X350">
            <v>44905</v>
          </cell>
          <cell r="Y350">
            <v>44541</v>
          </cell>
        </row>
        <row r="351">
          <cell r="P351">
            <v>44541</v>
          </cell>
          <cell r="Q351"/>
          <cell r="R351"/>
          <cell r="X351">
            <v>44906</v>
          </cell>
          <cell r="Y351">
            <v>44542</v>
          </cell>
        </row>
        <row r="352">
          <cell r="P352">
            <v>44542</v>
          </cell>
          <cell r="Q352"/>
          <cell r="R352"/>
          <cell r="X352">
            <v>44907</v>
          </cell>
          <cell r="Y352">
            <v>44543</v>
          </cell>
        </row>
        <row r="353">
          <cell r="P353">
            <v>44543</v>
          </cell>
          <cell r="Q353"/>
          <cell r="R353"/>
          <cell r="X353">
            <v>44908</v>
          </cell>
          <cell r="Y353">
            <v>44544</v>
          </cell>
        </row>
        <row r="354">
          <cell r="P354">
            <v>44544</v>
          </cell>
          <cell r="Q354"/>
          <cell r="R354"/>
          <cell r="X354">
            <v>44909</v>
          </cell>
          <cell r="Y354">
            <v>44545</v>
          </cell>
        </row>
        <row r="355">
          <cell r="P355">
            <v>44545</v>
          </cell>
          <cell r="Q355"/>
          <cell r="R355"/>
          <cell r="X355">
            <v>44910</v>
          </cell>
          <cell r="Y355">
            <v>44546</v>
          </cell>
        </row>
        <row r="356">
          <cell r="P356">
            <v>44546</v>
          </cell>
          <cell r="Q356"/>
          <cell r="R356"/>
          <cell r="X356">
            <v>44911</v>
          </cell>
          <cell r="Y356">
            <v>44547</v>
          </cell>
        </row>
        <row r="357">
          <cell r="P357">
            <v>44547</v>
          </cell>
          <cell r="Q357"/>
          <cell r="R357"/>
          <cell r="X357">
            <v>44912</v>
          </cell>
          <cell r="Y357">
            <v>44548</v>
          </cell>
        </row>
        <row r="358">
          <cell r="P358">
            <v>44548</v>
          </cell>
          <cell r="Q358"/>
          <cell r="R358"/>
          <cell r="X358">
            <v>44913</v>
          </cell>
          <cell r="Y358">
            <v>44549</v>
          </cell>
        </row>
        <row r="359">
          <cell r="P359">
            <v>44549</v>
          </cell>
          <cell r="Q359"/>
          <cell r="R359"/>
          <cell r="X359">
            <v>44914</v>
          </cell>
          <cell r="Y359">
            <v>44550</v>
          </cell>
        </row>
        <row r="360">
          <cell r="P360">
            <v>44550</v>
          </cell>
          <cell r="Q360"/>
          <cell r="R360"/>
          <cell r="X360">
            <v>44915</v>
          </cell>
          <cell r="Y360">
            <v>44551</v>
          </cell>
        </row>
        <row r="361">
          <cell r="P361">
            <v>44551</v>
          </cell>
          <cell r="Q361"/>
          <cell r="R361"/>
          <cell r="X361">
            <v>44916</v>
          </cell>
          <cell r="Y361">
            <v>44552</v>
          </cell>
        </row>
        <row r="362">
          <cell r="P362">
            <v>44552</v>
          </cell>
          <cell r="Q362"/>
          <cell r="R362"/>
          <cell r="X362">
            <v>44917</v>
          </cell>
          <cell r="Y362">
            <v>44553</v>
          </cell>
        </row>
        <row r="363">
          <cell r="P363">
            <v>44553</v>
          </cell>
          <cell r="Q363"/>
          <cell r="R363"/>
          <cell r="X363">
            <v>44918</v>
          </cell>
          <cell r="Y363">
            <v>44554</v>
          </cell>
        </row>
        <row r="364">
          <cell r="P364">
            <v>44554</v>
          </cell>
          <cell r="Q364"/>
          <cell r="R364"/>
          <cell r="X364">
            <v>44919</v>
          </cell>
          <cell r="Y364">
            <v>44555</v>
          </cell>
        </row>
        <row r="365">
          <cell r="P365">
            <v>44555</v>
          </cell>
          <cell r="Q365" t="str">
            <v>Christmas</v>
          </cell>
          <cell r="R365" t="str">
            <v xml:space="preserve">Medium </v>
          </cell>
          <cell r="X365">
            <v>44920</v>
          </cell>
          <cell r="Y365">
            <v>44556</v>
          </cell>
        </row>
        <row r="366">
          <cell r="P366">
            <v>44556</v>
          </cell>
          <cell r="Q366"/>
          <cell r="R366"/>
          <cell r="X366">
            <v>44921</v>
          </cell>
          <cell r="Y366">
            <v>44557</v>
          </cell>
        </row>
        <row r="367">
          <cell r="P367">
            <v>44557</v>
          </cell>
          <cell r="Q367"/>
          <cell r="R367"/>
          <cell r="X367">
            <v>44922</v>
          </cell>
          <cell r="Y367">
            <v>44558</v>
          </cell>
        </row>
        <row r="368">
          <cell r="P368">
            <v>44558</v>
          </cell>
          <cell r="Q368"/>
          <cell r="R368"/>
          <cell r="X368">
            <v>44923</v>
          </cell>
          <cell r="Y368">
            <v>44559</v>
          </cell>
        </row>
        <row r="369">
          <cell r="P369">
            <v>44559</v>
          </cell>
          <cell r="Q369"/>
          <cell r="R369"/>
          <cell r="X369">
            <v>44924</v>
          </cell>
          <cell r="Y369">
            <v>44560</v>
          </cell>
        </row>
        <row r="370">
          <cell r="P370">
            <v>44560</v>
          </cell>
          <cell r="Q370"/>
          <cell r="R370"/>
          <cell r="X370">
            <v>44925</v>
          </cell>
          <cell r="Y370" t="e">
            <v>#N/A</v>
          </cell>
        </row>
        <row r="371">
          <cell r="P371">
            <v>44561</v>
          </cell>
          <cell r="Q371" t="str">
            <v>New Years Eve</v>
          </cell>
          <cell r="R371" t="str">
            <v xml:space="preserve">High </v>
          </cell>
          <cell r="X371">
            <v>44926</v>
          </cell>
          <cell r="Y371" t="e">
            <v>#N/A</v>
          </cell>
        </row>
        <row r="372">
          <cell r="P372">
            <v>44562</v>
          </cell>
          <cell r="Q372"/>
          <cell r="R372"/>
          <cell r="X372" t="str">
            <v/>
          </cell>
          <cell r="Y372" t="str">
            <v/>
          </cell>
        </row>
        <row r="373">
          <cell r="P373" t="str">
            <v/>
          </cell>
          <cell r="Q373"/>
          <cell r="R373"/>
        </row>
      </sheetData>
      <sheetData sheetId="28"/>
      <sheetData sheetId="29"/>
      <sheetData sheetId="3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atasheet"/>
      <sheetName val="CY Budget"/>
      <sheetName val="CY Forecast"/>
      <sheetName val="PY Actual"/>
      <sheetName val="Setup_MC"/>
      <sheetName val="CY_FCT_MMR"/>
      <sheetName val="CY_Bdgt_Rpt"/>
      <sheetName val="CY_FCST_Rpt"/>
      <sheetName val="PY_ACT_Rpt"/>
      <sheetName val="Setup"/>
      <sheetName val="Dept"/>
      <sheetName val="Control Buget template"/>
      <sheetName val="Upload"/>
      <sheetName val="Extract PLAN"/>
      <sheetName val="PLAN-ALL"/>
      <sheetName val="LCOA Map"/>
      <sheetName val="Total revenue"/>
      <sheetName val="Apt revenue"/>
      <sheetName val="Revenue by apt type"/>
      <sheetName val="2022 Forecast Room Rev_CL"/>
      <sheetName val="Combine A B C"/>
      <sheetName val="Commercial rental"/>
      <sheetName val="Commercial rental by unit"/>
      <sheetName val="Salaries"/>
      <sheetName val="HR"/>
      <sheetName val="Housekeeping"/>
      <sheetName val="Club house"/>
      <sheetName val="Business Centre"/>
      <sheetName val="Front office"/>
      <sheetName val="IT"/>
      <sheetName val="Security"/>
      <sheetName val="Engineering"/>
      <sheetName val="Marketing"/>
      <sheetName val="Finance"/>
      <sheetName val="Insurance &amp; tax"/>
      <sheetName val="G&amp;A"/>
      <sheetName val="Food &amp; Beverage"/>
      <sheetName val="capex &amp; cashflow"/>
      <sheetName val="Co P&amp;L"/>
      <sheetName val="Attachment A1"/>
      <sheetName val="Attachment A1 - supporting"/>
      <sheetName val="Attachment A1 - supporting2"/>
      <sheetName val="Analysis BGT vs CYFCT"/>
      <sheetName val="Analysis CYFCTvsCYBGT&amp;PYAC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2">
          <cell r="B12" t="str">
            <v>Z:\Group Performance Management\Budget\budget template\Final - Test 2\</v>
          </cell>
        </row>
        <row r="25">
          <cell r="B25" t="str">
            <v>Z:\Group Performance Management\Budget\budget template\Final - Test 2\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O3" t="str">
            <v>CY Forecast</v>
          </cell>
          <cell r="Q3">
            <v>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Actual"/>
      <sheetName val="Budget"/>
      <sheetName val="LastYr"/>
      <sheetName val="DOW"/>
      <sheetName val="Acct-Stacking"/>
      <sheetName val="Lease Expiry"/>
      <sheetName val="SRT Summary"/>
      <sheetName val="Corp"/>
      <sheetName val="Temp"/>
      <sheetName val="Relo"/>
      <sheetName val="OTA"/>
      <sheetName val="WHL"/>
      <sheetName val="OW Managed"/>
      <sheetName val="Consol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I2" t="str">
            <v>Jan</v>
          </cell>
          <cell r="J2">
            <v>1</v>
          </cell>
        </row>
        <row r="3">
          <cell r="I3" t="str">
            <v>Feb</v>
          </cell>
          <cell r="J3">
            <v>2</v>
          </cell>
        </row>
        <row r="4">
          <cell r="I4" t="str">
            <v>Mar</v>
          </cell>
          <cell r="J4">
            <v>3</v>
          </cell>
        </row>
        <row r="5">
          <cell r="I5" t="str">
            <v>Apr</v>
          </cell>
          <cell r="J5">
            <v>4</v>
          </cell>
        </row>
        <row r="6">
          <cell r="I6" t="str">
            <v>May</v>
          </cell>
          <cell r="J6">
            <v>5</v>
          </cell>
        </row>
        <row r="7">
          <cell r="I7" t="str">
            <v>Jun</v>
          </cell>
          <cell r="J7">
            <v>6</v>
          </cell>
        </row>
        <row r="8">
          <cell r="I8" t="str">
            <v>Jul</v>
          </cell>
          <cell r="J8">
            <v>7</v>
          </cell>
        </row>
        <row r="9">
          <cell r="I9" t="str">
            <v>Aug</v>
          </cell>
          <cell r="J9">
            <v>8</v>
          </cell>
        </row>
        <row r="10">
          <cell r="I10" t="str">
            <v>Sep</v>
          </cell>
          <cell r="J10">
            <v>9</v>
          </cell>
        </row>
        <row r="11">
          <cell r="I11" t="str">
            <v>Oct</v>
          </cell>
          <cell r="J11">
            <v>10</v>
          </cell>
        </row>
        <row r="12">
          <cell r="I12" t="str">
            <v>Nov</v>
          </cell>
          <cell r="J12">
            <v>11</v>
          </cell>
        </row>
        <row r="13">
          <cell r="I13" t="str">
            <v>Dec</v>
          </cell>
          <cell r="J13">
            <v>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725C8-DE86-4371-9CD5-5BDC87181552}">
  <sheetPr>
    <tabColor rgb="FFFF0000"/>
  </sheetPr>
  <dimension ref="B1:AL23"/>
  <sheetViews>
    <sheetView showGridLines="0" tabSelected="1" zoomScale="70" zoomScaleNormal="70" workbookViewId="0">
      <selection activeCell="O27" sqref="O27"/>
    </sheetView>
  </sheetViews>
  <sheetFormatPr defaultColWidth="9.21875" defaultRowHeight="14.4" x14ac:dyDescent="0.3"/>
  <cols>
    <col min="1" max="1" width="3.5546875" customWidth="1"/>
    <col min="2" max="2" width="33.109375" bestFit="1" customWidth="1"/>
    <col min="3" max="3" width="8.88671875" bestFit="1" customWidth="1"/>
    <col min="4" max="4" width="9.21875" bestFit="1" customWidth="1"/>
    <col min="5" max="5" width="14.5546875" bestFit="1" customWidth="1"/>
    <col min="6" max="7" width="13.33203125" bestFit="1" customWidth="1"/>
    <col min="8" max="9" width="8.5546875" bestFit="1" customWidth="1"/>
    <col min="10" max="10" width="14.5546875" bestFit="1" customWidth="1"/>
    <col min="11" max="11" width="8.33203125" bestFit="1" customWidth="1"/>
    <col min="12" max="12" width="8.21875" bestFit="1" customWidth="1"/>
    <col min="13" max="14" width="8.5546875" bestFit="1" customWidth="1"/>
    <col min="15" max="15" width="14.5546875" bestFit="1" customWidth="1"/>
    <col min="16" max="16" width="8.33203125" bestFit="1" customWidth="1"/>
    <col min="17" max="17" width="8.21875" bestFit="1" customWidth="1"/>
    <col min="18" max="18" width="8.5546875" bestFit="1" customWidth="1"/>
    <col min="19" max="19" width="13.5546875" bestFit="1" customWidth="1"/>
    <col min="20" max="20" width="14.5546875" bestFit="1" customWidth="1"/>
    <col min="21" max="21" width="8.33203125" bestFit="1" customWidth="1"/>
    <col min="22" max="22" width="8.21875" bestFit="1" customWidth="1"/>
    <col min="23" max="24" width="8.5546875" bestFit="1" customWidth="1"/>
    <col min="25" max="25" width="14.5546875" bestFit="1" customWidth="1"/>
    <col min="26" max="26" width="8.33203125" bestFit="1" customWidth="1"/>
    <col min="28" max="28" width="8.5546875" bestFit="1" customWidth="1"/>
    <col min="29" max="29" width="9.77734375" bestFit="1" customWidth="1"/>
    <col min="30" max="30" width="14.5546875" bestFit="1" customWidth="1"/>
    <col min="31" max="31" width="8.33203125" bestFit="1" customWidth="1"/>
    <col min="32" max="32" width="8.21875" bestFit="1" customWidth="1"/>
    <col min="33" max="33" width="33.109375" bestFit="1" customWidth="1"/>
    <col min="34" max="34" width="11.77734375" bestFit="1" customWidth="1"/>
    <col min="36" max="36" width="15.88671875" bestFit="1" customWidth="1"/>
  </cols>
  <sheetData>
    <row r="1" spans="2:38" ht="19.5" customHeight="1" x14ac:dyDescent="0.4">
      <c r="B1" s="1" t="s">
        <v>18</v>
      </c>
      <c r="V1" s="27"/>
    </row>
    <row r="2" spans="2:38" ht="19.5" customHeight="1" x14ac:dyDescent="0.4">
      <c r="B2" s="18">
        <v>2025</v>
      </c>
      <c r="C2" s="2"/>
    </row>
    <row r="3" spans="2:38" ht="19.5" customHeight="1" thickBot="1" x14ac:dyDescent="0.35">
      <c r="C3">
        <v>31</v>
      </c>
      <c r="H3">
        <v>28</v>
      </c>
      <c r="M3">
        <v>31</v>
      </c>
      <c r="R3">
        <v>30</v>
      </c>
      <c r="W3">
        <v>31</v>
      </c>
      <c r="AB3">
        <v>30</v>
      </c>
    </row>
    <row r="4" spans="2:38" ht="16.05" customHeight="1" x14ac:dyDescent="0.3">
      <c r="B4" s="62" t="s">
        <v>0</v>
      </c>
      <c r="C4" s="64">
        <v>45658</v>
      </c>
      <c r="D4" s="65"/>
      <c r="E4" s="65"/>
      <c r="F4" s="65"/>
      <c r="G4" s="69"/>
      <c r="H4" s="64">
        <v>45689</v>
      </c>
      <c r="I4" s="65"/>
      <c r="J4" s="65"/>
      <c r="K4" s="65"/>
      <c r="L4" s="65"/>
      <c r="M4" s="66">
        <v>45717</v>
      </c>
      <c r="N4" s="67"/>
      <c r="O4" s="67"/>
      <c r="P4" s="67"/>
      <c r="Q4" s="68"/>
      <c r="R4" s="66">
        <v>45748</v>
      </c>
      <c r="S4" s="67"/>
      <c r="T4" s="67"/>
      <c r="U4" s="67"/>
      <c r="V4" s="68"/>
      <c r="W4" s="66">
        <v>45778</v>
      </c>
      <c r="X4" s="67"/>
      <c r="Y4" s="67"/>
      <c r="Z4" s="67"/>
      <c r="AA4" s="68"/>
      <c r="AB4" s="66">
        <v>45809</v>
      </c>
      <c r="AC4" s="67"/>
      <c r="AD4" s="67"/>
      <c r="AE4" s="67"/>
      <c r="AF4" s="68"/>
      <c r="AG4" s="70" t="s">
        <v>0</v>
      </c>
      <c r="AH4" s="65" t="s">
        <v>17</v>
      </c>
      <c r="AI4" s="65"/>
      <c r="AJ4" s="65"/>
      <c r="AK4" s="65"/>
      <c r="AL4" s="69"/>
    </row>
    <row r="5" spans="2:38" ht="16.05" customHeight="1" thickBot="1" x14ac:dyDescent="0.35">
      <c r="B5" s="63"/>
      <c r="C5" s="31" t="s">
        <v>1</v>
      </c>
      <c r="D5" s="31" t="s">
        <v>2</v>
      </c>
      <c r="E5" s="31" t="s">
        <v>3</v>
      </c>
      <c r="F5" s="31" t="s">
        <v>4</v>
      </c>
      <c r="G5" s="31" t="s">
        <v>5</v>
      </c>
      <c r="H5" s="31" t="s">
        <v>1</v>
      </c>
      <c r="I5" s="31" t="s">
        <v>2</v>
      </c>
      <c r="J5" s="31" t="s">
        <v>3</v>
      </c>
      <c r="K5" s="31" t="s">
        <v>4</v>
      </c>
      <c r="L5" s="46" t="s">
        <v>5</v>
      </c>
      <c r="M5" s="56" t="s">
        <v>1</v>
      </c>
      <c r="N5" s="31" t="s">
        <v>2</v>
      </c>
      <c r="O5" s="31" t="s">
        <v>3</v>
      </c>
      <c r="P5" s="4" t="s">
        <v>4</v>
      </c>
      <c r="Q5" s="52" t="s">
        <v>5</v>
      </c>
      <c r="R5" s="51" t="s">
        <v>1</v>
      </c>
      <c r="S5" s="4" t="s">
        <v>2</v>
      </c>
      <c r="T5" s="4" t="s">
        <v>3</v>
      </c>
      <c r="U5" s="4" t="s">
        <v>4</v>
      </c>
      <c r="V5" s="52" t="s">
        <v>5</v>
      </c>
      <c r="W5" s="56" t="s">
        <v>1</v>
      </c>
      <c r="X5" s="31" t="s">
        <v>2</v>
      </c>
      <c r="Y5" s="31" t="s">
        <v>3</v>
      </c>
      <c r="Z5" s="4" t="s">
        <v>4</v>
      </c>
      <c r="AA5" s="52" t="s">
        <v>5</v>
      </c>
      <c r="AB5" s="51" t="s">
        <v>1</v>
      </c>
      <c r="AC5" s="4" t="s">
        <v>2</v>
      </c>
      <c r="AD5" s="4" t="s">
        <v>3</v>
      </c>
      <c r="AE5" s="4" t="s">
        <v>4</v>
      </c>
      <c r="AF5" s="52" t="s">
        <v>5</v>
      </c>
      <c r="AG5" s="71"/>
      <c r="AH5" s="3" t="s">
        <v>1</v>
      </c>
      <c r="AI5" s="4" t="s">
        <v>2</v>
      </c>
      <c r="AJ5" s="4" t="s">
        <v>3</v>
      </c>
      <c r="AK5" s="4" t="s">
        <v>4</v>
      </c>
      <c r="AL5" s="4" t="s">
        <v>5</v>
      </c>
    </row>
    <row r="6" spans="2:38" ht="31.5" customHeight="1" x14ac:dyDescent="0.35">
      <c r="B6" s="28" t="s">
        <v>6</v>
      </c>
      <c r="C6" s="32">
        <v>572</v>
      </c>
      <c r="D6" s="33">
        <v>4012.390244755245</v>
      </c>
      <c r="E6" s="44">
        <v>2295087.2200000002</v>
      </c>
      <c r="F6" s="58">
        <f>C6/$C$15</f>
        <v>5.7736953669122841E-2</v>
      </c>
      <c r="G6" s="34">
        <f>E6/$E$15</f>
        <v>5.5271721953320176E-2</v>
      </c>
      <c r="H6" s="43">
        <v>686</v>
      </c>
      <c r="I6" s="33">
        <v>3887.4856413994166</v>
      </c>
      <c r="J6" s="44">
        <v>2666815.15</v>
      </c>
      <c r="K6" s="58">
        <f>H6/$H$15</f>
        <v>8.1627796287482152E-2</v>
      </c>
      <c r="L6" s="47">
        <f>J6/$J$15</f>
        <v>8.058354014879085E-2</v>
      </c>
      <c r="M6" s="43">
        <v>546</v>
      </c>
      <c r="N6" s="33">
        <v>4039.5020695970693</v>
      </c>
      <c r="O6" s="44">
        <v>2205568.13</v>
      </c>
      <c r="P6" s="53">
        <f>M6/$M$15</f>
        <v>7.8078078078078081E-2</v>
      </c>
      <c r="Q6" s="36">
        <f>O6/$O$15</f>
        <v>8.9113108375256586E-2</v>
      </c>
      <c r="R6" s="19">
        <v>516</v>
      </c>
      <c r="S6" s="12">
        <v>4011.9634689922477</v>
      </c>
      <c r="T6" s="20">
        <v>2070173.15</v>
      </c>
      <c r="U6" s="15">
        <f>R6/$R$15</f>
        <v>6.8544102019128583E-2</v>
      </c>
      <c r="V6" s="36">
        <f>T6/$T$15</f>
        <v>7.4642501857525204E-2</v>
      </c>
      <c r="W6" s="40">
        <v>671</v>
      </c>
      <c r="X6" s="33">
        <v>3864.3519970193738</v>
      </c>
      <c r="Y6" s="41">
        <v>2592980.19</v>
      </c>
      <c r="Z6" s="15">
        <f>W6/$W$15</f>
        <v>8.2859965423561374E-2</v>
      </c>
      <c r="AA6" s="36">
        <f>Y6/$Y$15</f>
        <v>9.7066564251238038E-2</v>
      </c>
      <c r="AB6" s="19">
        <v>554</v>
      </c>
      <c r="AC6" s="12">
        <v>4027.1738447653429</v>
      </c>
      <c r="AD6" s="20">
        <v>2231054.31</v>
      </c>
      <c r="AE6" s="15">
        <f>AB6/$AB$15</f>
        <v>7.5404927181162373E-2</v>
      </c>
      <c r="AF6" s="36">
        <f>AD6/$AD$15</f>
        <v>9.022785165981656E-2</v>
      </c>
      <c r="AG6" s="60" t="s">
        <v>6</v>
      </c>
      <c r="AH6" s="59">
        <v>3545</v>
      </c>
      <c r="AI6" s="12">
        <v>3966.6228913963328</v>
      </c>
      <c r="AJ6" s="5">
        <v>14061678.15</v>
      </c>
      <c r="AK6" s="15">
        <f t="shared" ref="AK6:AK14" si="0">AH6/$AH$15</f>
        <v>7.3430411997431486E-2</v>
      </c>
      <c r="AL6" s="15">
        <f t="shared" ref="AL6:AL14" si="1">AJ6/$AJ$15</f>
        <v>7.875813735656817E-2</v>
      </c>
    </row>
    <row r="7" spans="2:38" ht="31.5" customHeight="1" x14ac:dyDescent="0.35">
      <c r="B7" s="28" t="s">
        <v>7</v>
      </c>
      <c r="C7" s="35">
        <v>1863</v>
      </c>
      <c r="D7" s="13">
        <v>2448.5469511540523</v>
      </c>
      <c r="E7" s="45">
        <v>4561642.97</v>
      </c>
      <c r="F7" s="53">
        <f t="shared" ref="F7:F14" si="2">C7/$C$15</f>
        <v>0.18804885434541233</v>
      </c>
      <c r="G7" s="36">
        <f t="shared" ref="G7:G14" si="3">E7/$E$15</f>
        <v>0.10985633125008538</v>
      </c>
      <c r="H7" s="35">
        <v>1440</v>
      </c>
      <c r="I7" s="13">
        <v>2618.2088472222222</v>
      </c>
      <c r="J7" s="45">
        <v>3770220.74</v>
      </c>
      <c r="K7" s="53">
        <f t="shared" ref="K7:K14" si="4">H7/$H$15</f>
        <v>0.17134697762970014</v>
      </c>
      <c r="L7" s="48">
        <f t="shared" ref="L7:L14" si="5">J7/$J$15</f>
        <v>0.1139253068858537</v>
      </c>
      <c r="M7" s="35">
        <v>1537</v>
      </c>
      <c r="N7" s="12">
        <v>2578.171073519844</v>
      </c>
      <c r="O7" s="45">
        <v>3962648.94</v>
      </c>
      <c r="P7" s="53">
        <f t="shared" ref="P7:P14" si="6">M7/$M$15</f>
        <v>0.21979121979121979</v>
      </c>
      <c r="Q7" s="36">
        <f t="shared" ref="Q7:Q14" si="7">O7/$O$15</f>
        <v>0.16010567057083638</v>
      </c>
      <c r="R7" s="21">
        <v>1443</v>
      </c>
      <c r="S7" s="12">
        <v>2568.6105266805266</v>
      </c>
      <c r="T7" s="22">
        <v>3706504.99</v>
      </c>
      <c r="U7" s="15">
        <f t="shared" ref="U7:U14" si="8">R7/$R$15</f>
        <v>0.19168437832093518</v>
      </c>
      <c r="V7" s="36">
        <f t="shared" ref="V7:V14" si="9">T7/$T$15</f>
        <v>0.13364235044831949</v>
      </c>
      <c r="W7" s="21">
        <v>1672</v>
      </c>
      <c r="X7" s="13">
        <v>2487.6685526315791</v>
      </c>
      <c r="Y7" s="22">
        <v>4159381.8200000003</v>
      </c>
      <c r="Z7" s="15">
        <f t="shared" ref="Z7:Z14" si="10">W7/$W$15</f>
        <v>0.206470733514448</v>
      </c>
      <c r="AA7" s="36">
        <f t="shared" ref="AA7:AA14" si="11">Y7/$Y$15</f>
        <v>0.15570381302313824</v>
      </c>
      <c r="AB7" s="21">
        <v>1744</v>
      </c>
      <c r="AC7" s="13">
        <v>2664.3999598623855</v>
      </c>
      <c r="AD7" s="22">
        <v>4646713.53</v>
      </c>
      <c r="AE7" s="15">
        <f t="shared" ref="AE7:AE14" si="12">AB7/$AB$15</f>
        <v>0.23737579964611405</v>
      </c>
      <c r="AF7" s="36">
        <f t="shared" ref="AF7:AF14" si="13">AD7/$AD$15</f>
        <v>0.18792145812465794</v>
      </c>
      <c r="AG7" s="60" t="s">
        <v>7</v>
      </c>
      <c r="AH7" s="59">
        <v>9699</v>
      </c>
      <c r="AI7" s="12">
        <v>2557.6980090731004</v>
      </c>
      <c r="AJ7" s="5">
        <v>24807112.990000002</v>
      </c>
      <c r="AK7" s="15">
        <f t="shared" si="0"/>
        <v>0.20090312156927728</v>
      </c>
      <c r="AL7" s="15">
        <f t="shared" si="1"/>
        <v>0.13894230769933577</v>
      </c>
    </row>
    <row r="8" spans="2:38" ht="31.5" customHeight="1" x14ac:dyDescent="0.35">
      <c r="B8" s="28" t="s">
        <v>8</v>
      </c>
      <c r="C8" s="35">
        <v>4050</v>
      </c>
      <c r="D8" s="13">
        <v>5212.0804172839498</v>
      </c>
      <c r="E8" s="45">
        <v>21108925.689999998</v>
      </c>
      <c r="F8" s="53">
        <f t="shared" si="2"/>
        <v>0.40880185727263552</v>
      </c>
      <c r="G8" s="36">
        <f t="shared" si="3"/>
        <v>0.50835831479684546</v>
      </c>
      <c r="H8" s="35">
        <v>3388</v>
      </c>
      <c r="I8" s="13">
        <v>4520.7802685950419</v>
      </c>
      <c r="J8" s="45">
        <v>15316403.550000001</v>
      </c>
      <c r="K8" s="53">
        <f t="shared" si="4"/>
        <v>0.40314136125654448</v>
      </c>
      <c r="L8" s="48">
        <f t="shared" si="5"/>
        <v>0.46281798736838126</v>
      </c>
      <c r="M8" s="35">
        <v>2586</v>
      </c>
      <c r="N8" s="13">
        <v>4067.5644547563802</v>
      </c>
      <c r="O8" s="45">
        <v>10518721.68</v>
      </c>
      <c r="P8" s="53">
        <f t="shared" si="6"/>
        <v>0.36979836979836977</v>
      </c>
      <c r="Q8" s="36">
        <f t="shared" si="7"/>
        <v>0.42499525282812328</v>
      </c>
      <c r="R8" s="21">
        <v>3183</v>
      </c>
      <c r="S8" s="13">
        <v>4271.744143889412</v>
      </c>
      <c r="T8" s="22">
        <v>13596961.609999999</v>
      </c>
      <c r="U8" s="15">
        <f t="shared" si="8"/>
        <v>0.42282146652497343</v>
      </c>
      <c r="V8" s="36">
        <f t="shared" si="9"/>
        <v>0.49025427280376221</v>
      </c>
      <c r="W8" s="21">
        <v>3138</v>
      </c>
      <c r="X8" s="13">
        <v>3685.7336934353093</v>
      </c>
      <c r="Y8" s="22">
        <v>11565832.33</v>
      </c>
      <c r="Z8" s="15">
        <f t="shared" si="10"/>
        <v>0.38750308718202026</v>
      </c>
      <c r="AA8" s="36">
        <f t="shared" si="11"/>
        <v>0.43295957728816709</v>
      </c>
      <c r="AB8" s="21">
        <v>2033</v>
      </c>
      <c r="AC8" s="13">
        <v>3988.4264879488442</v>
      </c>
      <c r="AD8" s="22">
        <v>8108471.0499999998</v>
      </c>
      <c r="AE8" s="15">
        <f t="shared" si="12"/>
        <v>0.27671158295903092</v>
      </c>
      <c r="AF8" s="36">
        <f t="shared" si="13"/>
        <v>0.32792116256789688</v>
      </c>
      <c r="AG8" s="60" t="s">
        <v>8</v>
      </c>
      <c r="AH8" s="59">
        <v>18378</v>
      </c>
      <c r="AI8" s="12">
        <v>4364.7467575361843</v>
      </c>
      <c r="AJ8" s="5">
        <v>80215315.909999996</v>
      </c>
      <c r="AK8" s="15">
        <f t="shared" si="0"/>
        <v>0.38067816972885637</v>
      </c>
      <c r="AL8" s="15">
        <f t="shared" si="1"/>
        <v>0.44927844323760796</v>
      </c>
    </row>
    <row r="9" spans="2:38" ht="31.5" customHeight="1" x14ac:dyDescent="0.35">
      <c r="B9" s="28" t="s">
        <v>9</v>
      </c>
      <c r="C9" s="35">
        <v>473</v>
      </c>
      <c r="D9" s="13">
        <v>5371.548773784355</v>
      </c>
      <c r="E9" s="45">
        <v>2540742.5699999998</v>
      </c>
      <c r="F9" s="53">
        <f t="shared" si="2"/>
        <v>4.7744019380236195E-2</v>
      </c>
      <c r="G9" s="36">
        <f t="shared" si="3"/>
        <v>6.1187747315330394E-2</v>
      </c>
      <c r="H9" s="35">
        <v>611</v>
      </c>
      <c r="I9" s="13">
        <v>4534.3675122749592</v>
      </c>
      <c r="J9" s="45">
        <v>2770498.55</v>
      </c>
      <c r="K9" s="53">
        <f t="shared" si="4"/>
        <v>7.2703474535935272E-2</v>
      </c>
      <c r="L9" s="48">
        <f t="shared" si="5"/>
        <v>8.3716556483523732E-2</v>
      </c>
      <c r="M9" s="35">
        <v>526</v>
      </c>
      <c r="N9" s="13">
        <v>4208.3213307984788</v>
      </c>
      <c r="O9" s="45">
        <v>2213577.02</v>
      </c>
      <c r="P9" s="53">
        <f t="shared" si="6"/>
        <v>7.521807521807522E-2</v>
      </c>
      <c r="Q9" s="36">
        <f t="shared" si="7"/>
        <v>8.943669714715978E-2</v>
      </c>
      <c r="R9" s="21">
        <v>715</v>
      </c>
      <c r="S9" s="13">
        <v>4125.8392307692302</v>
      </c>
      <c r="T9" s="22">
        <v>2949975.05</v>
      </c>
      <c r="U9" s="15">
        <f t="shared" si="8"/>
        <v>9.4978746014877796E-2</v>
      </c>
      <c r="V9" s="36">
        <f t="shared" si="9"/>
        <v>0.10636478313385428</v>
      </c>
      <c r="W9" s="21">
        <v>299</v>
      </c>
      <c r="X9" s="13">
        <v>3717.8581605351173</v>
      </c>
      <c r="Y9" s="22">
        <v>1111639.5900000001</v>
      </c>
      <c r="Z9" s="15">
        <f t="shared" si="10"/>
        <v>3.6922696962212891E-2</v>
      </c>
      <c r="AA9" s="36">
        <f t="shared" si="11"/>
        <v>4.1613521037719502E-2</v>
      </c>
      <c r="AB9" s="21">
        <v>410</v>
      </c>
      <c r="AC9" s="13">
        <v>4147.7204146341464</v>
      </c>
      <c r="AD9" s="22">
        <v>1700565.37</v>
      </c>
      <c r="AE9" s="15">
        <f t="shared" si="12"/>
        <v>5.5805090513134613E-2</v>
      </c>
      <c r="AF9" s="36">
        <f t="shared" si="13"/>
        <v>6.8773924173177597E-2</v>
      </c>
      <c r="AG9" s="60" t="s">
        <v>9</v>
      </c>
      <c r="AH9" s="59">
        <v>3034</v>
      </c>
      <c r="AI9" s="12">
        <v>4379.3665622940007</v>
      </c>
      <c r="AJ9" s="5">
        <v>13286998.149999999</v>
      </c>
      <c r="AK9" s="15">
        <f t="shared" si="0"/>
        <v>6.2845661495121899E-2</v>
      </c>
      <c r="AL9" s="15">
        <f t="shared" si="1"/>
        <v>7.4419227505514121E-2</v>
      </c>
    </row>
    <row r="10" spans="2:38" ht="31.5" customHeight="1" x14ac:dyDescent="0.35">
      <c r="B10" s="28" t="s">
        <v>10</v>
      </c>
      <c r="C10" s="35">
        <v>2712</v>
      </c>
      <c r="D10" s="13">
        <v>3755.0993325958702</v>
      </c>
      <c r="E10" s="45">
        <v>10183829.390000001</v>
      </c>
      <c r="F10" s="53">
        <f t="shared" si="2"/>
        <v>0.27374583627737964</v>
      </c>
      <c r="G10" s="36">
        <f t="shared" si="3"/>
        <v>0.2452533313588536</v>
      </c>
      <c r="H10" s="35">
        <v>2181</v>
      </c>
      <c r="I10" s="13">
        <v>3764.5178817056394</v>
      </c>
      <c r="J10" s="45">
        <v>8210413.5</v>
      </c>
      <c r="K10" s="53">
        <f t="shared" si="4"/>
        <v>0.25951927653498336</v>
      </c>
      <c r="L10" s="48">
        <f t="shared" si="5"/>
        <v>0.24809525546434083</v>
      </c>
      <c r="M10" s="35">
        <v>1623</v>
      </c>
      <c r="N10" s="12">
        <v>3235.810616142945</v>
      </c>
      <c r="O10" s="45">
        <v>5251720.63</v>
      </c>
      <c r="P10" s="53">
        <f t="shared" si="6"/>
        <v>0.2320892320892321</v>
      </c>
      <c r="Q10" s="36">
        <f t="shared" si="7"/>
        <v>0.21218893367749234</v>
      </c>
      <c r="R10" s="21">
        <v>1421</v>
      </c>
      <c r="S10" s="12">
        <v>3207.7248627726954</v>
      </c>
      <c r="T10" s="22">
        <v>4558177.03</v>
      </c>
      <c r="U10" s="15">
        <f t="shared" si="8"/>
        <v>0.18876195536663123</v>
      </c>
      <c r="V10" s="36">
        <f t="shared" si="9"/>
        <v>0.16435037688934556</v>
      </c>
      <c r="W10" s="21">
        <v>2290</v>
      </c>
      <c r="X10" s="13">
        <v>3153.1678995633188</v>
      </c>
      <c r="Y10" s="22">
        <v>7220754.4900000002</v>
      </c>
      <c r="Z10" s="15">
        <f t="shared" si="10"/>
        <v>0.28278587305507535</v>
      </c>
      <c r="AA10" s="36">
        <f t="shared" si="11"/>
        <v>0.27030435186086038</v>
      </c>
      <c r="AB10" s="21">
        <v>2567</v>
      </c>
      <c r="AC10" s="13">
        <v>3082.012520451889</v>
      </c>
      <c r="AD10" s="22">
        <v>7911526.1399999997</v>
      </c>
      <c r="AE10" s="15">
        <f t="shared" si="12"/>
        <v>0.34939431060296722</v>
      </c>
      <c r="AF10" s="36">
        <f t="shared" si="13"/>
        <v>0.31995635595382754</v>
      </c>
      <c r="AG10" s="60" t="s">
        <v>10</v>
      </c>
      <c r="AH10" s="59">
        <v>12794</v>
      </c>
      <c r="AI10" s="12">
        <v>3387.2456760981709</v>
      </c>
      <c r="AJ10" s="5">
        <v>43336421.18</v>
      </c>
      <c r="AK10" s="15">
        <f t="shared" si="0"/>
        <v>0.26501232470948899</v>
      </c>
      <c r="AL10" s="15">
        <f t="shared" si="1"/>
        <v>0.24272322090066681</v>
      </c>
    </row>
    <row r="11" spans="2:38" ht="31.5" customHeight="1" x14ac:dyDescent="0.35">
      <c r="B11" s="28" t="s">
        <v>11</v>
      </c>
      <c r="C11" s="35">
        <v>0</v>
      </c>
      <c r="D11" s="13">
        <v>0</v>
      </c>
      <c r="E11" s="45">
        <v>0</v>
      </c>
      <c r="F11" s="53">
        <f t="shared" si="2"/>
        <v>0</v>
      </c>
      <c r="G11" s="36">
        <f t="shared" si="3"/>
        <v>0</v>
      </c>
      <c r="H11" s="35">
        <v>0</v>
      </c>
      <c r="I11" s="13">
        <v>0</v>
      </c>
      <c r="J11" s="45">
        <v>0</v>
      </c>
      <c r="K11" s="53">
        <f t="shared" si="4"/>
        <v>0</v>
      </c>
      <c r="L11" s="48">
        <f t="shared" si="5"/>
        <v>0</v>
      </c>
      <c r="M11" s="35">
        <v>0</v>
      </c>
      <c r="N11" s="12">
        <v>0</v>
      </c>
      <c r="O11" s="45">
        <v>0</v>
      </c>
      <c r="P11" s="53">
        <f t="shared" si="6"/>
        <v>0</v>
      </c>
      <c r="Q11" s="36">
        <f t="shared" si="7"/>
        <v>0</v>
      </c>
      <c r="R11" s="21">
        <v>0</v>
      </c>
      <c r="S11" s="12">
        <v>0</v>
      </c>
      <c r="T11" s="22">
        <v>0</v>
      </c>
      <c r="U11" s="15">
        <f t="shared" si="8"/>
        <v>0</v>
      </c>
      <c r="V11" s="36">
        <f t="shared" si="9"/>
        <v>0</v>
      </c>
      <c r="W11" s="21">
        <v>0</v>
      </c>
      <c r="X11" s="13">
        <v>0</v>
      </c>
      <c r="Y11" s="22">
        <v>0</v>
      </c>
      <c r="Z11" s="15">
        <f t="shared" si="10"/>
        <v>0</v>
      </c>
      <c r="AA11" s="36">
        <f t="shared" si="11"/>
        <v>0</v>
      </c>
      <c r="AB11" s="21">
        <v>0</v>
      </c>
      <c r="AC11" s="13">
        <v>0</v>
      </c>
      <c r="AD11" s="22">
        <v>0</v>
      </c>
      <c r="AE11" s="15">
        <f t="shared" si="12"/>
        <v>0</v>
      </c>
      <c r="AF11" s="36">
        <f t="shared" si="13"/>
        <v>0</v>
      </c>
      <c r="AG11" s="60" t="s">
        <v>11</v>
      </c>
      <c r="AH11" s="59">
        <v>0</v>
      </c>
      <c r="AI11" s="12">
        <v>0</v>
      </c>
      <c r="AJ11" s="5">
        <v>0</v>
      </c>
      <c r="AK11" s="15">
        <f t="shared" si="0"/>
        <v>0</v>
      </c>
      <c r="AL11" s="15">
        <f t="shared" si="1"/>
        <v>0</v>
      </c>
    </row>
    <row r="12" spans="2:38" ht="31.5" customHeight="1" x14ac:dyDescent="0.35">
      <c r="B12" s="28" t="s">
        <v>12</v>
      </c>
      <c r="C12" s="35">
        <v>222</v>
      </c>
      <c r="D12" s="13">
        <v>3473.0996846846847</v>
      </c>
      <c r="E12" s="45">
        <v>771028.13</v>
      </c>
      <c r="F12" s="53">
        <f t="shared" si="2"/>
        <v>2.2408398102351873E-2</v>
      </c>
      <c r="G12" s="36">
        <f t="shared" si="3"/>
        <v>1.8568380342228734E-2</v>
      </c>
      <c r="H12" s="35">
        <v>98</v>
      </c>
      <c r="I12" s="13">
        <v>3662.89193877551</v>
      </c>
      <c r="J12" s="45">
        <v>358963.41</v>
      </c>
      <c r="K12" s="53">
        <f t="shared" si="4"/>
        <v>1.1661113755354594E-2</v>
      </c>
      <c r="L12" s="48">
        <f t="shared" si="5"/>
        <v>1.0846849419496461E-2</v>
      </c>
      <c r="M12" s="35">
        <v>166</v>
      </c>
      <c r="N12" s="12">
        <v>3416.8955421686751</v>
      </c>
      <c r="O12" s="45">
        <v>567204.66</v>
      </c>
      <c r="P12" s="53">
        <f t="shared" si="6"/>
        <v>2.3738023738023736E-2</v>
      </c>
      <c r="Q12" s="36">
        <f t="shared" si="7"/>
        <v>2.2917165717991479E-2</v>
      </c>
      <c r="R12" s="21">
        <v>208</v>
      </c>
      <c r="S12" s="12">
        <v>3454.6023076923079</v>
      </c>
      <c r="T12" s="22">
        <v>718557.28</v>
      </c>
      <c r="U12" s="15">
        <f t="shared" si="8"/>
        <v>2.763018065887354E-2</v>
      </c>
      <c r="V12" s="36">
        <f t="shared" si="9"/>
        <v>2.5908418871695954E-2</v>
      </c>
      <c r="W12" s="21">
        <v>0</v>
      </c>
      <c r="X12" s="13">
        <v>0</v>
      </c>
      <c r="Y12" s="22">
        <v>0</v>
      </c>
      <c r="Z12" s="15">
        <f t="shared" si="10"/>
        <v>0</v>
      </c>
      <c r="AA12" s="36">
        <f t="shared" si="11"/>
        <v>0</v>
      </c>
      <c r="AB12" s="21">
        <v>27</v>
      </c>
      <c r="AC12" s="13">
        <v>3608.2514814814813</v>
      </c>
      <c r="AD12" s="22">
        <v>97422.79</v>
      </c>
      <c r="AE12" s="15">
        <f t="shared" si="12"/>
        <v>3.6749693752552064E-3</v>
      </c>
      <c r="AF12" s="36">
        <f t="shared" si="13"/>
        <v>3.9399529652890701E-3</v>
      </c>
      <c r="AG12" s="60" t="s">
        <v>12</v>
      </c>
      <c r="AH12" s="59">
        <v>721</v>
      </c>
      <c r="AI12" s="12">
        <v>3485.6813730929271</v>
      </c>
      <c r="AJ12" s="5">
        <v>2513176.2700000005</v>
      </c>
      <c r="AK12" s="15">
        <f t="shared" si="0"/>
        <v>1.4934647969012159E-2</v>
      </c>
      <c r="AL12" s="15">
        <f t="shared" si="1"/>
        <v>1.4076064020419048E-2</v>
      </c>
    </row>
    <row r="13" spans="2:38" ht="31.5" hidden="1" customHeight="1" x14ac:dyDescent="0.35">
      <c r="B13" s="28" t="s">
        <v>13</v>
      </c>
      <c r="C13" s="35">
        <v>0</v>
      </c>
      <c r="D13" s="13">
        <v>0</v>
      </c>
      <c r="E13" s="45">
        <v>0</v>
      </c>
      <c r="F13" s="53">
        <f t="shared" si="2"/>
        <v>0</v>
      </c>
      <c r="G13" s="36">
        <f t="shared" si="3"/>
        <v>0</v>
      </c>
      <c r="H13" s="35">
        <v>0</v>
      </c>
      <c r="I13" s="13">
        <v>0</v>
      </c>
      <c r="J13" s="45">
        <v>0</v>
      </c>
      <c r="K13" s="53">
        <f t="shared" si="4"/>
        <v>0</v>
      </c>
      <c r="L13" s="48">
        <f t="shared" si="5"/>
        <v>0</v>
      </c>
      <c r="M13" s="35">
        <v>0</v>
      </c>
      <c r="N13" s="13">
        <v>0</v>
      </c>
      <c r="O13" s="45">
        <v>0</v>
      </c>
      <c r="P13" s="53">
        <f t="shared" si="6"/>
        <v>0</v>
      </c>
      <c r="Q13" s="36">
        <f t="shared" si="7"/>
        <v>0</v>
      </c>
      <c r="R13" s="21">
        <v>0</v>
      </c>
      <c r="S13" s="13">
        <v>0</v>
      </c>
      <c r="T13" s="22">
        <v>0</v>
      </c>
      <c r="U13" s="15">
        <f t="shared" si="8"/>
        <v>0</v>
      </c>
      <c r="V13" s="36">
        <f t="shared" si="9"/>
        <v>0</v>
      </c>
      <c r="W13" s="21">
        <v>0</v>
      </c>
      <c r="X13" s="13">
        <v>0</v>
      </c>
      <c r="Y13" s="22">
        <v>0</v>
      </c>
      <c r="Z13" s="15">
        <f t="shared" si="10"/>
        <v>0</v>
      </c>
      <c r="AA13" s="36">
        <f t="shared" si="11"/>
        <v>0</v>
      </c>
      <c r="AB13" s="21">
        <v>0</v>
      </c>
      <c r="AC13" s="13">
        <v>0</v>
      </c>
      <c r="AD13" s="22">
        <v>0</v>
      </c>
      <c r="AE13" s="15">
        <f t="shared" si="12"/>
        <v>0</v>
      </c>
      <c r="AF13" s="36">
        <f t="shared" si="13"/>
        <v>0</v>
      </c>
      <c r="AG13" s="60" t="s">
        <v>13</v>
      </c>
      <c r="AH13" s="59">
        <v>0</v>
      </c>
      <c r="AI13" s="12">
        <v>0</v>
      </c>
      <c r="AJ13" s="5">
        <v>0</v>
      </c>
      <c r="AK13" s="15">
        <f t="shared" si="0"/>
        <v>0</v>
      </c>
      <c r="AL13" s="15">
        <f t="shared" si="1"/>
        <v>0</v>
      </c>
    </row>
    <row r="14" spans="2:38" ht="31.5" customHeight="1" x14ac:dyDescent="0.35">
      <c r="B14" s="28" t="s">
        <v>14</v>
      </c>
      <c r="C14" s="35">
        <v>15</v>
      </c>
      <c r="D14" s="13">
        <v>4163.9233333333332</v>
      </c>
      <c r="E14" s="45">
        <v>62458.85</v>
      </c>
      <c r="F14" s="53">
        <f t="shared" si="2"/>
        <v>1.5140809528616131E-3</v>
      </c>
      <c r="G14" s="36">
        <f t="shared" si="3"/>
        <v>1.5041729833361764E-3</v>
      </c>
      <c r="H14" s="35">
        <v>0</v>
      </c>
      <c r="I14" s="13">
        <v>0</v>
      </c>
      <c r="J14" s="45">
        <v>480</v>
      </c>
      <c r="K14" s="53">
        <f t="shared" si="4"/>
        <v>0</v>
      </c>
      <c r="L14" s="48">
        <f t="shared" si="5"/>
        <v>1.4504229613147206E-5</v>
      </c>
      <c r="M14" s="35">
        <v>9</v>
      </c>
      <c r="N14" s="12">
        <v>3418.7511111111107</v>
      </c>
      <c r="O14" s="45">
        <v>30768.76</v>
      </c>
      <c r="P14" s="53">
        <f t="shared" si="6"/>
        <v>1.287001287001287E-3</v>
      </c>
      <c r="Q14" s="36">
        <f t="shared" si="7"/>
        <v>1.2431716831400987E-3</v>
      </c>
      <c r="R14" s="21">
        <v>42</v>
      </c>
      <c r="S14" s="12">
        <v>3194.2864285714286</v>
      </c>
      <c r="T14" s="22">
        <v>134160.03</v>
      </c>
      <c r="U14" s="15">
        <f t="shared" si="8"/>
        <v>5.5791710945802342E-3</v>
      </c>
      <c r="V14" s="36">
        <f t="shared" si="9"/>
        <v>4.8372959954971094E-3</v>
      </c>
      <c r="W14" s="21">
        <v>28</v>
      </c>
      <c r="X14" s="13">
        <v>2244.0921428571428</v>
      </c>
      <c r="Y14" s="22">
        <v>62834.58</v>
      </c>
      <c r="Z14" s="15">
        <f t="shared" si="10"/>
        <v>3.4576438626821439E-3</v>
      </c>
      <c r="AA14" s="36">
        <f t="shared" si="11"/>
        <v>2.3521725388768039E-3</v>
      </c>
      <c r="AB14" s="21">
        <v>12</v>
      </c>
      <c r="AC14" s="13">
        <v>2594.87</v>
      </c>
      <c r="AD14" s="22">
        <v>31138.44</v>
      </c>
      <c r="AE14" s="15">
        <f t="shared" si="12"/>
        <v>1.6333197223356473E-3</v>
      </c>
      <c r="AF14" s="36">
        <f t="shared" si="13"/>
        <v>1.2592945553342887E-3</v>
      </c>
      <c r="AG14" s="60" t="s">
        <v>14</v>
      </c>
      <c r="AH14" s="59">
        <v>106</v>
      </c>
      <c r="AI14" s="12">
        <v>3036.2326415094344</v>
      </c>
      <c r="AJ14" s="5">
        <v>321840.66000000003</v>
      </c>
      <c r="AK14" s="15">
        <f t="shared" si="0"/>
        <v>2.1956625308117736E-3</v>
      </c>
      <c r="AL14" s="15">
        <f t="shared" si="1"/>
        <v>1.8025992798881231E-3</v>
      </c>
    </row>
    <row r="15" spans="2:38" ht="31.5" customHeight="1" x14ac:dyDescent="0.35">
      <c r="B15" s="28" t="s">
        <v>15</v>
      </c>
      <c r="C15" s="37">
        <v>9907</v>
      </c>
      <c r="D15" s="14">
        <v>4191.3510467346323</v>
      </c>
      <c r="E15" s="57">
        <v>41523714.82</v>
      </c>
      <c r="F15" s="54">
        <f>SUM(F6:F14)</f>
        <v>1</v>
      </c>
      <c r="G15" s="38">
        <f>SUM(G6:G14)</f>
        <v>0.99999999999999989</v>
      </c>
      <c r="H15" s="37">
        <v>8404</v>
      </c>
      <c r="I15" s="14">
        <v>3937.8623155640175</v>
      </c>
      <c r="J15" s="57">
        <v>33093794.900000002</v>
      </c>
      <c r="K15" s="54">
        <f>SUM(K6:K14)</f>
        <v>1</v>
      </c>
      <c r="L15" s="49">
        <f>SUM(L6:L14)</f>
        <v>1</v>
      </c>
      <c r="M15" s="37">
        <v>6993</v>
      </c>
      <c r="N15" s="14">
        <v>3539.2835435435436</v>
      </c>
      <c r="O15" s="57">
        <v>24750209.82</v>
      </c>
      <c r="P15" s="54">
        <f>SUM(P6:P14)</f>
        <v>1</v>
      </c>
      <c r="Q15" s="38">
        <f>SUM(Q6:Q14)</f>
        <v>1</v>
      </c>
      <c r="R15" s="37">
        <v>7528</v>
      </c>
      <c r="S15" s="14">
        <v>3684.1802789585554</v>
      </c>
      <c r="T15" s="57">
        <v>27734509.140000004</v>
      </c>
      <c r="U15" s="54">
        <f>SUM(U6:U14)</f>
        <v>1</v>
      </c>
      <c r="V15" s="38">
        <f>SUM(V6:V14)</f>
        <v>0.99999999999999978</v>
      </c>
      <c r="W15" s="37">
        <v>8098</v>
      </c>
      <c r="X15" s="14">
        <v>3298.767967399358</v>
      </c>
      <c r="Y15" s="57">
        <v>26713423</v>
      </c>
      <c r="Z15" s="54">
        <f>SUM(Z6:Z14)</f>
        <v>1</v>
      </c>
      <c r="AA15" s="38">
        <f>SUM(AA6:AA14)</f>
        <v>1.0000000000000002</v>
      </c>
      <c r="AB15" s="37">
        <v>7347</v>
      </c>
      <c r="AC15" s="14">
        <v>3365.5766476112703</v>
      </c>
      <c r="AD15" s="57">
        <v>24726891.630000003</v>
      </c>
      <c r="AE15" s="54">
        <f>SUM(AE6:AE14)</f>
        <v>1.0000000000000002</v>
      </c>
      <c r="AF15" s="38">
        <f>SUM(AF6:AF14)</f>
        <v>0.99999999999999978</v>
      </c>
      <c r="AG15" s="60" t="s">
        <v>15</v>
      </c>
      <c r="AH15" s="30">
        <v>48277</v>
      </c>
      <c r="AI15" s="14">
        <v>3698.2940802038238</v>
      </c>
      <c r="AJ15" s="7">
        <v>178542543.31</v>
      </c>
      <c r="AK15" s="16">
        <f>SUM(AK6:AK14)</f>
        <v>1</v>
      </c>
      <c r="AL15" s="17">
        <f>SUM(AL6:AL14)</f>
        <v>1</v>
      </c>
    </row>
    <row r="16" spans="2:38" ht="31.5" customHeight="1" thickBot="1" x14ac:dyDescent="0.4">
      <c r="B16" s="28" t="s">
        <v>16</v>
      </c>
      <c r="C16" s="23">
        <v>49</v>
      </c>
      <c r="D16" s="26">
        <v>0</v>
      </c>
      <c r="E16" s="24">
        <v>0</v>
      </c>
      <c r="F16" s="55"/>
      <c r="G16" s="39"/>
      <c r="H16" s="23">
        <v>45</v>
      </c>
      <c r="I16" s="26">
        <v>0</v>
      </c>
      <c r="J16" s="24">
        <v>0</v>
      </c>
      <c r="K16" s="55"/>
      <c r="L16" s="50"/>
      <c r="M16" s="23">
        <v>54</v>
      </c>
      <c r="N16" s="26">
        <v>0</v>
      </c>
      <c r="O16" s="24">
        <v>0</v>
      </c>
      <c r="P16" s="55"/>
      <c r="Q16" s="39"/>
      <c r="R16" s="23">
        <v>56</v>
      </c>
      <c r="S16" s="26">
        <v>0</v>
      </c>
      <c r="T16" s="24">
        <v>0</v>
      </c>
      <c r="U16" s="26"/>
      <c r="V16" s="39"/>
      <c r="W16" s="23">
        <v>68</v>
      </c>
      <c r="X16" s="26">
        <v>0</v>
      </c>
      <c r="Y16" s="24">
        <v>0</v>
      </c>
      <c r="Z16" s="26"/>
      <c r="AA16" s="39"/>
      <c r="AB16" s="23">
        <v>56</v>
      </c>
      <c r="AC16" s="26">
        <v>0</v>
      </c>
      <c r="AD16" s="24">
        <v>0</v>
      </c>
      <c r="AE16" s="26"/>
      <c r="AF16" s="39"/>
      <c r="AG16" s="61" t="s">
        <v>16</v>
      </c>
      <c r="AH16" s="29">
        <v>328</v>
      </c>
      <c r="AI16" s="13">
        <v>0</v>
      </c>
      <c r="AJ16" s="6">
        <v>0</v>
      </c>
      <c r="AK16" s="13"/>
      <c r="AL16" s="13"/>
    </row>
    <row r="17" spans="3:34" ht="21.75" customHeight="1" x14ac:dyDescent="0.35">
      <c r="C17" s="42">
        <v>0.81318230320939011</v>
      </c>
      <c r="H17" s="25">
        <v>0.76372228280625232</v>
      </c>
      <c r="M17" s="25">
        <v>0.57399655257325777</v>
      </c>
      <c r="P17" s="9"/>
      <c r="R17" s="25">
        <v>0.63850720949957596</v>
      </c>
      <c r="W17" s="25">
        <v>0.66469670852827711</v>
      </c>
      <c r="AB17" s="25">
        <v>0.62315521628498727</v>
      </c>
      <c r="AH17" s="25">
        <v>0.67868640434116378</v>
      </c>
    </row>
    <row r="18" spans="3:34" ht="15" customHeight="1" x14ac:dyDescent="0.3">
      <c r="K18" s="8"/>
      <c r="L18" s="8"/>
      <c r="M18" s="8"/>
      <c r="P18" s="8"/>
      <c r="Q18" s="8"/>
      <c r="R18" s="8"/>
      <c r="S18" s="8"/>
      <c r="T18" s="8"/>
      <c r="U18" s="8"/>
    </row>
    <row r="19" spans="3:34" ht="15" customHeight="1" x14ac:dyDescent="0.3">
      <c r="K19" s="8"/>
      <c r="L19" s="8"/>
      <c r="M19" s="8"/>
      <c r="P19" s="8"/>
      <c r="Q19" s="8"/>
      <c r="R19" s="8"/>
      <c r="S19" s="8"/>
      <c r="T19" s="8"/>
      <c r="U19" s="8"/>
    </row>
    <row r="22" spans="3:34" x14ac:dyDescent="0.3">
      <c r="Y22" s="10"/>
    </row>
    <row r="23" spans="3:34" x14ac:dyDescent="0.3">
      <c r="Y23" s="11"/>
    </row>
  </sheetData>
  <mergeCells count="9">
    <mergeCell ref="AG4:AG5"/>
    <mergeCell ref="AH4:AL4"/>
    <mergeCell ref="AB4:AF4"/>
    <mergeCell ref="B4:B5"/>
    <mergeCell ref="H4:L4"/>
    <mergeCell ref="M4:Q4"/>
    <mergeCell ref="R4:V4"/>
    <mergeCell ref="W4:AA4"/>
    <mergeCell ref="C4:G4"/>
  </mergeCells>
  <conditionalFormatting sqref="F6:G16">
    <cfRule type="cellIs" dxfId="12" priority="10" operator="equal">
      <formula>0</formula>
    </cfRule>
  </conditionalFormatting>
  <conditionalFormatting sqref="H17">
    <cfRule type="cellIs" dxfId="11" priority="16" operator="equal">
      <formula>0</formula>
    </cfRule>
  </conditionalFormatting>
  <conditionalFormatting sqref="K6:L16">
    <cfRule type="cellIs" dxfId="10" priority="9" operator="equal">
      <formula>0</formula>
    </cfRule>
  </conditionalFormatting>
  <conditionalFormatting sqref="M17">
    <cfRule type="cellIs" dxfId="9" priority="15" operator="equal">
      <formula>0</formula>
    </cfRule>
  </conditionalFormatting>
  <conditionalFormatting sqref="P6:Q16">
    <cfRule type="cellIs" dxfId="8" priority="7" operator="equal">
      <formula>0</formula>
    </cfRule>
  </conditionalFormatting>
  <conditionalFormatting sqref="R17">
    <cfRule type="cellIs" dxfId="7" priority="14" operator="equal">
      <formula>0</formula>
    </cfRule>
  </conditionalFormatting>
  <conditionalFormatting sqref="U6:V16">
    <cfRule type="cellIs" dxfId="6" priority="5" operator="equal">
      <formula>0</formula>
    </cfRule>
  </conditionalFormatting>
  <conditionalFormatting sqref="W17">
    <cfRule type="cellIs" dxfId="5" priority="12" operator="equal">
      <formula>0</formula>
    </cfRule>
  </conditionalFormatting>
  <conditionalFormatting sqref="Z6:AA16">
    <cfRule type="cellIs" dxfId="4" priority="3" operator="equal">
      <formula>0</formula>
    </cfRule>
  </conditionalFormatting>
  <conditionalFormatting sqref="AB17">
    <cfRule type="cellIs" dxfId="3" priority="11" operator="equal">
      <formula>0</formula>
    </cfRule>
  </conditionalFormatting>
  <conditionalFormatting sqref="AE6:AF16">
    <cfRule type="cellIs" dxfId="2" priority="2" operator="equal">
      <formula>0</formula>
    </cfRule>
  </conditionalFormatting>
  <conditionalFormatting sqref="AH17">
    <cfRule type="cellIs" dxfId="1" priority="1" operator="equal">
      <formula>0</formula>
    </cfRule>
  </conditionalFormatting>
  <conditionalFormatting sqref="AK6:AL15">
    <cfRule type="cellIs" dxfId="0" priority="19" operator="equal">
      <formula>0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1CCBEBE42FF645BEA1FE1CC0F61593" ma:contentTypeVersion="2048" ma:contentTypeDescription="Create a new document." ma:contentTypeScope="" ma:versionID="71f42845378c25a9575fd733f1374773">
  <xsd:schema xmlns:xsd="http://www.w3.org/2001/XMLSchema" xmlns:xs="http://www.w3.org/2001/XMLSchema" xmlns:p="http://schemas.microsoft.com/office/2006/metadata/properties" xmlns:ns1="http://schemas.microsoft.com/sharepoint/v3" xmlns:ns2="e407e7d1-b657-468b-aebb-5cce79ca11a8" xmlns:ns3="05dbdbc7-2551-494a-8d93-488a3683fd6d" xmlns:ns4="d9829f96-5b9f-4850-80c3-a9ce490ee2ba" targetNamespace="http://schemas.microsoft.com/office/2006/metadata/properties" ma:root="true" ma:fieldsID="4bfce78dec3cf2833f1659d763d9204d" ns1:_="" ns2:_="" ns3:_="" ns4:_="">
    <xsd:import namespace="http://schemas.microsoft.com/sharepoint/v3"/>
    <xsd:import namespace="e407e7d1-b657-468b-aebb-5cce79ca11a8"/>
    <xsd:import namespace="05dbdbc7-2551-494a-8d93-488a3683fd6d"/>
    <xsd:import namespace="d9829f96-5b9f-4850-80c3-a9ce490ee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_Flow_SignoffStatus" minOccurs="0"/>
                <xsd:element ref="ns3:MediaLengthInSeconds" minOccurs="0"/>
                <xsd:element ref="ns4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07e7d1-b657-468b-aebb-5cce79ca11a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dbdbc7-2551-494a-8d93-488a3683fd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a2cea5c-392b-4053-91b0-a5ba14e2a0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829f96-5b9f-4850-80c3-a9ce490ee2b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edb829ff-d6e9-472b-bf53-fb684b337705}" ma:internalName="TaxCatchAll" ma:showField="CatchAllData" ma:web="e407e7d1-b657-468b-aebb-5cce79ca11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829f96-5b9f-4850-80c3-a9ce490ee2ba" xsi:nil="true"/>
    <_ip_UnifiedCompliancePolicyUIAction xmlns="http://schemas.microsoft.com/sharepoint/v3" xsi:nil="true"/>
    <_Flow_SignoffStatus xmlns="05dbdbc7-2551-494a-8d93-488a3683fd6d" xsi:nil="true"/>
    <_ip_UnifiedCompliancePolicyProperties xmlns="http://schemas.microsoft.com/sharepoint/v3" xsi:nil="true"/>
    <lcf76f155ced4ddcb4097134ff3c332f xmlns="05dbdbc7-2551-494a-8d93-488a3683fd6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ba2cea5c-392b-4053-91b0-a5ba14e2a032" ContentTypeId="0x0101" PreviousValue="false"/>
</file>

<file path=customXml/itemProps1.xml><?xml version="1.0" encoding="utf-8"?>
<ds:datastoreItem xmlns:ds="http://schemas.openxmlformats.org/officeDocument/2006/customXml" ds:itemID="{F39C10DC-2114-46B2-A30E-E5B62CD548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407e7d1-b657-468b-aebb-5cce79ca11a8"/>
    <ds:schemaRef ds:uri="05dbdbc7-2551-494a-8d93-488a3683fd6d"/>
    <ds:schemaRef ds:uri="d9829f96-5b9f-4850-80c3-a9ce490ee2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E2265-CD20-4FCE-88B4-2C4185A1F5B5}">
  <ds:schemaRefs>
    <ds:schemaRef ds:uri="http://schemas.microsoft.com/office/2006/metadata/properties"/>
    <ds:schemaRef ds:uri="http://schemas.microsoft.com/office/infopath/2007/PartnerControls"/>
    <ds:schemaRef ds:uri="d9829f96-5b9f-4850-80c3-a9ce490ee2ba"/>
    <ds:schemaRef ds:uri="http://schemas.microsoft.com/sharepoint/v3"/>
    <ds:schemaRef ds:uri="05dbdbc7-2551-494a-8d93-488a3683fd6d"/>
  </ds:schemaRefs>
</ds:datastoreItem>
</file>

<file path=customXml/itemProps3.xml><?xml version="1.0" encoding="utf-8"?>
<ds:datastoreItem xmlns:ds="http://schemas.openxmlformats.org/officeDocument/2006/customXml" ds:itemID="{20896EF3-BBCC-48A1-A4CB-D17CCDE9BD0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AED1302-E4A2-46B5-90CB-F2DE88A9FF88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Overall by Segment mix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KANPHAIREE Pratchaya/Director-Revenue-SP/Ascott/CLI/TH</dc:creator>
  <cp:lastModifiedBy>SANTHAPHAN Natthaphat/Director-Revenue-AESB/Ascott/CLI</cp:lastModifiedBy>
  <dcterms:created xsi:type="dcterms:W3CDTF">2026-07-17T08:37:11Z</dcterms:created>
  <dcterms:modified xsi:type="dcterms:W3CDTF">2026-07-17T09:29:24Z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0x010100F11CCBEBE42FF645BEA1FE1CC0F61593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