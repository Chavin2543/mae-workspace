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-my.sharepoint.com/personal/natthaphat_s_the-ascott_com/Documents/Desktop/"/>
    </mc:Choice>
  </mc:AlternateContent>
  <xr:revisionPtr revIDLastSave="219" documentId="8_{A7FC0A29-96BF-43E7-B90C-305EA87F3DDA}" xr6:coauthVersionLast="47" xr6:coauthVersionMax="47" xr10:uidLastSave="{59BA41CC-099E-48CA-AED5-D6A18728EE8F}"/>
  <bookViews>
    <workbookView xWindow="-108" yWindow="-108" windowWidth="23256" windowHeight="13896" xr2:uid="{B0CAD617-304C-445D-BED8-03907F52D14C}"/>
  </bookViews>
  <sheets>
    <sheet name="2025" sheetId="2" r:id="rId1"/>
    <sheet name="20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70" i="2" l="1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AW77" i="2"/>
  <c r="AW76" i="2"/>
  <c r="AW75" i="2"/>
  <c r="AW74" i="2"/>
  <c r="AW73" i="2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BG84" i="2"/>
  <c r="BG83" i="2"/>
  <c r="BG82" i="2"/>
  <c r="BG81" i="2"/>
  <c r="BG80" i="2"/>
  <c r="BG79" i="2"/>
  <c r="BG78" i="2"/>
  <c r="BG77" i="2"/>
  <c r="BG76" i="2"/>
  <c r="BG75" i="2"/>
  <c r="BG74" i="2"/>
  <c r="BG73" i="2"/>
  <c r="BG72" i="2"/>
  <c r="BG71" i="2"/>
  <c r="BG70" i="2"/>
  <c r="BG69" i="2"/>
  <c r="BG68" i="2"/>
  <c r="BG67" i="2"/>
  <c r="BG66" i="2"/>
  <c r="BG65" i="2"/>
  <c r="BG64" i="2"/>
  <c r="BG63" i="2"/>
  <c r="BG62" i="2"/>
  <c r="BG61" i="2"/>
  <c r="BG60" i="2"/>
  <c r="BG59" i="2"/>
  <c r="BG58" i="2"/>
  <c r="BG57" i="2"/>
  <c r="BG56" i="2"/>
  <c r="BG55" i="2"/>
  <c r="BG54" i="2"/>
  <c r="BG53" i="2"/>
  <c r="BG52" i="2"/>
  <c r="BG51" i="2"/>
  <c r="BG50" i="2"/>
  <c r="BG49" i="2"/>
  <c r="BG48" i="2"/>
  <c r="BG47" i="2"/>
  <c r="BG46" i="2"/>
  <c r="BG45" i="2"/>
  <c r="BG44" i="2"/>
  <c r="BG43" i="2"/>
  <c r="BG42" i="2"/>
  <c r="BG41" i="2"/>
  <c r="BG40" i="2"/>
  <c r="BG39" i="2"/>
  <c r="BG38" i="2"/>
  <c r="BG37" i="2"/>
  <c r="BG36" i="2"/>
  <c r="BG35" i="2"/>
  <c r="BG34" i="2"/>
  <c r="BG33" i="2"/>
  <c r="BG32" i="2"/>
  <c r="BG31" i="2"/>
  <c r="BG30" i="2"/>
  <c r="BG29" i="2"/>
  <c r="BG28" i="2"/>
  <c r="BG27" i="2"/>
  <c r="BG26" i="2"/>
  <c r="BG25" i="2"/>
  <c r="BG24" i="2"/>
  <c r="BG23" i="2"/>
  <c r="BG22" i="2"/>
  <c r="BG21" i="2"/>
  <c r="BG20" i="2"/>
  <c r="BG19" i="2"/>
  <c r="BG18" i="2"/>
  <c r="BG17" i="2"/>
  <c r="BG16" i="2"/>
  <c r="BG15" i="2"/>
  <c r="BG14" i="2"/>
  <c r="BG13" i="2"/>
  <c r="BG12" i="2"/>
  <c r="BG11" i="2"/>
  <c r="BG10" i="2"/>
  <c r="BG9" i="2"/>
  <c r="BG8" i="2"/>
  <c r="BG7" i="2"/>
  <c r="BG6" i="2"/>
  <c r="BG5" i="2"/>
  <c r="BG4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BL134" i="2"/>
  <c r="BL133" i="2"/>
  <c r="BL132" i="2"/>
  <c r="BL131" i="2"/>
  <c r="BL130" i="2"/>
  <c r="BL129" i="2"/>
  <c r="BL128" i="2"/>
  <c r="BL127" i="2"/>
  <c r="BL126" i="2"/>
  <c r="BL125" i="2"/>
  <c r="BL124" i="2"/>
  <c r="BL123" i="2"/>
  <c r="BL122" i="2"/>
  <c r="BL121" i="2"/>
  <c r="BL120" i="2"/>
  <c r="BL119" i="2"/>
  <c r="BL118" i="2"/>
  <c r="BL117" i="2"/>
  <c r="BL116" i="2"/>
  <c r="BL115" i="2"/>
  <c r="BL114" i="2"/>
  <c r="BL113" i="2"/>
  <c r="BL112" i="2"/>
  <c r="BL111" i="2"/>
  <c r="BL110" i="2"/>
  <c r="BL109" i="2"/>
  <c r="BL108" i="2"/>
  <c r="BL107" i="2"/>
  <c r="BL106" i="2"/>
  <c r="BL105" i="2"/>
  <c r="BL104" i="2"/>
  <c r="BL103" i="2"/>
  <c r="BL102" i="2"/>
  <c r="BL101" i="2"/>
  <c r="BL100" i="2"/>
  <c r="BL99" i="2"/>
  <c r="BL98" i="2"/>
  <c r="BL97" i="2"/>
  <c r="BL96" i="2"/>
  <c r="BL95" i="2"/>
  <c r="BL94" i="2"/>
  <c r="BL93" i="2"/>
  <c r="BL92" i="2"/>
  <c r="BL91" i="2"/>
  <c r="BL90" i="2"/>
  <c r="BL89" i="2"/>
  <c r="BL88" i="2"/>
  <c r="BL87" i="2"/>
  <c r="BL86" i="2"/>
  <c r="BL85" i="2"/>
  <c r="BL84" i="2"/>
  <c r="BL83" i="2"/>
  <c r="BL82" i="2"/>
  <c r="BL81" i="2"/>
  <c r="BL80" i="2"/>
  <c r="BL79" i="2"/>
  <c r="BL78" i="2"/>
  <c r="BL77" i="2"/>
  <c r="BL76" i="2"/>
  <c r="BL75" i="2"/>
  <c r="BL74" i="2"/>
  <c r="BL73" i="2"/>
  <c r="BL72" i="2"/>
  <c r="BL71" i="2"/>
  <c r="BL70" i="2"/>
  <c r="BL69" i="2"/>
  <c r="BL68" i="2"/>
  <c r="BL67" i="2"/>
  <c r="BL66" i="2"/>
  <c r="BL65" i="2"/>
  <c r="BL64" i="2"/>
  <c r="BL63" i="2"/>
  <c r="BL62" i="2"/>
  <c r="BL61" i="2"/>
  <c r="BL60" i="2"/>
  <c r="BL59" i="2"/>
  <c r="BL58" i="2"/>
  <c r="BL57" i="2"/>
  <c r="BL56" i="2"/>
  <c r="BL55" i="2"/>
  <c r="BL54" i="2"/>
  <c r="BL53" i="2"/>
  <c r="BL52" i="2"/>
  <c r="BL51" i="2"/>
  <c r="BL50" i="2"/>
  <c r="BL49" i="2"/>
  <c r="BL48" i="2"/>
  <c r="BL47" i="2"/>
  <c r="BL46" i="2"/>
  <c r="BL45" i="2"/>
  <c r="BL44" i="2"/>
  <c r="BL43" i="2"/>
  <c r="BL42" i="2"/>
  <c r="BL41" i="2"/>
  <c r="BL40" i="2"/>
  <c r="BL39" i="2"/>
  <c r="BL38" i="2"/>
  <c r="BL37" i="2"/>
  <c r="BL36" i="2"/>
  <c r="BL35" i="2"/>
  <c r="BL34" i="2"/>
  <c r="BL33" i="2"/>
  <c r="BL32" i="2"/>
  <c r="BL31" i="2"/>
  <c r="BL30" i="2"/>
  <c r="BL29" i="2"/>
  <c r="BL28" i="2"/>
  <c r="BL27" i="2"/>
  <c r="BL26" i="2"/>
  <c r="BL25" i="2"/>
  <c r="BL24" i="2"/>
  <c r="BL23" i="2"/>
  <c r="BL22" i="2"/>
  <c r="BL21" i="2"/>
  <c r="BL20" i="2"/>
  <c r="BL19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L4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M3" i="2" l="1"/>
  <c r="BK3" i="2"/>
  <c r="BN100" i="2" s="1"/>
  <c r="BH3" i="2"/>
  <c r="BF3" i="2"/>
  <c r="BC3" i="2"/>
  <c r="BA3" i="2"/>
  <c r="AX3" i="2"/>
  <c r="AV3" i="2"/>
  <c r="AS3" i="2"/>
  <c r="AQ3" i="2"/>
  <c r="AN3" i="2"/>
  <c r="AM3" i="2" s="1"/>
  <c r="AL3" i="2"/>
  <c r="AI3" i="2"/>
  <c r="AG3" i="2"/>
  <c r="AD3" i="2"/>
  <c r="AB3" i="2"/>
  <c r="Y3" i="2"/>
  <c r="W3" i="2"/>
  <c r="T3" i="2"/>
  <c r="R3" i="2"/>
  <c r="O3" i="2"/>
  <c r="M3" i="2"/>
  <c r="J3" i="2"/>
  <c r="H3" i="2"/>
  <c r="E3" i="2"/>
  <c r="C3" i="2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AU15" i="1"/>
  <c r="AQ15" i="1"/>
  <c r="AU14" i="1"/>
  <c r="AQ14" i="1"/>
  <c r="BG3" i="1"/>
  <c r="BI5" i="1" s="1"/>
  <c r="BE3" i="1"/>
  <c r="BH11" i="1" s="1"/>
  <c r="BB3" i="1"/>
  <c r="BA3" i="1"/>
  <c r="AX3" i="1"/>
  <c r="AW3" i="1"/>
  <c r="AT3" i="1"/>
  <c r="AS3" i="1"/>
  <c r="AP3" i="1"/>
  <c r="AO3" i="1"/>
  <c r="AL3" i="1"/>
  <c r="AK3" i="1"/>
  <c r="AH3" i="1"/>
  <c r="AG3" i="1"/>
  <c r="AD3" i="1"/>
  <c r="AB3" i="1"/>
  <c r="Y3" i="1"/>
  <c r="X3" i="1" s="1"/>
  <c r="W3" i="1"/>
  <c r="T3" i="1"/>
  <c r="R3" i="1"/>
  <c r="O3" i="1"/>
  <c r="M3" i="1"/>
  <c r="J3" i="1"/>
  <c r="H3" i="1"/>
  <c r="E3" i="1"/>
  <c r="C3" i="1"/>
  <c r="AR3" i="2" l="1"/>
  <c r="BB3" i="2"/>
  <c r="AW3" i="2"/>
  <c r="AH3" i="2"/>
  <c r="BG3" i="2"/>
  <c r="BO27" i="2"/>
  <c r="BO31" i="2"/>
  <c r="BO33" i="2"/>
  <c r="BO35" i="2"/>
  <c r="BN71" i="2"/>
  <c r="BN44" i="2"/>
  <c r="BO101" i="2"/>
  <c r="BN24" i="2"/>
  <c r="BO46" i="2"/>
  <c r="BO74" i="2"/>
  <c r="BN102" i="2"/>
  <c r="BN27" i="2"/>
  <c r="BO53" i="2"/>
  <c r="BN84" i="2"/>
  <c r="BN85" i="2"/>
  <c r="BO55" i="2"/>
  <c r="BN10" i="2"/>
  <c r="BO89" i="2"/>
  <c r="BO56" i="2"/>
  <c r="BN70" i="2"/>
  <c r="BO14" i="2"/>
  <c r="BO93" i="2"/>
  <c r="BO36" i="2"/>
  <c r="BN42" i="2"/>
  <c r="BO98" i="2"/>
  <c r="BO99" i="2"/>
  <c r="BO72" i="2"/>
  <c r="BN25" i="2"/>
  <c r="BO50" i="2"/>
  <c r="BO80" i="2"/>
  <c r="BN103" i="2"/>
  <c r="BN55" i="2"/>
  <c r="BO9" i="2"/>
  <c r="BN89" i="2"/>
  <c r="BO32" i="2"/>
  <c r="BN56" i="2"/>
  <c r="BO91" i="2"/>
  <c r="BO34" i="2"/>
  <c r="BO92" i="2"/>
  <c r="BO70" i="2"/>
  <c r="BO94" i="2"/>
  <c r="BO71" i="2"/>
  <c r="BO16" i="2"/>
  <c r="BN72" i="2"/>
  <c r="BO17" i="2"/>
  <c r="BO45" i="2"/>
  <c r="BO25" i="2"/>
  <c r="BO52" i="2"/>
  <c r="BO81" i="2"/>
  <c r="BO21" i="2"/>
  <c r="BO41" i="2"/>
  <c r="BO61" i="2"/>
  <c r="BO82" i="2"/>
  <c r="BO102" i="2"/>
  <c r="BO5" i="2"/>
  <c r="BO22" i="2"/>
  <c r="BO62" i="2"/>
  <c r="BO6" i="2"/>
  <c r="BO42" i="2"/>
  <c r="BO63" i="2"/>
  <c r="BO84" i="2"/>
  <c r="BO103" i="2"/>
  <c r="BO7" i="2"/>
  <c r="BO24" i="2"/>
  <c r="BO64" i="2"/>
  <c r="BO8" i="2"/>
  <c r="BO44" i="2"/>
  <c r="BO66" i="2"/>
  <c r="BN61" i="2"/>
  <c r="BN45" i="2"/>
  <c r="BN74" i="2"/>
  <c r="BN5" i="2"/>
  <c r="BN16" i="2"/>
  <c r="BN92" i="2"/>
  <c r="BN33" i="2"/>
  <c r="BN63" i="2"/>
  <c r="BN75" i="2"/>
  <c r="BN17" i="2"/>
  <c r="BN47" i="2"/>
  <c r="BN80" i="2"/>
  <c r="BN93" i="2"/>
  <c r="BN7" i="2"/>
  <c r="BN64" i="2"/>
  <c r="BN35" i="2"/>
  <c r="BN52" i="2"/>
  <c r="BN81" i="2"/>
  <c r="BN94" i="2"/>
  <c r="BN22" i="2"/>
  <c r="BN66" i="2"/>
  <c r="BN9" i="2"/>
  <c r="BN36" i="2"/>
  <c r="BN53" i="2"/>
  <c r="BN82" i="2"/>
  <c r="I3" i="2"/>
  <c r="AC3" i="2"/>
  <c r="X3" i="2"/>
  <c r="N3" i="2"/>
  <c r="BO10" i="2"/>
  <c r="BO18" i="2"/>
  <c r="BN28" i="2"/>
  <c r="BN38" i="2"/>
  <c r="BO47" i="2"/>
  <c r="BN58" i="2"/>
  <c r="BO67" i="2"/>
  <c r="BO75" i="2"/>
  <c r="BO85" i="2"/>
  <c r="BN96" i="2"/>
  <c r="BL3" i="2"/>
  <c r="BN12" i="2"/>
  <c r="BN19" i="2"/>
  <c r="BO28" i="2"/>
  <c r="BO38" i="2"/>
  <c r="BO48" i="2"/>
  <c r="BO58" i="2"/>
  <c r="BN68" i="2"/>
  <c r="BN77" i="2"/>
  <c r="BN87" i="2"/>
  <c r="BO96" i="2"/>
  <c r="BO19" i="2"/>
  <c r="BN39" i="2"/>
  <c r="BN59" i="2"/>
  <c r="BO77" i="2"/>
  <c r="BN4" i="2"/>
  <c r="BN13" i="2"/>
  <c r="BO20" i="2"/>
  <c r="BO30" i="2"/>
  <c r="BO39" i="2"/>
  <c r="BO49" i="2"/>
  <c r="BO59" i="2"/>
  <c r="BN69" i="2"/>
  <c r="BN78" i="2"/>
  <c r="BN88" i="2"/>
  <c r="BO97" i="2"/>
  <c r="BO12" i="2"/>
  <c r="BN30" i="2"/>
  <c r="BN49" i="2"/>
  <c r="BO68" i="2"/>
  <c r="BO87" i="2"/>
  <c r="BN97" i="2"/>
  <c r="BO4" i="2"/>
  <c r="BO13" i="2"/>
  <c r="BN21" i="2"/>
  <c r="BN31" i="2"/>
  <c r="BN41" i="2"/>
  <c r="BN50" i="2"/>
  <c r="BO60" i="2"/>
  <c r="BO69" i="2"/>
  <c r="BO78" i="2"/>
  <c r="BO88" i="2"/>
  <c r="BN98" i="2"/>
  <c r="S3" i="2"/>
  <c r="D3" i="2"/>
  <c r="BN8" i="2"/>
  <c r="BO11" i="2"/>
  <c r="BN14" i="2"/>
  <c r="BN20" i="2"/>
  <c r="BO23" i="2"/>
  <c r="BN34" i="2"/>
  <c r="BO37" i="2"/>
  <c r="BN48" i="2"/>
  <c r="BO51" i="2"/>
  <c r="BN62" i="2"/>
  <c r="BN67" i="2"/>
  <c r="BO73" i="2"/>
  <c r="BO76" i="2"/>
  <c r="BO83" i="2"/>
  <c r="BN91" i="2"/>
  <c r="BO100" i="2"/>
  <c r="BN101" i="2"/>
  <c r="BN6" i="2"/>
  <c r="BN18" i="2"/>
  <c r="BN32" i="2"/>
  <c r="BN46" i="2"/>
  <c r="BN60" i="2"/>
  <c r="BN99" i="2"/>
  <c r="BN15" i="2"/>
  <c r="BN29" i="2"/>
  <c r="BN43" i="2"/>
  <c r="BN57" i="2"/>
  <c r="BN79" i="2"/>
  <c r="BN86" i="2"/>
  <c r="BN90" i="2"/>
  <c r="BO15" i="2"/>
  <c r="BN26" i="2"/>
  <c r="BO29" i="2"/>
  <c r="BN40" i="2"/>
  <c r="BO43" i="2"/>
  <c r="BN54" i="2"/>
  <c r="BO57" i="2"/>
  <c r="BN65" i="2"/>
  <c r="BO79" i="2"/>
  <c r="BO86" i="2"/>
  <c r="BO90" i="2"/>
  <c r="BN95" i="2"/>
  <c r="BN11" i="2"/>
  <c r="BN23" i="2"/>
  <c r="BO26" i="2"/>
  <c r="BN37" i="2"/>
  <c r="BO40" i="2"/>
  <c r="BN51" i="2"/>
  <c r="BO54" i="2"/>
  <c r="BO65" i="2"/>
  <c r="BN73" i="2"/>
  <c r="BN76" i="2"/>
  <c r="BN83" i="2"/>
  <c r="BO95" i="2"/>
  <c r="S3" i="1"/>
  <c r="N3" i="1"/>
  <c r="I3" i="1"/>
  <c r="BI54" i="1"/>
  <c r="BH34" i="1"/>
  <c r="BI99" i="1"/>
  <c r="BH103" i="1"/>
  <c r="BI83" i="1"/>
  <c r="BI82" i="1"/>
  <c r="BH65" i="1"/>
  <c r="BI74" i="1"/>
  <c r="BI102" i="1"/>
  <c r="BI100" i="1"/>
  <c r="BI31" i="1"/>
  <c r="BI96" i="1"/>
  <c r="BI85" i="1"/>
  <c r="BH94" i="1"/>
  <c r="BI58" i="1"/>
  <c r="BH63" i="1"/>
  <c r="BI57" i="1"/>
  <c r="BI47" i="1"/>
  <c r="BI45" i="1"/>
  <c r="BI32" i="1"/>
  <c r="BI97" i="1"/>
  <c r="BI30" i="1"/>
  <c r="BI29" i="1"/>
  <c r="BI84" i="1"/>
  <c r="BH93" i="1"/>
  <c r="BH64" i="1"/>
  <c r="BH35" i="1"/>
  <c r="BI56" i="1"/>
  <c r="BH33" i="1"/>
  <c r="BI73" i="1"/>
  <c r="BI27" i="1"/>
  <c r="BH5" i="1"/>
  <c r="BI71" i="1"/>
  <c r="BI26" i="1"/>
  <c r="BI4" i="1"/>
  <c r="BI70" i="1"/>
  <c r="BI16" i="1"/>
  <c r="BI103" i="1"/>
  <c r="BI59" i="1"/>
  <c r="BH92" i="1"/>
  <c r="BH91" i="1"/>
  <c r="BH61" i="1"/>
  <c r="BH23" i="1"/>
  <c r="BI101" i="1"/>
  <c r="BI75" i="1"/>
  <c r="BI55" i="1"/>
  <c r="BI28" i="1"/>
  <c r="BH62" i="1"/>
  <c r="BH90" i="1"/>
  <c r="BH52" i="1"/>
  <c r="BH22" i="1"/>
  <c r="BH89" i="1"/>
  <c r="BH51" i="1"/>
  <c r="BH21" i="1"/>
  <c r="BH80" i="1"/>
  <c r="BH50" i="1"/>
  <c r="BH20" i="1"/>
  <c r="BI98" i="1"/>
  <c r="BI72" i="1"/>
  <c r="BI46" i="1"/>
  <c r="BI18" i="1"/>
  <c r="BH49" i="1"/>
  <c r="BH108" i="1"/>
  <c r="BH48" i="1"/>
  <c r="BI15" i="1"/>
  <c r="BH77" i="1"/>
  <c r="BH9" i="1"/>
  <c r="BI69" i="1"/>
  <c r="BH76" i="1"/>
  <c r="BH38" i="1"/>
  <c r="BI88" i="1"/>
  <c r="BI42" i="1"/>
  <c r="BH105" i="1"/>
  <c r="BH75" i="1"/>
  <c r="BH37" i="1"/>
  <c r="BH7" i="1"/>
  <c r="BI87" i="1"/>
  <c r="BI61" i="1"/>
  <c r="BI41" i="1"/>
  <c r="BI12" i="1"/>
  <c r="BH24" i="1"/>
  <c r="BH79" i="1"/>
  <c r="BH19" i="1"/>
  <c r="BH78" i="1"/>
  <c r="BH10" i="1"/>
  <c r="BI44" i="1"/>
  <c r="BH107" i="1"/>
  <c r="BH47" i="1"/>
  <c r="BI89" i="1"/>
  <c r="BI43" i="1"/>
  <c r="BI14" i="1"/>
  <c r="BH106" i="1"/>
  <c r="BH8" i="1"/>
  <c r="BI68" i="1"/>
  <c r="BI13" i="1"/>
  <c r="BH104" i="1"/>
  <c r="BH66" i="1"/>
  <c r="BH36" i="1"/>
  <c r="BH6" i="1"/>
  <c r="BI86" i="1"/>
  <c r="BI60" i="1"/>
  <c r="BI40" i="1"/>
  <c r="D3" i="1"/>
  <c r="BI17" i="1"/>
  <c r="BH102" i="1"/>
  <c r="BH60" i="1"/>
  <c r="BH101" i="1"/>
  <c r="BH87" i="1"/>
  <c r="BH73" i="1"/>
  <c r="BH59" i="1"/>
  <c r="BH45" i="1"/>
  <c r="BH31" i="1"/>
  <c r="BH17" i="1"/>
  <c r="BI109" i="1"/>
  <c r="BI95" i="1"/>
  <c r="BI81" i="1"/>
  <c r="BI67" i="1"/>
  <c r="BI53" i="1"/>
  <c r="BI39" i="1"/>
  <c r="BI25" i="1"/>
  <c r="BI11" i="1"/>
  <c r="BH100" i="1"/>
  <c r="BH86" i="1"/>
  <c r="BH72" i="1"/>
  <c r="BH58" i="1"/>
  <c r="BH44" i="1"/>
  <c r="BH30" i="1"/>
  <c r="BH16" i="1"/>
  <c r="BI108" i="1"/>
  <c r="BI94" i="1"/>
  <c r="BI80" i="1"/>
  <c r="BI66" i="1"/>
  <c r="BI52" i="1"/>
  <c r="BI38" i="1"/>
  <c r="BI24" i="1"/>
  <c r="BI10" i="1"/>
  <c r="BH74" i="1"/>
  <c r="BH18" i="1"/>
  <c r="BH71" i="1"/>
  <c r="BH29" i="1"/>
  <c r="BI37" i="1"/>
  <c r="BH84" i="1"/>
  <c r="BH70" i="1"/>
  <c r="BH42" i="1"/>
  <c r="BH28" i="1"/>
  <c r="BH14" i="1"/>
  <c r="BI106" i="1"/>
  <c r="BI92" i="1"/>
  <c r="BI78" i="1"/>
  <c r="BI64" i="1"/>
  <c r="BI50" i="1"/>
  <c r="BI36" i="1"/>
  <c r="BI22" i="1"/>
  <c r="BI8" i="1"/>
  <c r="BH88" i="1"/>
  <c r="BH32" i="1"/>
  <c r="BH85" i="1"/>
  <c r="BH43" i="1"/>
  <c r="BI107" i="1"/>
  <c r="BI79" i="1"/>
  <c r="BI23" i="1"/>
  <c r="BH98" i="1"/>
  <c r="BH56" i="1"/>
  <c r="BH83" i="1"/>
  <c r="BH55" i="1"/>
  <c r="BH41" i="1"/>
  <c r="BH27" i="1"/>
  <c r="BI105" i="1"/>
  <c r="BI91" i="1"/>
  <c r="BI77" i="1"/>
  <c r="BI63" i="1"/>
  <c r="BI49" i="1"/>
  <c r="BI35" i="1"/>
  <c r="BI21" i="1"/>
  <c r="BI7" i="1"/>
  <c r="BH46" i="1"/>
  <c r="BH99" i="1"/>
  <c r="BH57" i="1"/>
  <c r="BH15" i="1"/>
  <c r="BI93" i="1"/>
  <c r="BI65" i="1"/>
  <c r="BI51" i="1"/>
  <c r="BI9" i="1"/>
  <c r="BH97" i="1"/>
  <c r="BH69" i="1"/>
  <c r="BH13" i="1"/>
  <c r="BH4" i="1"/>
  <c r="BH96" i="1"/>
  <c r="BH82" i="1"/>
  <c r="BH68" i="1"/>
  <c r="BH54" i="1"/>
  <c r="BH40" i="1"/>
  <c r="BH26" i="1"/>
  <c r="BH12" i="1"/>
  <c r="BI104" i="1"/>
  <c r="BI90" i="1"/>
  <c r="BI76" i="1"/>
  <c r="BI62" i="1"/>
  <c r="BI48" i="1"/>
  <c r="BI34" i="1"/>
  <c r="BI20" i="1"/>
  <c r="BI6" i="1"/>
  <c r="BH109" i="1"/>
  <c r="BH95" i="1"/>
  <c r="BH81" i="1"/>
  <c r="BH67" i="1"/>
  <c r="BH53" i="1"/>
  <c r="BH39" i="1"/>
  <c r="BH25" i="1"/>
  <c r="BI33" i="1"/>
  <c r="BI19" i="1"/>
</calcChain>
</file>

<file path=xl/sharedStrings.xml><?xml version="1.0" encoding="utf-8"?>
<sst xmlns="http://schemas.openxmlformats.org/spreadsheetml/2006/main" count="1662" uniqueCount="147">
  <si>
    <t xml:space="preserve">2026 YTD </t>
  </si>
  <si>
    <t>Row Labels</t>
  </si>
  <si>
    <t>Occ</t>
  </si>
  <si>
    <t>Rental</t>
  </si>
  <si>
    <t>Grand Total</t>
  </si>
  <si>
    <t>China</t>
  </si>
  <si>
    <t>Japan</t>
  </si>
  <si>
    <t>Finland</t>
  </si>
  <si>
    <t>Thailand</t>
  </si>
  <si>
    <t>Singapore</t>
  </si>
  <si>
    <t>Germany</t>
  </si>
  <si>
    <t>Taiwan</t>
  </si>
  <si>
    <t>Malaysia</t>
  </si>
  <si>
    <t>Indonesia</t>
  </si>
  <si>
    <t>France</t>
  </si>
  <si>
    <t>India</t>
  </si>
  <si>
    <t>Philippines</t>
  </si>
  <si>
    <t>Australia</t>
  </si>
  <si>
    <t>UK</t>
  </si>
  <si>
    <t>Russia</t>
  </si>
  <si>
    <t>Italy</t>
  </si>
  <si>
    <t>Saudi Arabia</t>
  </si>
  <si>
    <t>Qatar</t>
  </si>
  <si>
    <t>Uganda</t>
  </si>
  <si>
    <t>Turkey</t>
  </si>
  <si>
    <t>Vietnam</t>
  </si>
  <si>
    <t>Netherlands</t>
  </si>
  <si>
    <t>Canada</t>
  </si>
  <si>
    <t>Brazil</t>
  </si>
  <si>
    <t>Lithuania</t>
  </si>
  <si>
    <t>Oman</t>
  </si>
  <si>
    <t>Poland</t>
  </si>
  <si>
    <t>Egypt</t>
  </si>
  <si>
    <t>Ireland</t>
  </si>
  <si>
    <t>Peru</t>
  </si>
  <si>
    <t>Macau - China</t>
  </si>
  <si>
    <t>N/A</t>
  </si>
  <si>
    <t>Spain</t>
  </si>
  <si>
    <t>Estonia</t>
  </si>
  <si>
    <t>Switzerland</t>
  </si>
  <si>
    <t>Israel</t>
  </si>
  <si>
    <t>Myanmar</t>
  </si>
  <si>
    <t>Portugal</t>
  </si>
  <si>
    <t>Austria</t>
  </si>
  <si>
    <t>Belgium</t>
  </si>
  <si>
    <t>Latvia</t>
  </si>
  <si>
    <t>Kazakhstan</t>
  </si>
  <si>
    <t>New Zealand</t>
  </si>
  <si>
    <t>Solomon Islands</t>
  </si>
  <si>
    <t>Syria</t>
  </si>
  <si>
    <t>Mongolia</t>
  </si>
  <si>
    <t>Sweden</t>
  </si>
  <si>
    <t>Cambodia</t>
  </si>
  <si>
    <t>Dominica</t>
  </si>
  <si>
    <t>Bangladesh</t>
  </si>
  <si>
    <t>Colombia</t>
  </si>
  <si>
    <t>Mexico</t>
  </si>
  <si>
    <t>Pakistan</t>
  </si>
  <si>
    <t>Norway</t>
  </si>
  <si>
    <t>Kuwait</t>
  </si>
  <si>
    <t>Yemen</t>
  </si>
  <si>
    <t>Ukraine</t>
  </si>
  <si>
    <t>Romania</t>
  </si>
  <si>
    <t>Brunei</t>
  </si>
  <si>
    <t>Czech Republic</t>
  </si>
  <si>
    <t>South Africa</t>
  </si>
  <si>
    <t>Uzbekistan</t>
  </si>
  <si>
    <t>Bulgaria</t>
  </si>
  <si>
    <t>Maldives</t>
  </si>
  <si>
    <t>Greece</t>
  </si>
  <si>
    <t>Sudan</t>
  </si>
  <si>
    <t>Denmark</t>
  </si>
  <si>
    <t>Kyrgyzstan</t>
  </si>
  <si>
    <t>Chile</t>
  </si>
  <si>
    <t>Iraq</t>
  </si>
  <si>
    <t>Nepal</t>
  </si>
  <si>
    <t>Argentina</t>
  </si>
  <si>
    <t>Hungary</t>
  </si>
  <si>
    <t>Laos</t>
  </si>
  <si>
    <t>Bhutan</t>
  </si>
  <si>
    <t>Jamaica</t>
  </si>
  <si>
    <t>Malta</t>
  </si>
  <si>
    <t>Afghanistan</t>
  </si>
  <si>
    <t>Saint Lucia</t>
  </si>
  <si>
    <t>Sri Lanka</t>
  </si>
  <si>
    <t>Iceland</t>
  </si>
  <si>
    <t>Slovenia</t>
  </si>
  <si>
    <t>Iran</t>
  </si>
  <si>
    <t>Tunisia</t>
  </si>
  <si>
    <t>Croatia</t>
  </si>
  <si>
    <t>Fiji</t>
  </si>
  <si>
    <t>Jordan</t>
  </si>
  <si>
    <t>Turkmenistan</t>
  </si>
  <si>
    <t>British Virgin Islands</t>
  </si>
  <si>
    <t>Panama</t>
  </si>
  <si>
    <t>Slovakia</t>
  </si>
  <si>
    <t>Armenia</t>
  </si>
  <si>
    <t>Luxembourg</t>
  </si>
  <si>
    <t>Bosnia-Herzegovina</t>
  </si>
  <si>
    <t>Ecuador</t>
  </si>
  <si>
    <t>Morocco</t>
  </si>
  <si>
    <t>Ethiopia</t>
  </si>
  <si>
    <t>Cyprus</t>
  </si>
  <si>
    <t>Vanuatu</t>
  </si>
  <si>
    <t>Venezuela</t>
  </si>
  <si>
    <t>Belarus</t>
  </si>
  <si>
    <t>Tanzania</t>
  </si>
  <si>
    <t>Trinidad And Tobago</t>
  </si>
  <si>
    <t>USA</t>
  </si>
  <si>
    <t>UAE</t>
  </si>
  <si>
    <t>Korea</t>
  </si>
  <si>
    <t>Hong Kong</t>
  </si>
  <si>
    <t>Macau</t>
  </si>
  <si>
    <t>Mix by RNs</t>
  </si>
  <si>
    <t>Mix by Revenue</t>
  </si>
  <si>
    <t>ADR</t>
  </si>
  <si>
    <t xml:space="preserve">2025 YTD </t>
  </si>
  <si>
    <t>Serbia</t>
  </si>
  <si>
    <t>Lebanon</t>
  </si>
  <si>
    <t>Zimbabwe</t>
  </si>
  <si>
    <t>Kenya</t>
  </si>
  <si>
    <t>Bahrain</t>
  </si>
  <si>
    <t>Guatemala</t>
  </si>
  <si>
    <t>Eritrea</t>
  </si>
  <si>
    <t>Nigeria</t>
  </si>
  <si>
    <t>England</t>
  </si>
  <si>
    <t>Suriname</t>
  </si>
  <si>
    <t>Grenada</t>
  </si>
  <si>
    <t>Nicaragua</t>
  </si>
  <si>
    <t>Comoros</t>
  </si>
  <si>
    <t>Algeria</t>
  </si>
  <si>
    <t>Albania</t>
  </si>
  <si>
    <t>Angola</t>
  </si>
  <si>
    <t>Dominican Republic</t>
  </si>
  <si>
    <t>Honduras</t>
  </si>
  <si>
    <t>Palestine</t>
  </si>
  <si>
    <t>Liechtenstein</t>
  </si>
  <si>
    <t>Saint Kitts And Nevis</t>
  </si>
  <si>
    <t>Mali</t>
  </si>
  <si>
    <t>Democratic Republic of the Congo</t>
  </si>
  <si>
    <t>Moldavia</t>
  </si>
  <si>
    <t>Uruguay</t>
  </si>
  <si>
    <t>Seychelles</t>
  </si>
  <si>
    <t>Georgia</t>
  </si>
  <si>
    <t>Costa Rica</t>
  </si>
  <si>
    <t>San Marino</t>
  </si>
  <si>
    <t>Northern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</si>
</sst>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color indexed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theme="4" tint="0.79998168889431442"/>
      </patternFill>
    </fill>
    <fill>
      <patternFill patternType="solid">
        <fgColor indexed="9"/>
      </patternFill>
    </fill>
    <fill>
      <patternFill patternType="solid">
        <fgColor rgb="FFFF66FF"/>
        <bgColor theme="4" tint="0.79998168889431442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>
      <alignment wrapText="1"/>
    </xf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2" borderId="1" xfId="1" applyFill="1" applyBorder="1"/>
    <xf numFmtId="17" fontId="2" fillId="3" borderId="2" xfId="1" applyNumberFormat="1" applyFont="1" applyFill="1" applyBorder="1" applyAlignment="1">
      <alignment horizontal="center"/>
    </xf>
    <xf numFmtId="0" fontId="3" fillId="2" borderId="4" xfId="1" applyFill="1" applyBorder="1"/>
    <xf numFmtId="0" fontId="3" fillId="2" borderId="5" xfId="1" applyFill="1" applyBorder="1"/>
    <xf numFmtId="17" fontId="2" fillId="5" borderId="2" xfId="1" applyNumberFormat="1" applyFont="1" applyFill="1" applyBorder="1" applyAlignment="1">
      <alignment horizontal="center"/>
    </xf>
    <xf numFmtId="0" fontId="3" fillId="2" borderId="6" xfId="1" applyFill="1" applyBorder="1"/>
    <xf numFmtId="0" fontId="2" fillId="3" borderId="7" xfId="1" applyFont="1" applyFill="1" applyBorder="1"/>
    <xf numFmtId="164" fontId="2" fillId="3" borderId="7" xfId="3" applyNumberFormat="1" applyFont="1" applyFill="1" applyBorder="1"/>
    <xf numFmtId="0" fontId="3" fillId="2" borderId="7" xfId="1" applyFill="1" applyBorder="1"/>
    <xf numFmtId="0" fontId="3" fillId="2" borderId="8" xfId="1" applyFill="1" applyBorder="1"/>
    <xf numFmtId="0" fontId="2" fillId="5" borderId="7" xfId="1" applyFont="1" applyFill="1" applyBorder="1"/>
    <xf numFmtId="164" fontId="2" fillId="5" borderId="8" xfId="3" applyNumberFormat="1" applyFont="1" applyFill="1" applyBorder="1"/>
    <xf numFmtId="164" fontId="2" fillId="5" borderId="7" xfId="3" applyNumberFormat="1" applyFont="1" applyFill="1" applyBorder="1"/>
    <xf numFmtId="0" fontId="2" fillId="2" borderId="9" xfId="1" applyFont="1" applyFill="1" applyBorder="1"/>
    <xf numFmtId="0" fontId="2" fillId="0" borderId="2" xfId="1" applyFont="1" applyBorder="1" applyAlignment="1">
      <alignment horizontal="left"/>
    </xf>
    <xf numFmtId="164" fontId="2" fillId="0" borderId="2" xfId="3" applyNumberFormat="1" applyFont="1" applyBorder="1"/>
    <xf numFmtId="0" fontId="2" fillId="2" borderId="2" xfId="1" applyFont="1" applyFill="1" applyBorder="1"/>
    <xf numFmtId="0" fontId="2" fillId="2" borderId="10" xfId="1" applyFont="1" applyFill="1" applyBorder="1"/>
    <xf numFmtId="0" fontId="3" fillId="2" borderId="0" xfId="1" applyFill="1"/>
    <xf numFmtId="0" fontId="3" fillId="0" borderId="11" xfId="1" applyBorder="1"/>
    <xf numFmtId="3" fontId="3" fillId="0" borderId="11" xfId="1" applyNumberFormat="1" applyBorder="1"/>
    <xf numFmtId="0" fontId="3" fillId="2" borderId="11" xfId="1" applyFill="1" applyBorder="1"/>
    <xf numFmtId="0" fontId="1" fillId="0" borderId="11" xfId="1" applyFont="1" applyBorder="1"/>
    <xf numFmtId="0" fontId="3" fillId="0" borderId="7" xfId="1" applyBorder="1"/>
    <xf numFmtId="3" fontId="3" fillId="0" borderId="7" xfId="1" applyNumberFormat="1" applyBorder="1"/>
    <xf numFmtId="0" fontId="1" fillId="0" borderId="7" xfId="1" applyFont="1" applyBorder="1"/>
    <xf numFmtId="0" fontId="1" fillId="0" borderId="0" xfId="1" applyFont="1"/>
    <xf numFmtId="0" fontId="3" fillId="2" borderId="12" xfId="1" applyFill="1" applyBorder="1"/>
    <xf numFmtId="165" fontId="0" fillId="0" borderId="0" xfId="0" applyNumberFormat="1"/>
    <xf numFmtId="3" fontId="1" fillId="0" borderId="0" xfId="1" applyNumberFormat="1" applyFont="1"/>
    <xf numFmtId="3" fontId="1" fillId="0" borderId="11" xfId="1" applyNumberFormat="1" applyFont="1" applyBorder="1"/>
    <xf numFmtId="164" fontId="5" fillId="4" borderId="3" xfId="2" applyNumberFormat="1" applyFont="1" applyFill="1" applyBorder="1" applyAlignment="1">
      <alignment horizontal="left" vertical="center" wrapText="1" readingOrder="1"/>
    </xf>
    <xf numFmtId="0" fontId="5" fillId="4" borderId="3" xfId="2" applyFont="1" applyFill="1" applyBorder="1" applyAlignment="1">
      <alignment horizontal="left" vertical="center" wrapText="1" readingOrder="1"/>
    </xf>
  </cellXfs>
  <cellStyles count="4">
    <cellStyle name="Comma 2" xfId="3" xr:uid="{BD1E10C7-5C51-4063-BB0D-23A765FC41AC}"/>
    <cellStyle name="Normal" xfId="0" builtinId="0"/>
    <cellStyle name="Normal 2" xfId="1" xr:uid="{A8C13AEB-43AA-4853-A971-4F39C7B88C09}"/>
    <cellStyle name="Normal 3" xfId="2" xr:uid="{3212E1A5-AD53-4256-BDFD-14AE17F651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E931-12B9-485A-BCDC-1B28F7CB6414}">
  <dimension ref="A1:BO134"/>
  <sheetViews>
    <sheetView tabSelected="1" workbookViewId="0">
      <selection activeCell="D32" sqref="D32"/>
    </sheetView>
  </sheetViews>
  <sheetFormatPr defaultRowHeight="14.4" x14ac:dyDescent="0.3"/>
  <cols>
    <col min="2" max="2" width="20" bestFit="1" customWidth="1"/>
    <col min="5" max="5" width="11.44140625" bestFit="1" customWidth="1"/>
    <col min="7" max="7" width="19.109375" bestFit="1" customWidth="1"/>
    <col min="10" max="10" width="13.33203125" bestFit="1" customWidth="1"/>
    <col min="12" max="12" width="19.109375" bestFit="1" customWidth="1"/>
    <col min="15" max="15" width="12.109375" bestFit="1" customWidth="1"/>
    <col min="17" max="17" width="15" bestFit="1" customWidth="1"/>
    <col min="20" max="20" width="13.33203125" bestFit="1" customWidth="1"/>
    <col min="22" max="22" width="15" bestFit="1" customWidth="1"/>
    <col min="25" max="25" width="12.109375" bestFit="1" customWidth="1"/>
    <col min="27" max="27" width="13.21875" bestFit="1" customWidth="1"/>
    <col min="30" max="30" width="12.109375" bestFit="1" customWidth="1"/>
    <col min="31" max="31" width="8.88671875" customWidth="1"/>
    <col min="32" max="32" width="15" bestFit="1" customWidth="1"/>
    <col min="33" max="34" width="8.88671875" customWidth="1"/>
    <col min="35" max="35" width="12.109375" bestFit="1" customWidth="1"/>
    <col min="36" max="36" width="8.88671875" customWidth="1"/>
    <col min="37" max="37" width="20.33203125" customWidth="1"/>
    <col min="38" max="39" width="8.88671875" customWidth="1"/>
    <col min="40" max="40" width="12.109375" bestFit="1" customWidth="1"/>
    <col min="41" max="41" width="8.88671875" customWidth="1"/>
    <col min="42" max="42" width="14.109375" bestFit="1" customWidth="1"/>
    <col min="43" max="44" width="8.88671875" customWidth="1"/>
    <col min="45" max="45" width="11.44140625" bestFit="1" customWidth="1"/>
    <col min="46" max="46" width="8.88671875" customWidth="1"/>
    <col min="47" max="47" width="19.77734375" bestFit="1" customWidth="1"/>
    <col min="48" max="49" width="8.88671875" customWidth="1"/>
    <col min="50" max="50" width="11.44140625" bestFit="1" customWidth="1"/>
    <col min="51" max="51" width="8.88671875" customWidth="1"/>
    <col min="52" max="52" width="22.44140625" customWidth="1"/>
    <col min="53" max="54" width="8.88671875" customWidth="1"/>
    <col min="55" max="55" width="13.109375" customWidth="1"/>
    <col min="56" max="56" width="8.88671875" customWidth="1"/>
    <col min="57" max="57" width="20.77734375" bestFit="1" customWidth="1"/>
    <col min="58" max="59" width="8.88671875" customWidth="1"/>
    <col min="60" max="60" width="12" bestFit="1" customWidth="1"/>
    <col min="62" max="62" width="20" bestFit="1" customWidth="1"/>
    <col min="65" max="65" width="12.44140625" bestFit="1" customWidth="1"/>
    <col min="66" max="66" width="11" customWidth="1"/>
    <col min="67" max="67" width="13.109375" bestFit="1" customWidth="1"/>
  </cols>
  <sheetData>
    <row r="1" spans="1:67" ht="15" thickBot="1" x14ac:dyDescent="0.35">
      <c r="A1" s="1"/>
      <c r="B1" s="2">
        <v>45658</v>
      </c>
      <c r="C1" s="33"/>
      <c r="D1" s="33"/>
      <c r="E1" s="33"/>
      <c r="F1" s="1"/>
      <c r="G1" s="2">
        <v>45689</v>
      </c>
      <c r="H1" s="33"/>
      <c r="I1" s="33"/>
      <c r="J1" s="33"/>
      <c r="K1" s="1"/>
      <c r="L1" s="2">
        <v>45717</v>
      </c>
      <c r="M1" s="33"/>
      <c r="N1" s="33"/>
      <c r="O1" s="33"/>
      <c r="P1" s="1"/>
      <c r="Q1" s="2">
        <v>45748</v>
      </c>
      <c r="R1" s="33"/>
      <c r="S1" s="33"/>
      <c r="T1" s="33"/>
      <c r="U1" s="1"/>
      <c r="V1" s="2">
        <v>45778</v>
      </c>
      <c r="W1" s="33"/>
      <c r="X1" s="33"/>
      <c r="Y1" s="33"/>
      <c r="Z1" s="1"/>
      <c r="AA1" s="2">
        <v>45809</v>
      </c>
      <c r="AB1" s="33"/>
      <c r="AC1" s="33"/>
      <c r="AD1" s="33"/>
      <c r="AE1" s="1"/>
      <c r="AF1" s="2">
        <v>45839</v>
      </c>
      <c r="AG1" s="33"/>
      <c r="AH1" s="33"/>
      <c r="AI1" s="33"/>
      <c r="AJ1" s="1"/>
      <c r="AK1" s="2">
        <v>45870</v>
      </c>
      <c r="AL1" s="33"/>
      <c r="AM1" s="33"/>
      <c r="AN1" s="33"/>
      <c r="AO1" s="1"/>
      <c r="AP1" s="2">
        <v>45901</v>
      </c>
      <c r="AQ1" s="33"/>
      <c r="AR1" s="33"/>
      <c r="AS1" s="33"/>
      <c r="AT1" s="1"/>
      <c r="AU1" s="2">
        <v>45931</v>
      </c>
      <c r="AV1" s="33"/>
      <c r="AW1" s="33"/>
      <c r="AX1" s="33"/>
      <c r="AY1" s="1"/>
      <c r="AZ1" s="2">
        <v>45962</v>
      </c>
      <c r="BA1" s="33"/>
      <c r="BB1" s="33"/>
      <c r="BC1" s="33"/>
      <c r="BD1" s="3"/>
      <c r="BE1" s="2">
        <v>45992</v>
      </c>
      <c r="BF1" s="33"/>
      <c r="BG1" s="33"/>
      <c r="BH1" s="33"/>
      <c r="BI1" s="4"/>
      <c r="BJ1" s="5" t="s">
        <v>116</v>
      </c>
      <c r="BK1" s="32"/>
      <c r="BL1" s="33"/>
      <c r="BM1" s="33"/>
    </row>
    <row r="2" spans="1:67" ht="15" thickBot="1" x14ac:dyDescent="0.35">
      <c r="A2" s="6"/>
      <c r="B2" s="7" t="s">
        <v>1</v>
      </c>
      <c r="C2" s="8" t="s">
        <v>2</v>
      </c>
      <c r="D2" s="8" t="s">
        <v>115</v>
      </c>
      <c r="E2" s="8" t="s">
        <v>3</v>
      </c>
      <c r="F2" s="6"/>
      <c r="G2" s="7" t="s">
        <v>1</v>
      </c>
      <c r="H2" s="8" t="s">
        <v>2</v>
      </c>
      <c r="I2" s="8" t="s">
        <v>115</v>
      </c>
      <c r="J2" s="8" t="s">
        <v>3</v>
      </c>
      <c r="K2" s="6"/>
      <c r="L2" s="7" t="s">
        <v>1</v>
      </c>
      <c r="M2" s="8" t="s">
        <v>2</v>
      </c>
      <c r="N2" s="8" t="s">
        <v>115</v>
      </c>
      <c r="O2" s="8" t="s">
        <v>3</v>
      </c>
      <c r="P2" s="6"/>
      <c r="Q2" s="7" t="s">
        <v>1</v>
      </c>
      <c r="R2" s="8" t="s">
        <v>2</v>
      </c>
      <c r="S2" s="8" t="s">
        <v>115</v>
      </c>
      <c r="T2" s="8" t="s">
        <v>3</v>
      </c>
      <c r="U2" s="6"/>
      <c r="V2" s="7" t="s">
        <v>1</v>
      </c>
      <c r="W2" s="8" t="s">
        <v>2</v>
      </c>
      <c r="X2" s="8" t="s">
        <v>115</v>
      </c>
      <c r="Y2" s="8" t="s">
        <v>3</v>
      </c>
      <c r="Z2" s="6"/>
      <c r="AA2" s="7" t="s">
        <v>1</v>
      </c>
      <c r="AB2" s="8" t="s">
        <v>2</v>
      </c>
      <c r="AC2" s="8" t="s">
        <v>115</v>
      </c>
      <c r="AD2" s="8" t="s">
        <v>3</v>
      </c>
      <c r="AE2" s="6"/>
      <c r="AF2" s="7" t="s">
        <v>1</v>
      </c>
      <c r="AG2" s="8" t="s">
        <v>2</v>
      </c>
      <c r="AH2" s="8" t="s">
        <v>115</v>
      </c>
      <c r="AI2" s="8" t="s">
        <v>3</v>
      </c>
      <c r="AJ2" s="6"/>
      <c r="AK2" s="7" t="s">
        <v>1</v>
      </c>
      <c r="AL2" s="8" t="s">
        <v>2</v>
      </c>
      <c r="AM2" s="8"/>
      <c r="AN2" s="8" t="s">
        <v>3</v>
      </c>
      <c r="AO2" s="6"/>
      <c r="AP2" s="7" t="s">
        <v>1</v>
      </c>
      <c r="AQ2" s="8" t="s">
        <v>2</v>
      </c>
      <c r="AR2" s="8"/>
      <c r="AS2" s="8" t="s">
        <v>3</v>
      </c>
      <c r="AT2" s="6"/>
      <c r="AU2" s="7" t="s">
        <v>1</v>
      </c>
      <c r="AV2" s="8" t="s">
        <v>2</v>
      </c>
      <c r="AW2" s="8"/>
      <c r="AX2" s="8" t="s">
        <v>3</v>
      </c>
      <c r="AY2" s="6"/>
      <c r="AZ2" s="7" t="s">
        <v>1</v>
      </c>
      <c r="BA2" s="8" t="s">
        <v>2</v>
      </c>
      <c r="BB2" s="8"/>
      <c r="BC2" s="8" t="s">
        <v>3</v>
      </c>
      <c r="BD2" s="9"/>
      <c r="BE2" s="7" t="s">
        <v>1</v>
      </c>
      <c r="BF2" s="8" t="s">
        <v>2</v>
      </c>
      <c r="BG2" s="8"/>
      <c r="BH2" s="8" t="s">
        <v>3</v>
      </c>
      <c r="BI2" s="10"/>
      <c r="BJ2" s="11" t="s">
        <v>1</v>
      </c>
      <c r="BK2" s="12" t="s">
        <v>2</v>
      </c>
      <c r="BL2" s="12" t="s">
        <v>115</v>
      </c>
      <c r="BM2" s="13" t="s">
        <v>3</v>
      </c>
    </row>
    <row r="3" spans="1:67" ht="15" thickBot="1" x14ac:dyDescent="0.35">
      <c r="A3" s="14"/>
      <c r="B3" s="15" t="s">
        <v>4</v>
      </c>
      <c r="C3" s="16">
        <f>SUM(C4:C63)</f>
        <v>9860</v>
      </c>
      <c r="D3" s="16">
        <f>IFERROR(E3/C3,0)</f>
        <v>4210.2544847870186</v>
      </c>
      <c r="E3" s="16">
        <f>SUM(E4:E90)</f>
        <v>41513109.220000006</v>
      </c>
      <c r="F3" s="14"/>
      <c r="G3" s="15" t="s">
        <v>4</v>
      </c>
      <c r="H3" s="16">
        <f>SUM(H4:H90)</f>
        <v>8447</v>
      </c>
      <c r="I3" s="16">
        <f>IFERROR(J3/H3,0)</f>
        <v>3915.218028885995</v>
      </c>
      <c r="J3" s="16">
        <f>SUM(J4:J90)</f>
        <v>33071846.689999998</v>
      </c>
      <c r="K3" s="14"/>
      <c r="L3" s="15" t="s">
        <v>4</v>
      </c>
      <c r="M3" s="16">
        <f>SUM(M4:M90)</f>
        <v>7025</v>
      </c>
      <c r="N3" s="16">
        <f>IFERROR(O3/M3,0)</f>
        <v>3508.125471886121</v>
      </c>
      <c r="O3" s="16">
        <f>SUM(O4:O90)</f>
        <v>24644581.440000001</v>
      </c>
      <c r="P3" s="14"/>
      <c r="Q3" s="15" t="s">
        <v>4</v>
      </c>
      <c r="R3" s="16">
        <f>SUM(R4:R90)</f>
        <v>7566</v>
      </c>
      <c r="S3" s="16">
        <f>IFERROR(T3/R3,0)</f>
        <v>3648.1421636267505</v>
      </c>
      <c r="T3" s="16">
        <f>SUM(T4:T90)</f>
        <v>27601843.609999996</v>
      </c>
      <c r="U3" s="14"/>
      <c r="V3" s="15" t="s">
        <v>4</v>
      </c>
      <c r="W3" s="16">
        <f>SUM(W4:W90)</f>
        <v>8160</v>
      </c>
      <c r="X3" s="16">
        <f>IFERROR(Y3/W3,0)</f>
        <v>3268.1523909313732</v>
      </c>
      <c r="Y3" s="16">
        <f>SUM(Y4:Y90)</f>
        <v>26668123.510000005</v>
      </c>
      <c r="Z3" s="14"/>
      <c r="AA3" s="15" t="s">
        <v>4</v>
      </c>
      <c r="AB3" s="16">
        <f>SUM(AB4:AB90)</f>
        <v>7403</v>
      </c>
      <c r="AC3" s="16">
        <f>IFERROR(AD3/AB3,0)</f>
        <v>3340.1177401053637</v>
      </c>
      <c r="AD3" s="16">
        <f>SUM(AD4:AD90)</f>
        <v>24726891.630000006</v>
      </c>
      <c r="AE3" s="14"/>
      <c r="AF3" s="15" t="s">
        <v>4</v>
      </c>
      <c r="AG3" s="16">
        <f>SUM(AG4:AG90)</f>
        <v>9567</v>
      </c>
      <c r="AH3" s="16">
        <f>IFERROR(AI3/AG3,0)</f>
        <v>3467.1670178739419</v>
      </c>
      <c r="AI3" s="16">
        <f>SUM(AI4:AI90)</f>
        <v>33170386.860000003</v>
      </c>
      <c r="AJ3" s="14"/>
      <c r="AK3" s="15" t="s">
        <v>4</v>
      </c>
      <c r="AL3" s="16">
        <f>SUM(AL4:AL90)</f>
        <v>9843</v>
      </c>
      <c r="AM3" s="16">
        <f>IFERROR(AN3/AL3,0)</f>
        <v>3569.5888794066846</v>
      </c>
      <c r="AN3" s="16">
        <f>SUM(AN4:AN90)</f>
        <v>35135463.339999996</v>
      </c>
      <c r="AO3" s="14"/>
      <c r="AP3" s="15" t="s">
        <v>4</v>
      </c>
      <c r="AQ3" s="16">
        <f>SUM(AQ4:AQ90)</f>
        <v>6448</v>
      </c>
      <c r="AR3" s="16">
        <f>IFERROR(AS3/AQ3,0)</f>
        <v>3157.8344478908189</v>
      </c>
      <c r="AS3" s="16">
        <f>SUM(AS4:AS90)</f>
        <v>20361716.52</v>
      </c>
      <c r="AT3" s="14"/>
      <c r="AU3" s="15" t="s">
        <v>4</v>
      </c>
      <c r="AV3" s="16">
        <f>SUM(AV4:AV90)</f>
        <v>8624</v>
      </c>
      <c r="AW3" s="16">
        <f>IFERROR(AX3/AV3,0)</f>
        <v>3179.4821080705001</v>
      </c>
      <c r="AX3" s="16">
        <f>SUM(AX4:AX90)</f>
        <v>27419853.699999992</v>
      </c>
      <c r="AY3" s="14"/>
      <c r="AZ3" s="15" t="s">
        <v>4</v>
      </c>
      <c r="BA3" s="16">
        <f>SUM(BA4:BA90)</f>
        <v>9453</v>
      </c>
      <c r="BB3" s="16">
        <f>IFERROR(BC3/BA3,0)</f>
        <v>3540.8459536655018</v>
      </c>
      <c r="BC3" s="16">
        <f>SUM(BC4:BC90)</f>
        <v>33471616.79999999</v>
      </c>
      <c r="BD3" s="17"/>
      <c r="BE3" s="15" t="s">
        <v>4</v>
      </c>
      <c r="BF3" s="16">
        <f>SUM(BF4:BF90)</f>
        <v>9325</v>
      </c>
      <c r="BG3" s="16">
        <f>IFERROR(BH3/BF3,0)</f>
        <v>4116.8060450402154</v>
      </c>
      <c r="BH3" s="16">
        <f>SUM(BH4:BH90)</f>
        <v>38389216.370000005</v>
      </c>
      <c r="BI3" s="18"/>
      <c r="BJ3" s="15" t="s">
        <v>4</v>
      </c>
      <c r="BK3" s="16">
        <f>SUM(BK4:BK153)</f>
        <v>101938</v>
      </c>
      <c r="BL3" s="16">
        <f>IFERROR(BM3/BK3,0)</f>
        <v>3597.193405599483</v>
      </c>
      <c r="BM3" s="16">
        <f>SUM(BM4:BM159)</f>
        <v>366690701.38000011</v>
      </c>
      <c r="BN3" t="s">
        <v>113</v>
      </c>
      <c r="BO3" t="s">
        <v>114</v>
      </c>
    </row>
    <row r="4" spans="1:67" x14ac:dyDescent="0.3">
      <c r="A4" s="19">
        <v>1</v>
      </c>
      <c r="B4" s="20" t="s">
        <v>5</v>
      </c>
      <c r="C4" s="21">
        <v>3652</v>
      </c>
      <c r="D4" s="21">
        <f t="shared" ref="D4:D67" si="0">IFERROR(E4/C4,0)</f>
        <v>3974.7934912376782</v>
      </c>
      <c r="E4" s="21">
        <v>14515945.83</v>
      </c>
      <c r="F4" s="19">
        <v>1</v>
      </c>
      <c r="G4" s="20" t="s">
        <v>5</v>
      </c>
      <c r="H4" s="21">
        <v>2735</v>
      </c>
      <c r="I4" s="21">
        <f t="shared" ref="I4:I67" si="1">IFERROR(J4/H4,0)</f>
        <v>3758.019009140768</v>
      </c>
      <c r="J4" s="21">
        <v>10278181.99</v>
      </c>
      <c r="K4" s="19">
        <v>1</v>
      </c>
      <c r="L4" s="20" t="s">
        <v>5</v>
      </c>
      <c r="M4" s="21">
        <v>2039</v>
      </c>
      <c r="N4" s="21">
        <f t="shared" ref="N4:N67" si="2">IFERROR(O4/M4,0)</f>
        <v>3128.379014222658</v>
      </c>
      <c r="O4" s="21">
        <v>6378764.8099999996</v>
      </c>
      <c r="P4" s="19">
        <v>1</v>
      </c>
      <c r="Q4" s="20" t="s">
        <v>5</v>
      </c>
      <c r="R4" s="21">
        <v>2950</v>
      </c>
      <c r="S4" s="21">
        <f t="shared" ref="S4:S67" si="3">IFERROR(T4/R4,0)</f>
        <v>3544.3728881355933</v>
      </c>
      <c r="T4" s="21">
        <v>10455900.02</v>
      </c>
      <c r="U4" s="19">
        <v>1</v>
      </c>
      <c r="V4" s="20" t="s">
        <v>5</v>
      </c>
      <c r="W4" s="21">
        <v>3177</v>
      </c>
      <c r="X4" s="21">
        <f t="shared" ref="X4:X67" si="4">IFERROR(Y4/W4,0)</f>
        <v>3093.9536701290526</v>
      </c>
      <c r="Y4" s="21">
        <v>9829490.8100000005</v>
      </c>
      <c r="Z4" s="19">
        <v>1</v>
      </c>
      <c r="AA4" s="20" t="s">
        <v>5</v>
      </c>
      <c r="AB4" s="21">
        <v>2368</v>
      </c>
      <c r="AC4" s="21">
        <f t="shared" ref="AC4:AC67" si="5">IFERROR(AD4/AB4,0)</f>
        <v>3079.2569679054054</v>
      </c>
      <c r="AD4" s="21">
        <v>7291680.5</v>
      </c>
      <c r="AE4" s="19">
        <v>1</v>
      </c>
      <c r="AF4" s="20" t="s">
        <v>5</v>
      </c>
      <c r="AG4" s="21">
        <v>2543</v>
      </c>
      <c r="AH4" s="21">
        <f t="shared" ref="AH4:AH67" si="6">IFERROR(AI4/AG4,0)</f>
        <v>3152.0197129374756</v>
      </c>
      <c r="AI4" s="21">
        <v>8015586.1299999999</v>
      </c>
      <c r="AJ4" s="19">
        <v>1</v>
      </c>
      <c r="AK4" s="20" t="s">
        <v>5</v>
      </c>
      <c r="AL4" s="21">
        <v>2365</v>
      </c>
      <c r="AM4" s="21">
        <f t="shared" ref="AM4:AM67" si="7">IFERROR(AN4/AL4,0)</f>
        <v>3484.8474503171246</v>
      </c>
      <c r="AN4" s="21">
        <v>8241664.2199999997</v>
      </c>
      <c r="AO4" s="19">
        <v>1</v>
      </c>
      <c r="AP4" s="20" t="s">
        <v>5</v>
      </c>
      <c r="AQ4" s="21">
        <v>1977</v>
      </c>
      <c r="AR4" s="21">
        <f t="shared" ref="AR4:AR67" si="8">IFERROR(AS4/AQ4,0)</f>
        <v>3008.6167273646938</v>
      </c>
      <c r="AS4" s="21">
        <v>5948035.2699999996</v>
      </c>
      <c r="AT4" s="19">
        <v>1</v>
      </c>
      <c r="AU4" s="20" t="s">
        <v>5</v>
      </c>
      <c r="AV4" s="21">
        <v>2848</v>
      </c>
      <c r="AW4" s="21">
        <f t="shared" ref="AW4:AW67" si="9">IFERROR(AX4/AV4,0)</f>
        <v>3121.8485884831457</v>
      </c>
      <c r="AX4" s="21">
        <v>8891024.7799999993</v>
      </c>
      <c r="AY4" s="19">
        <v>1</v>
      </c>
      <c r="AZ4" s="20" t="s">
        <v>5</v>
      </c>
      <c r="BA4" s="21">
        <v>1771</v>
      </c>
      <c r="BB4" s="21">
        <f t="shared" ref="BB4:BB67" si="10">IFERROR(BC4/BA4,0)</f>
        <v>3508.9175155279504</v>
      </c>
      <c r="BC4" s="21">
        <v>6214292.9199999999</v>
      </c>
      <c r="BD4" s="19">
        <v>1</v>
      </c>
      <c r="BE4" s="20" t="s">
        <v>5</v>
      </c>
      <c r="BF4" s="21">
        <v>2819</v>
      </c>
      <c r="BG4" s="21">
        <f t="shared" ref="BG4:BG67" si="11">IFERROR(BH4/BF4,0)</f>
        <v>4051.3348279531751</v>
      </c>
      <c r="BH4" s="21">
        <v>11420712.880000001</v>
      </c>
      <c r="BI4" s="19">
        <v>1</v>
      </c>
      <c r="BJ4" s="20" t="s">
        <v>5</v>
      </c>
      <c r="BK4" s="21">
        <v>31271</v>
      </c>
      <c r="BL4" s="21">
        <f t="shared" ref="BL4:BL67" si="12">IFERROR(BM4/BK4,0)</f>
        <v>3441.7740583927598</v>
      </c>
      <c r="BM4" s="21">
        <v>107627716.58</v>
      </c>
      <c r="BN4" s="29">
        <f>BK4/$BK$3</f>
        <v>0.30676489630952147</v>
      </c>
      <c r="BO4" s="29">
        <f>BM4/$BM$3</f>
        <v>0.29351089671746494</v>
      </c>
    </row>
    <row r="5" spans="1:67" x14ac:dyDescent="0.3">
      <c r="A5" s="19">
        <v>2</v>
      </c>
      <c r="B5" s="20" t="s">
        <v>110</v>
      </c>
      <c r="C5" s="21">
        <v>609</v>
      </c>
      <c r="D5" s="21">
        <f t="shared" si="0"/>
        <v>4432.0946633825943</v>
      </c>
      <c r="E5" s="21">
        <v>2699145.65</v>
      </c>
      <c r="F5" s="19">
        <v>2</v>
      </c>
      <c r="G5" s="20" t="s">
        <v>6</v>
      </c>
      <c r="H5" s="21">
        <v>560</v>
      </c>
      <c r="I5" s="21">
        <f t="shared" si="1"/>
        <v>3296.3640357142858</v>
      </c>
      <c r="J5" s="21">
        <v>1845963.86</v>
      </c>
      <c r="K5" s="19">
        <v>2</v>
      </c>
      <c r="L5" s="20" t="s">
        <v>6</v>
      </c>
      <c r="M5" s="21">
        <v>423</v>
      </c>
      <c r="N5" s="21">
        <f t="shared" si="2"/>
        <v>2960.7260283687947</v>
      </c>
      <c r="O5" s="21">
        <v>1252387.1100000001</v>
      </c>
      <c r="P5" s="19">
        <v>2</v>
      </c>
      <c r="Q5" s="20" t="s">
        <v>9</v>
      </c>
      <c r="R5" s="21">
        <v>474</v>
      </c>
      <c r="S5" s="21">
        <f t="shared" si="3"/>
        <v>2995.425843881857</v>
      </c>
      <c r="T5" s="21">
        <v>1419831.85</v>
      </c>
      <c r="U5" s="19">
        <v>2</v>
      </c>
      <c r="V5" s="20" t="s">
        <v>6</v>
      </c>
      <c r="W5" s="21">
        <v>411</v>
      </c>
      <c r="X5" s="21">
        <f t="shared" si="4"/>
        <v>3025.4569099756691</v>
      </c>
      <c r="Y5" s="21">
        <v>1243462.79</v>
      </c>
      <c r="Z5" s="19">
        <v>2</v>
      </c>
      <c r="AA5" s="20" t="s">
        <v>9</v>
      </c>
      <c r="AB5" s="21">
        <v>428</v>
      </c>
      <c r="AC5" s="21">
        <f t="shared" si="5"/>
        <v>3253.2731074766352</v>
      </c>
      <c r="AD5" s="21">
        <v>1392400.89</v>
      </c>
      <c r="AE5" s="19">
        <v>2</v>
      </c>
      <c r="AF5" s="20" t="s">
        <v>22</v>
      </c>
      <c r="AG5" s="21">
        <v>603</v>
      </c>
      <c r="AH5" s="21">
        <f t="shared" si="6"/>
        <v>3603.8477280265342</v>
      </c>
      <c r="AI5" s="21">
        <v>2173120.1800000002</v>
      </c>
      <c r="AJ5" s="19">
        <v>2</v>
      </c>
      <c r="AK5" s="20" t="s">
        <v>22</v>
      </c>
      <c r="AL5" s="21">
        <v>995</v>
      </c>
      <c r="AM5" s="21">
        <f t="shared" si="7"/>
        <v>3122.9901105527638</v>
      </c>
      <c r="AN5" s="21">
        <v>3107375.16</v>
      </c>
      <c r="AO5" s="19">
        <v>2</v>
      </c>
      <c r="AP5" s="20" t="s">
        <v>6</v>
      </c>
      <c r="AQ5" s="21">
        <v>526</v>
      </c>
      <c r="AR5" s="21">
        <f t="shared" si="8"/>
        <v>2643.1453041825093</v>
      </c>
      <c r="AS5" s="21">
        <v>1390294.43</v>
      </c>
      <c r="AT5" s="19">
        <v>2</v>
      </c>
      <c r="AU5" s="20" t="s">
        <v>7</v>
      </c>
      <c r="AV5" s="21">
        <v>1067</v>
      </c>
      <c r="AW5" s="21">
        <f t="shared" si="9"/>
        <v>2325.9300937207122</v>
      </c>
      <c r="AX5" s="21">
        <v>2481767.41</v>
      </c>
      <c r="AY5" s="19">
        <v>2</v>
      </c>
      <c r="AZ5" s="20" t="s">
        <v>7</v>
      </c>
      <c r="BA5" s="21">
        <v>844</v>
      </c>
      <c r="BB5" s="21">
        <f t="shared" si="10"/>
        <v>2560.716338862559</v>
      </c>
      <c r="BC5" s="21">
        <v>2161244.59</v>
      </c>
      <c r="BD5" s="19">
        <v>2</v>
      </c>
      <c r="BE5" s="20" t="s">
        <v>6</v>
      </c>
      <c r="BF5" s="21">
        <v>631</v>
      </c>
      <c r="BG5" s="21">
        <f t="shared" si="11"/>
        <v>2716.6240095087164</v>
      </c>
      <c r="BH5" s="21">
        <v>1714189.75</v>
      </c>
      <c r="BI5" s="19">
        <v>2</v>
      </c>
      <c r="BJ5" s="20" t="s">
        <v>6</v>
      </c>
      <c r="BK5" s="21">
        <v>6235</v>
      </c>
      <c r="BL5" s="21">
        <f t="shared" si="12"/>
        <v>2915.1617369687251</v>
      </c>
      <c r="BM5" s="21">
        <v>18176033.43</v>
      </c>
      <c r="BN5" s="29">
        <f t="shared" ref="BN5:BN68" si="13">BK5/$BK$3</f>
        <v>6.1164629480664715E-2</v>
      </c>
      <c r="BO5" s="29">
        <f t="shared" ref="BO5:BO68" si="14">BM5/$BM$3</f>
        <v>4.9567751136302331E-2</v>
      </c>
    </row>
    <row r="6" spans="1:67" x14ac:dyDescent="0.3">
      <c r="A6" s="19">
        <v>3</v>
      </c>
      <c r="B6" s="20" t="s">
        <v>11</v>
      </c>
      <c r="C6" s="21">
        <v>477</v>
      </c>
      <c r="D6" s="21">
        <f t="shared" si="0"/>
        <v>5115.701257861635</v>
      </c>
      <c r="E6" s="21">
        <v>2440189.5</v>
      </c>
      <c r="F6" s="19">
        <v>3</v>
      </c>
      <c r="G6" s="20" t="s">
        <v>110</v>
      </c>
      <c r="H6" s="21">
        <v>429</v>
      </c>
      <c r="I6" s="21">
        <f t="shared" si="1"/>
        <v>3615.4859673659671</v>
      </c>
      <c r="J6" s="21">
        <v>1551043.48</v>
      </c>
      <c r="K6" s="19">
        <v>3</v>
      </c>
      <c r="L6" s="20" t="s">
        <v>108</v>
      </c>
      <c r="M6" s="21">
        <v>403</v>
      </c>
      <c r="N6" s="21">
        <f t="shared" si="2"/>
        <v>3568.7198759305215</v>
      </c>
      <c r="O6" s="21">
        <v>1438194.11</v>
      </c>
      <c r="P6" s="19">
        <v>3</v>
      </c>
      <c r="Q6" s="20" t="s">
        <v>6</v>
      </c>
      <c r="R6" s="21">
        <v>436</v>
      </c>
      <c r="S6" s="21">
        <f t="shared" si="3"/>
        <v>2967.1058256880733</v>
      </c>
      <c r="T6" s="21">
        <v>1293658.1399999999</v>
      </c>
      <c r="U6" s="19">
        <v>3</v>
      </c>
      <c r="V6" s="20" t="s">
        <v>110</v>
      </c>
      <c r="W6" s="21">
        <v>388</v>
      </c>
      <c r="X6" s="21">
        <f t="shared" si="4"/>
        <v>3418.8038144329894</v>
      </c>
      <c r="Y6" s="21">
        <v>1326495.8799999999</v>
      </c>
      <c r="Z6" s="19">
        <v>3</v>
      </c>
      <c r="AA6" s="20" t="s">
        <v>6</v>
      </c>
      <c r="AB6" s="21">
        <v>425</v>
      </c>
      <c r="AC6" s="21">
        <f t="shared" si="5"/>
        <v>3217.7881647058821</v>
      </c>
      <c r="AD6" s="21">
        <v>1367559.97</v>
      </c>
      <c r="AE6" s="19">
        <v>3</v>
      </c>
      <c r="AF6" s="20" t="s">
        <v>109</v>
      </c>
      <c r="AG6" s="21">
        <v>523</v>
      </c>
      <c r="AH6" s="21">
        <f t="shared" si="6"/>
        <v>4264.1258508604205</v>
      </c>
      <c r="AI6" s="21">
        <v>2230137.8199999998</v>
      </c>
      <c r="AJ6" s="19">
        <v>3</v>
      </c>
      <c r="AK6" s="20" t="s">
        <v>6</v>
      </c>
      <c r="AL6" s="21">
        <v>585</v>
      </c>
      <c r="AM6" s="21">
        <f t="shared" si="7"/>
        <v>2909.6649743589742</v>
      </c>
      <c r="AN6" s="21">
        <v>1702154.01</v>
      </c>
      <c r="AO6" s="19">
        <v>3</v>
      </c>
      <c r="AP6" s="20" t="s">
        <v>22</v>
      </c>
      <c r="AQ6" s="21">
        <v>446</v>
      </c>
      <c r="AR6" s="21">
        <f t="shared" si="8"/>
        <v>2716.4700672645736</v>
      </c>
      <c r="AS6" s="21">
        <v>1211545.6499999999</v>
      </c>
      <c r="AT6" s="19">
        <v>3</v>
      </c>
      <c r="AU6" s="20" t="s">
        <v>6</v>
      </c>
      <c r="AV6" s="21">
        <v>598</v>
      </c>
      <c r="AW6" s="21">
        <f t="shared" si="9"/>
        <v>2749.673127090301</v>
      </c>
      <c r="AX6" s="21">
        <v>1644304.53</v>
      </c>
      <c r="AY6" s="19">
        <v>3</v>
      </c>
      <c r="AZ6" s="20" t="s">
        <v>6</v>
      </c>
      <c r="BA6" s="21">
        <v>689</v>
      </c>
      <c r="BB6" s="21">
        <f t="shared" si="10"/>
        <v>2726.0367634252543</v>
      </c>
      <c r="BC6" s="21">
        <v>1878239.33</v>
      </c>
      <c r="BD6" s="19">
        <v>3</v>
      </c>
      <c r="BE6" s="20" t="s">
        <v>9</v>
      </c>
      <c r="BF6" s="21">
        <v>471</v>
      </c>
      <c r="BG6" s="21">
        <f t="shared" si="11"/>
        <v>4040.6282802547771</v>
      </c>
      <c r="BH6" s="21">
        <v>1903135.92</v>
      </c>
      <c r="BI6" s="19">
        <v>3</v>
      </c>
      <c r="BJ6" s="20" t="s">
        <v>9</v>
      </c>
      <c r="BK6" s="21">
        <v>4484</v>
      </c>
      <c r="BL6" s="21">
        <f t="shared" si="12"/>
        <v>3120.0946208742193</v>
      </c>
      <c r="BM6" s="21">
        <v>13990504.279999999</v>
      </c>
      <c r="BN6" s="29">
        <f t="shared" si="13"/>
        <v>4.3987521826992879E-2</v>
      </c>
      <c r="BO6" s="29">
        <f t="shared" si="14"/>
        <v>3.8153419836795086E-2</v>
      </c>
    </row>
    <row r="7" spans="1:67" x14ac:dyDescent="0.3">
      <c r="A7" s="19">
        <v>4</v>
      </c>
      <c r="B7" s="20" t="s">
        <v>6</v>
      </c>
      <c r="C7" s="21">
        <v>468</v>
      </c>
      <c r="D7" s="21">
        <f t="shared" si="0"/>
        <v>3025.8108974358975</v>
      </c>
      <c r="E7" s="21">
        <v>1416079.5</v>
      </c>
      <c r="F7" s="19">
        <v>4</v>
      </c>
      <c r="G7" s="20" t="s">
        <v>10</v>
      </c>
      <c r="H7" s="21">
        <v>311</v>
      </c>
      <c r="I7" s="21">
        <f t="shared" si="1"/>
        <v>4257.7161093247587</v>
      </c>
      <c r="J7" s="21">
        <v>1324149.71</v>
      </c>
      <c r="K7" s="19">
        <v>4</v>
      </c>
      <c r="L7" s="20" t="s">
        <v>9</v>
      </c>
      <c r="M7" s="21">
        <v>354</v>
      </c>
      <c r="N7" s="21">
        <f t="shared" si="2"/>
        <v>2952.9949717514123</v>
      </c>
      <c r="O7" s="21">
        <v>1045360.22</v>
      </c>
      <c r="P7" s="19">
        <v>4</v>
      </c>
      <c r="Q7" s="20" t="s">
        <v>108</v>
      </c>
      <c r="R7" s="21">
        <v>261</v>
      </c>
      <c r="S7" s="21">
        <f t="shared" si="3"/>
        <v>3520.9263218390806</v>
      </c>
      <c r="T7" s="21">
        <v>918961.77</v>
      </c>
      <c r="U7" s="19">
        <v>4</v>
      </c>
      <c r="V7" s="20" t="s">
        <v>108</v>
      </c>
      <c r="W7" s="21">
        <v>363</v>
      </c>
      <c r="X7" s="21">
        <f t="shared" si="4"/>
        <v>3449.8748209366395</v>
      </c>
      <c r="Y7" s="21">
        <v>1252304.56</v>
      </c>
      <c r="Z7" s="19">
        <v>4</v>
      </c>
      <c r="AA7" s="20" t="s">
        <v>108</v>
      </c>
      <c r="AB7" s="21">
        <v>388</v>
      </c>
      <c r="AC7" s="21">
        <f t="shared" si="5"/>
        <v>3310.79162371134</v>
      </c>
      <c r="AD7" s="21">
        <v>1284587.1499999999</v>
      </c>
      <c r="AE7" s="19">
        <v>4</v>
      </c>
      <c r="AF7" s="20" t="s">
        <v>6</v>
      </c>
      <c r="AG7" s="21">
        <v>486</v>
      </c>
      <c r="AH7" s="21">
        <f t="shared" si="6"/>
        <v>2978.2761728395062</v>
      </c>
      <c r="AI7" s="21">
        <v>1447442.22</v>
      </c>
      <c r="AJ7" s="19">
        <v>4</v>
      </c>
      <c r="AK7" s="20" t="s">
        <v>109</v>
      </c>
      <c r="AL7" s="21">
        <v>577</v>
      </c>
      <c r="AM7" s="21">
        <f t="shared" si="7"/>
        <v>4108.8987001733103</v>
      </c>
      <c r="AN7" s="21">
        <v>2370834.5499999998</v>
      </c>
      <c r="AO7" s="19">
        <v>4</v>
      </c>
      <c r="AP7" s="20" t="s">
        <v>110</v>
      </c>
      <c r="AQ7" s="21">
        <v>323</v>
      </c>
      <c r="AR7" s="21">
        <f t="shared" si="8"/>
        <v>3357.5213003095973</v>
      </c>
      <c r="AS7" s="21">
        <v>1084479.3799999999</v>
      </c>
      <c r="AT7" s="19">
        <v>4</v>
      </c>
      <c r="AU7" s="20" t="s">
        <v>111</v>
      </c>
      <c r="AV7" s="21">
        <v>299</v>
      </c>
      <c r="AW7" s="21">
        <f t="shared" si="9"/>
        <v>3054.018026755853</v>
      </c>
      <c r="AX7" s="21">
        <v>913151.39</v>
      </c>
      <c r="AY7" s="19">
        <v>4</v>
      </c>
      <c r="AZ7" s="20" t="s">
        <v>10</v>
      </c>
      <c r="BA7" s="21">
        <v>574</v>
      </c>
      <c r="BB7" s="21">
        <f t="shared" si="10"/>
        <v>3643.6961672473867</v>
      </c>
      <c r="BC7" s="21">
        <v>2091481.6</v>
      </c>
      <c r="BD7" s="19">
        <v>4</v>
      </c>
      <c r="BE7" s="20" t="s">
        <v>111</v>
      </c>
      <c r="BF7" s="21">
        <v>416</v>
      </c>
      <c r="BG7" s="21">
        <f t="shared" si="11"/>
        <v>3937.5648076923076</v>
      </c>
      <c r="BH7" s="21">
        <v>1638026.96</v>
      </c>
      <c r="BI7" s="19">
        <v>4</v>
      </c>
      <c r="BJ7" s="20" t="s">
        <v>110</v>
      </c>
      <c r="BK7" s="21">
        <v>4225</v>
      </c>
      <c r="BL7" s="21">
        <f t="shared" si="12"/>
        <v>3598.8525822485208</v>
      </c>
      <c r="BM7" s="21">
        <v>15205152.16</v>
      </c>
      <c r="BN7" s="29">
        <f t="shared" si="13"/>
        <v>4.1446761757146504E-2</v>
      </c>
      <c r="BO7" s="29">
        <f t="shared" si="14"/>
        <v>4.146587874406709E-2</v>
      </c>
    </row>
    <row r="8" spans="1:67" x14ac:dyDescent="0.3">
      <c r="A8" s="19">
        <v>5</v>
      </c>
      <c r="B8" s="20" t="s">
        <v>17</v>
      </c>
      <c r="C8" s="21">
        <v>398</v>
      </c>
      <c r="D8" s="21">
        <f t="shared" si="0"/>
        <v>3727.0925879396987</v>
      </c>
      <c r="E8" s="21">
        <v>1483382.85</v>
      </c>
      <c r="F8" s="19">
        <v>5</v>
      </c>
      <c r="G8" s="20" t="s">
        <v>18</v>
      </c>
      <c r="H8" s="21">
        <v>308</v>
      </c>
      <c r="I8" s="21">
        <f t="shared" si="1"/>
        <v>4169.3912012987012</v>
      </c>
      <c r="J8" s="21">
        <v>1284172.49</v>
      </c>
      <c r="K8" s="19">
        <v>5</v>
      </c>
      <c r="L8" s="20" t="s">
        <v>19</v>
      </c>
      <c r="M8" s="21">
        <v>328</v>
      </c>
      <c r="N8" s="21">
        <f t="shared" si="2"/>
        <v>3934.0017378048783</v>
      </c>
      <c r="O8" s="21">
        <v>1290352.57</v>
      </c>
      <c r="P8" s="19">
        <v>5</v>
      </c>
      <c r="Q8" s="20" t="s">
        <v>17</v>
      </c>
      <c r="R8" s="21">
        <v>257</v>
      </c>
      <c r="S8" s="21">
        <f t="shared" si="3"/>
        <v>3468.2809338521397</v>
      </c>
      <c r="T8" s="21">
        <v>891348.2</v>
      </c>
      <c r="U8" s="19">
        <v>5</v>
      </c>
      <c r="V8" s="20" t="s">
        <v>8</v>
      </c>
      <c r="W8" s="21">
        <v>356</v>
      </c>
      <c r="X8" s="21">
        <f t="shared" si="4"/>
        <v>3168.1132584269667</v>
      </c>
      <c r="Y8" s="21">
        <v>1127848.32</v>
      </c>
      <c r="Z8" s="19">
        <v>5</v>
      </c>
      <c r="AA8" s="20" t="s">
        <v>111</v>
      </c>
      <c r="AB8" s="21">
        <v>354</v>
      </c>
      <c r="AC8" s="21">
        <f t="shared" si="5"/>
        <v>3598.6067231638417</v>
      </c>
      <c r="AD8" s="21">
        <v>1273906.78</v>
      </c>
      <c r="AE8" s="19">
        <v>5</v>
      </c>
      <c r="AF8" s="20" t="s">
        <v>21</v>
      </c>
      <c r="AG8" s="21">
        <v>481</v>
      </c>
      <c r="AH8" s="21">
        <f t="shared" si="6"/>
        <v>3815.5717463617466</v>
      </c>
      <c r="AI8" s="21">
        <v>1835290.01</v>
      </c>
      <c r="AJ8" s="19">
        <v>5</v>
      </c>
      <c r="AK8" s="20" t="s">
        <v>110</v>
      </c>
      <c r="AL8" s="21">
        <v>465</v>
      </c>
      <c r="AM8" s="21">
        <f t="shared" si="7"/>
        <v>3346.3358064516128</v>
      </c>
      <c r="AN8" s="21">
        <v>1556046.15</v>
      </c>
      <c r="AO8" s="19">
        <v>5</v>
      </c>
      <c r="AP8" s="20" t="s">
        <v>8</v>
      </c>
      <c r="AQ8" s="21">
        <v>308</v>
      </c>
      <c r="AR8" s="21">
        <f t="shared" si="8"/>
        <v>2996.0259740259739</v>
      </c>
      <c r="AS8" s="21">
        <v>922776</v>
      </c>
      <c r="AT8" s="19">
        <v>5</v>
      </c>
      <c r="AU8" s="20" t="s">
        <v>22</v>
      </c>
      <c r="AV8" s="21">
        <v>290</v>
      </c>
      <c r="AW8" s="21">
        <f t="shared" si="9"/>
        <v>3231.1096896551726</v>
      </c>
      <c r="AX8" s="21">
        <v>937021.81</v>
      </c>
      <c r="AY8" s="19">
        <v>5</v>
      </c>
      <c r="AZ8" s="20" t="s">
        <v>9</v>
      </c>
      <c r="BA8" s="21">
        <v>415</v>
      </c>
      <c r="BB8" s="21">
        <f t="shared" si="10"/>
        <v>2986.2008915662655</v>
      </c>
      <c r="BC8" s="21">
        <v>1239273.3700000001</v>
      </c>
      <c r="BD8" s="19">
        <v>5</v>
      </c>
      <c r="BE8" s="20" t="s">
        <v>8</v>
      </c>
      <c r="BF8" s="21">
        <v>394</v>
      </c>
      <c r="BG8" s="21">
        <f t="shared" si="11"/>
        <v>3804.3447461928936</v>
      </c>
      <c r="BH8" s="21">
        <v>1498911.83</v>
      </c>
      <c r="BI8" s="19">
        <v>5</v>
      </c>
      <c r="BJ8" s="20" t="s">
        <v>22</v>
      </c>
      <c r="BK8" s="21">
        <v>3835</v>
      </c>
      <c r="BL8" s="21">
        <f t="shared" si="12"/>
        <v>3270.9969256844852</v>
      </c>
      <c r="BM8" s="21">
        <v>12544273.210000001</v>
      </c>
      <c r="BN8" s="29">
        <f t="shared" si="13"/>
        <v>3.7620906825717594E-2</v>
      </c>
      <c r="BO8" s="29">
        <f t="shared" si="14"/>
        <v>3.4209411808892365E-2</v>
      </c>
    </row>
    <row r="9" spans="1:67" x14ac:dyDescent="0.3">
      <c r="A9" s="19">
        <v>6</v>
      </c>
      <c r="B9" s="20" t="s">
        <v>9</v>
      </c>
      <c r="C9" s="21">
        <v>375</v>
      </c>
      <c r="D9" s="21">
        <f t="shared" si="0"/>
        <v>3300.3064799999997</v>
      </c>
      <c r="E9" s="21">
        <v>1237614.93</v>
      </c>
      <c r="F9" s="19">
        <v>6</v>
      </c>
      <c r="G9" s="20" t="s">
        <v>17</v>
      </c>
      <c r="H9" s="21">
        <v>304</v>
      </c>
      <c r="I9" s="21">
        <f t="shared" si="1"/>
        <v>3736.5031249999997</v>
      </c>
      <c r="J9" s="21">
        <v>1135896.95</v>
      </c>
      <c r="K9" s="19">
        <v>6</v>
      </c>
      <c r="L9" s="20" t="s">
        <v>10</v>
      </c>
      <c r="M9" s="21">
        <v>322</v>
      </c>
      <c r="N9" s="21">
        <f t="shared" si="2"/>
        <v>3931.3149068322978</v>
      </c>
      <c r="O9" s="21">
        <v>1265883.3999999999</v>
      </c>
      <c r="P9" s="19">
        <v>6</v>
      </c>
      <c r="Q9" s="20" t="s">
        <v>110</v>
      </c>
      <c r="R9" s="21">
        <v>253</v>
      </c>
      <c r="S9" s="21">
        <f t="shared" si="3"/>
        <v>3467.3943873517787</v>
      </c>
      <c r="T9" s="21">
        <v>877250.78</v>
      </c>
      <c r="U9" s="19">
        <v>6</v>
      </c>
      <c r="V9" s="20" t="s">
        <v>22</v>
      </c>
      <c r="W9" s="21">
        <v>352</v>
      </c>
      <c r="X9" s="21">
        <f t="shared" si="4"/>
        <v>2604.3596306818181</v>
      </c>
      <c r="Y9" s="21">
        <v>916734.59</v>
      </c>
      <c r="Z9" s="19">
        <v>6</v>
      </c>
      <c r="AA9" s="20" t="s">
        <v>110</v>
      </c>
      <c r="AB9" s="21">
        <v>288</v>
      </c>
      <c r="AC9" s="21">
        <f t="shared" si="5"/>
        <v>3362.3708680555555</v>
      </c>
      <c r="AD9" s="21">
        <v>968362.81</v>
      </c>
      <c r="AE9" s="19">
        <v>6</v>
      </c>
      <c r="AF9" s="20" t="s">
        <v>111</v>
      </c>
      <c r="AG9" s="21">
        <v>468</v>
      </c>
      <c r="AH9" s="21">
        <f t="shared" si="6"/>
        <v>3304.2219017094021</v>
      </c>
      <c r="AI9" s="21">
        <v>1546375.85</v>
      </c>
      <c r="AJ9" s="19">
        <v>6</v>
      </c>
      <c r="AK9" s="20" t="s">
        <v>21</v>
      </c>
      <c r="AL9" s="21">
        <v>373</v>
      </c>
      <c r="AM9" s="21">
        <f t="shared" si="7"/>
        <v>3836.3235388739945</v>
      </c>
      <c r="AN9" s="21">
        <v>1430948.68</v>
      </c>
      <c r="AO9" s="19">
        <v>6</v>
      </c>
      <c r="AP9" s="20" t="s">
        <v>111</v>
      </c>
      <c r="AQ9" s="21">
        <v>297</v>
      </c>
      <c r="AR9" s="21">
        <f t="shared" si="8"/>
        <v>3319.971717171717</v>
      </c>
      <c r="AS9" s="21">
        <v>986031.6</v>
      </c>
      <c r="AT9" s="19">
        <v>6</v>
      </c>
      <c r="AU9" s="20" t="s">
        <v>9</v>
      </c>
      <c r="AV9" s="21">
        <v>275</v>
      </c>
      <c r="AW9" s="21">
        <f t="shared" si="9"/>
        <v>2700.0581818181818</v>
      </c>
      <c r="AX9" s="21">
        <v>742516</v>
      </c>
      <c r="AY9" s="19">
        <v>6</v>
      </c>
      <c r="AZ9" s="20" t="s">
        <v>108</v>
      </c>
      <c r="BA9" s="21">
        <v>397</v>
      </c>
      <c r="BB9" s="21">
        <f t="shared" si="10"/>
        <v>3775.790730478589</v>
      </c>
      <c r="BC9" s="21">
        <v>1498988.92</v>
      </c>
      <c r="BD9" s="19">
        <v>6</v>
      </c>
      <c r="BE9" s="20" t="s">
        <v>110</v>
      </c>
      <c r="BF9" s="21">
        <v>349</v>
      </c>
      <c r="BG9" s="21">
        <f t="shared" si="11"/>
        <v>3811.4671060171922</v>
      </c>
      <c r="BH9" s="21">
        <v>1330202.02</v>
      </c>
      <c r="BI9" s="19">
        <v>6</v>
      </c>
      <c r="BJ9" s="20" t="s">
        <v>108</v>
      </c>
      <c r="BK9" s="21">
        <v>3811</v>
      </c>
      <c r="BL9" s="21">
        <f t="shared" si="12"/>
        <v>3765.6792495408026</v>
      </c>
      <c r="BM9" s="21">
        <v>14351003.619999999</v>
      </c>
      <c r="BN9" s="29">
        <f t="shared" si="13"/>
        <v>3.7385469599168122E-2</v>
      </c>
      <c r="BO9" s="29">
        <f t="shared" si="14"/>
        <v>3.9136535412519532E-2</v>
      </c>
    </row>
    <row r="10" spans="1:67" x14ac:dyDescent="0.3">
      <c r="A10" s="19">
        <v>7</v>
      </c>
      <c r="B10" s="20" t="s">
        <v>108</v>
      </c>
      <c r="C10" s="21">
        <v>368</v>
      </c>
      <c r="D10" s="21">
        <f t="shared" si="0"/>
        <v>3993.6611141304347</v>
      </c>
      <c r="E10" s="21">
        <v>1469667.29</v>
      </c>
      <c r="F10" s="19">
        <v>7</v>
      </c>
      <c r="G10" s="20" t="s">
        <v>9</v>
      </c>
      <c r="H10" s="21">
        <v>297</v>
      </c>
      <c r="I10" s="21">
        <f t="shared" si="1"/>
        <v>3188.6869023569025</v>
      </c>
      <c r="J10" s="21">
        <v>947040.01</v>
      </c>
      <c r="K10" s="19">
        <v>7</v>
      </c>
      <c r="L10" s="20" t="s">
        <v>17</v>
      </c>
      <c r="M10" s="21">
        <v>286</v>
      </c>
      <c r="N10" s="21">
        <f t="shared" si="2"/>
        <v>3436.5412237762239</v>
      </c>
      <c r="O10" s="21">
        <v>982850.79</v>
      </c>
      <c r="P10" s="19">
        <v>7</v>
      </c>
      <c r="Q10" s="20" t="s">
        <v>8</v>
      </c>
      <c r="R10" s="21">
        <v>212</v>
      </c>
      <c r="S10" s="21">
        <f t="shared" si="3"/>
        <v>3885.281650943396</v>
      </c>
      <c r="T10" s="21">
        <v>823679.71</v>
      </c>
      <c r="U10" s="19">
        <v>7</v>
      </c>
      <c r="V10" s="20" t="s">
        <v>9</v>
      </c>
      <c r="W10" s="21">
        <v>335</v>
      </c>
      <c r="X10" s="21">
        <f t="shared" si="4"/>
        <v>2777.8163880597012</v>
      </c>
      <c r="Y10" s="21">
        <v>930568.49</v>
      </c>
      <c r="Z10" s="19">
        <v>7</v>
      </c>
      <c r="AA10" s="20" t="s">
        <v>17</v>
      </c>
      <c r="AB10" s="21">
        <v>285</v>
      </c>
      <c r="AC10" s="21">
        <f t="shared" si="5"/>
        <v>2884.6662456140352</v>
      </c>
      <c r="AD10" s="21">
        <v>822129.88</v>
      </c>
      <c r="AE10" s="19">
        <v>7</v>
      </c>
      <c r="AF10" s="20" t="s">
        <v>108</v>
      </c>
      <c r="AG10" s="21">
        <v>414</v>
      </c>
      <c r="AH10" s="21">
        <f t="shared" si="6"/>
        <v>4021.0552415458942</v>
      </c>
      <c r="AI10" s="21">
        <v>1664716.87</v>
      </c>
      <c r="AJ10" s="19">
        <v>7</v>
      </c>
      <c r="AK10" s="20" t="s">
        <v>9</v>
      </c>
      <c r="AL10" s="21">
        <v>370</v>
      </c>
      <c r="AM10" s="21">
        <f t="shared" si="7"/>
        <v>3105.2792162162164</v>
      </c>
      <c r="AN10" s="21">
        <v>1148953.31</v>
      </c>
      <c r="AO10" s="19">
        <v>7</v>
      </c>
      <c r="AP10" s="20" t="s">
        <v>9</v>
      </c>
      <c r="AQ10" s="21">
        <v>275</v>
      </c>
      <c r="AR10" s="21">
        <f t="shared" si="8"/>
        <v>2599.5376363636365</v>
      </c>
      <c r="AS10" s="21">
        <v>714872.85</v>
      </c>
      <c r="AT10" s="19">
        <v>7</v>
      </c>
      <c r="AU10" s="20" t="s">
        <v>10</v>
      </c>
      <c r="AV10" s="21">
        <v>267</v>
      </c>
      <c r="AW10" s="21">
        <f t="shared" si="9"/>
        <v>3048.9539325842693</v>
      </c>
      <c r="AX10" s="21">
        <v>814070.7</v>
      </c>
      <c r="AY10" s="19">
        <v>7</v>
      </c>
      <c r="AZ10" s="20" t="s">
        <v>8</v>
      </c>
      <c r="BA10" s="21">
        <v>364</v>
      </c>
      <c r="BB10" s="21">
        <f t="shared" si="10"/>
        <v>3613.3093956043958</v>
      </c>
      <c r="BC10" s="21">
        <v>1315244.6200000001</v>
      </c>
      <c r="BD10" s="19">
        <v>7</v>
      </c>
      <c r="BE10" s="20" t="s">
        <v>17</v>
      </c>
      <c r="BF10" s="21">
        <v>331</v>
      </c>
      <c r="BG10" s="21">
        <f t="shared" si="11"/>
        <v>3578.2414501510571</v>
      </c>
      <c r="BH10" s="21">
        <v>1184397.92</v>
      </c>
      <c r="BI10" s="19">
        <v>7</v>
      </c>
      <c r="BJ10" s="20" t="s">
        <v>17</v>
      </c>
      <c r="BK10" s="21">
        <v>3501</v>
      </c>
      <c r="BL10" s="21">
        <f t="shared" si="12"/>
        <v>3441.3463010568412</v>
      </c>
      <c r="BM10" s="21">
        <v>12048153.4</v>
      </c>
      <c r="BN10" s="29">
        <f t="shared" si="13"/>
        <v>3.4344405422904116E-2</v>
      </c>
      <c r="BO10" s="29">
        <f t="shared" si="14"/>
        <v>3.2856446467440001E-2</v>
      </c>
    </row>
    <row r="11" spans="1:67" x14ac:dyDescent="0.3">
      <c r="A11" s="19">
        <v>8</v>
      </c>
      <c r="B11" s="20" t="s">
        <v>19</v>
      </c>
      <c r="C11" s="21">
        <v>318</v>
      </c>
      <c r="D11" s="21">
        <f t="shared" si="0"/>
        <v>4855.7239308176104</v>
      </c>
      <c r="E11" s="21">
        <v>1544120.21</v>
      </c>
      <c r="F11" s="19">
        <v>8</v>
      </c>
      <c r="G11" s="20" t="s">
        <v>108</v>
      </c>
      <c r="H11" s="21">
        <v>295</v>
      </c>
      <c r="I11" s="21">
        <f t="shared" si="1"/>
        <v>4058.0473898305086</v>
      </c>
      <c r="J11" s="21">
        <v>1197123.98</v>
      </c>
      <c r="K11" s="19">
        <v>8</v>
      </c>
      <c r="L11" s="20" t="s">
        <v>8</v>
      </c>
      <c r="M11" s="21">
        <v>275</v>
      </c>
      <c r="N11" s="21">
        <f t="shared" si="2"/>
        <v>3354.0321090909088</v>
      </c>
      <c r="O11" s="21">
        <v>922358.83</v>
      </c>
      <c r="P11" s="19">
        <v>8</v>
      </c>
      <c r="Q11" s="20" t="s">
        <v>109</v>
      </c>
      <c r="R11" s="21">
        <v>189</v>
      </c>
      <c r="S11" s="21">
        <f t="shared" si="3"/>
        <v>3368.4662433862431</v>
      </c>
      <c r="T11" s="21">
        <v>636640.12</v>
      </c>
      <c r="U11" s="19">
        <v>8</v>
      </c>
      <c r="V11" s="20" t="s">
        <v>10</v>
      </c>
      <c r="W11" s="21">
        <v>256</v>
      </c>
      <c r="X11" s="21">
        <f t="shared" si="4"/>
        <v>3442.5012109375002</v>
      </c>
      <c r="Y11" s="21">
        <v>881280.31</v>
      </c>
      <c r="Z11" s="19">
        <v>8</v>
      </c>
      <c r="AA11" s="20" t="s">
        <v>22</v>
      </c>
      <c r="AB11" s="21">
        <v>282</v>
      </c>
      <c r="AC11" s="21">
        <f t="shared" si="5"/>
        <v>3434.3708865248227</v>
      </c>
      <c r="AD11" s="21">
        <v>968492.59</v>
      </c>
      <c r="AE11" s="19">
        <v>8</v>
      </c>
      <c r="AF11" s="20" t="s">
        <v>9</v>
      </c>
      <c r="AG11" s="21">
        <v>412</v>
      </c>
      <c r="AH11" s="21">
        <f t="shared" si="6"/>
        <v>3065.341310679612</v>
      </c>
      <c r="AI11" s="21">
        <v>1262920.6200000001</v>
      </c>
      <c r="AJ11" s="19">
        <v>8</v>
      </c>
      <c r="AK11" s="20" t="s">
        <v>111</v>
      </c>
      <c r="AL11" s="21">
        <v>363</v>
      </c>
      <c r="AM11" s="21">
        <f t="shared" si="7"/>
        <v>3183.0166942148762</v>
      </c>
      <c r="AN11" s="21">
        <v>1155435.06</v>
      </c>
      <c r="AO11" s="19">
        <v>8</v>
      </c>
      <c r="AP11" s="20" t="s">
        <v>17</v>
      </c>
      <c r="AQ11" s="21">
        <v>207</v>
      </c>
      <c r="AR11" s="21">
        <f t="shared" si="8"/>
        <v>3067.0584057971014</v>
      </c>
      <c r="AS11" s="21">
        <v>634881.09</v>
      </c>
      <c r="AT11" s="19">
        <v>8</v>
      </c>
      <c r="AU11" s="20" t="s">
        <v>110</v>
      </c>
      <c r="AV11" s="21">
        <v>245</v>
      </c>
      <c r="AW11" s="21">
        <f t="shared" si="9"/>
        <v>3322.2367346938777</v>
      </c>
      <c r="AX11" s="21">
        <v>813948</v>
      </c>
      <c r="AY11" s="19">
        <v>8</v>
      </c>
      <c r="AZ11" s="20" t="s">
        <v>17</v>
      </c>
      <c r="BA11" s="21">
        <v>311</v>
      </c>
      <c r="BB11" s="21">
        <f t="shared" si="10"/>
        <v>3715.6772990353693</v>
      </c>
      <c r="BC11" s="21">
        <v>1155575.6399999999</v>
      </c>
      <c r="BD11" s="19">
        <v>8</v>
      </c>
      <c r="BE11" s="20" t="s">
        <v>10</v>
      </c>
      <c r="BF11" s="21">
        <v>330</v>
      </c>
      <c r="BG11" s="21">
        <f t="shared" si="11"/>
        <v>4068.153878787879</v>
      </c>
      <c r="BH11" s="21">
        <v>1342490.78</v>
      </c>
      <c r="BI11" s="19">
        <v>8</v>
      </c>
      <c r="BJ11" s="20" t="s">
        <v>10</v>
      </c>
      <c r="BK11" s="21">
        <v>3420</v>
      </c>
      <c r="BL11" s="21">
        <f t="shared" si="12"/>
        <v>3689.4970233918129</v>
      </c>
      <c r="BM11" s="21">
        <v>12618079.82</v>
      </c>
      <c r="BN11" s="29">
        <f t="shared" si="13"/>
        <v>3.354980478329965E-2</v>
      </c>
      <c r="BO11" s="29">
        <f t="shared" si="14"/>
        <v>3.4410689369851061E-2</v>
      </c>
    </row>
    <row r="12" spans="1:67" x14ac:dyDescent="0.3">
      <c r="A12" s="19">
        <v>9</v>
      </c>
      <c r="B12" s="20" t="s">
        <v>18</v>
      </c>
      <c r="C12" s="21">
        <v>313</v>
      </c>
      <c r="D12" s="21">
        <f t="shared" si="0"/>
        <v>5137.8926198083063</v>
      </c>
      <c r="E12" s="21">
        <v>1608160.39</v>
      </c>
      <c r="F12" s="19">
        <v>9</v>
      </c>
      <c r="G12" s="20" t="s">
        <v>14</v>
      </c>
      <c r="H12" s="21">
        <v>282</v>
      </c>
      <c r="I12" s="21">
        <f t="shared" si="1"/>
        <v>4376.2170567375888</v>
      </c>
      <c r="J12" s="21">
        <v>1234093.21</v>
      </c>
      <c r="K12" s="19">
        <v>9</v>
      </c>
      <c r="L12" s="20" t="s">
        <v>14</v>
      </c>
      <c r="M12" s="21">
        <v>256</v>
      </c>
      <c r="N12" s="21">
        <f t="shared" si="2"/>
        <v>4049.1554296875001</v>
      </c>
      <c r="O12" s="21">
        <v>1036583.79</v>
      </c>
      <c r="P12" s="19">
        <v>9</v>
      </c>
      <c r="Q12" s="20" t="s">
        <v>22</v>
      </c>
      <c r="R12" s="21">
        <v>180</v>
      </c>
      <c r="S12" s="21">
        <f t="shared" si="3"/>
        <v>4338.4282222222218</v>
      </c>
      <c r="T12" s="21">
        <v>780917.08</v>
      </c>
      <c r="U12" s="19">
        <v>9</v>
      </c>
      <c r="V12" s="20" t="s">
        <v>111</v>
      </c>
      <c r="W12" s="21">
        <v>223</v>
      </c>
      <c r="X12" s="21">
        <f t="shared" si="4"/>
        <v>3458.3353363228703</v>
      </c>
      <c r="Y12" s="21">
        <v>771208.78</v>
      </c>
      <c r="Z12" s="19">
        <v>9</v>
      </c>
      <c r="AA12" s="20" t="s">
        <v>8</v>
      </c>
      <c r="AB12" s="21">
        <v>242</v>
      </c>
      <c r="AC12" s="21">
        <f t="shared" si="5"/>
        <v>3469.6171487603306</v>
      </c>
      <c r="AD12" s="21">
        <v>839647.35</v>
      </c>
      <c r="AE12" s="19">
        <v>9</v>
      </c>
      <c r="AF12" s="20" t="s">
        <v>17</v>
      </c>
      <c r="AG12" s="21">
        <v>366</v>
      </c>
      <c r="AH12" s="21">
        <f t="shared" si="6"/>
        <v>3502.7824316939896</v>
      </c>
      <c r="AI12" s="21">
        <v>1282018.3700000001</v>
      </c>
      <c r="AJ12" s="19">
        <v>9</v>
      </c>
      <c r="AK12" s="20" t="s">
        <v>17</v>
      </c>
      <c r="AL12" s="21">
        <v>312</v>
      </c>
      <c r="AM12" s="21">
        <f t="shared" si="7"/>
        <v>3272.6731730769234</v>
      </c>
      <c r="AN12" s="21">
        <v>1021074.03</v>
      </c>
      <c r="AO12" s="19">
        <v>9</v>
      </c>
      <c r="AP12" s="20" t="s">
        <v>13</v>
      </c>
      <c r="AQ12" s="21">
        <v>180</v>
      </c>
      <c r="AR12" s="21">
        <f t="shared" si="8"/>
        <v>3507.9083333333333</v>
      </c>
      <c r="AS12" s="21">
        <v>631423.5</v>
      </c>
      <c r="AT12" s="19">
        <v>9</v>
      </c>
      <c r="AU12" s="20" t="s">
        <v>108</v>
      </c>
      <c r="AV12" s="21">
        <v>227</v>
      </c>
      <c r="AW12" s="21">
        <f t="shared" si="9"/>
        <v>3461.5509691629954</v>
      </c>
      <c r="AX12" s="21">
        <v>785772.07</v>
      </c>
      <c r="AY12" s="19">
        <v>9</v>
      </c>
      <c r="AZ12" s="20" t="s">
        <v>18</v>
      </c>
      <c r="BA12" s="21">
        <v>297</v>
      </c>
      <c r="BB12" s="21">
        <f t="shared" si="10"/>
        <v>4127.3553872053872</v>
      </c>
      <c r="BC12" s="21">
        <v>1225824.55</v>
      </c>
      <c r="BD12" s="19">
        <v>9</v>
      </c>
      <c r="BE12" s="20" t="s">
        <v>108</v>
      </c>
      <c r="BF12" s="21">
        <v>281</v>
      </c>
      <c r="BG12" s="21">
        <f t="shared" si="11"/>
        <v>4524.6397153024909</v>
      </c>
      <c r="BH12" s="21">
        <v>1271423.76</v>
      </c>
      <c r="BI12" s="19">
        <v>9</v>
      </c>
      <c r="BJ12" s="20" t="s">
        <v>111</v>
      </c>
      <c r="BK12" s="21">
        <v>3366</v>
      </c>
      <c r="BL12" s="21">
        <f t="shared" si="12"/>
        <v>3508.7118538324421</v>
      </c>
      <c r="BM12" s="21">
        <v>11810324.1</v>
      </c>
      <c r="BN12" s="29">
        <f t="shared" si="13"/>
        <v>3.3020071023563344E-2</v>
      </c>
      <c r="BO12" s="29">
        <f t="shared" si="14"/>
        <v>3.2207863617902344E-2</v>
      </c>
    </row>
    <row r="13" spans="1:67" ht="15" thickBot="1" x14ac:dyDescent="0.35">
      <c r="A13" s="10">
        <v>10</v>
      </c>
      <c r="B13" s="24" t="s">
        <v>10</v>
      </c>
      <c r="C13" s="25">
        <v>276</v>
      </c>
      <c r="D13" s="25">
        <f t="shared" si="0"/>
        <v>4324.7003260869569</v>
      </c>
      <c r="E13" s="25">
        <v>1193617.29</v>
      </c>
      <c r="F13" s="6">
        <v>10</v>
      </c>
      <c r="G13" s="24" t="s">
        <v>8</v>
      </c>
      <c r="H13" s="25">
        <v>250</v>
      </c>
      <c r="I13" s="25">
        <f t="shared" si="1"/>
        <v>3822.6326800000002</v>
      </c>
      <c r="J13" s="25">
        <v>955658.17</v>
      </c>
      <c r="K13" s="28">
        <v>10</v>
      </c>
      <c r="L13" s="24" t="s">
        <v>110</v>
      </c>
      <c r="M13" s="25">
        <v>247</v>
      </c>
      <c r="N13" s="25">
        <f t="shared" si="2"/>
        <v>3429.6449797570854</v>
      </c>
      <c r="O13" s="25">
        <v>847122.31</v>
      </c>
      <c r="P13" s="28">
        <v>10</v>
      </c>
      <c r="Q13" s="24" t="s">
        <v>111</v>
      </c>
      <c r="R13" s="25">
        <v>170</v>
      </c>
      <c r="S13" s="25">
        <f t="shared" si="3"/>
        <v>3713.9419411764707</v>
      </c>
      <c r="T13" s="25">
        <v>631370.13</v>
      </c>
      <c r="U13" s="28">
        <v>10</v>
      </c>
      <c r="V13" s="24" t="s">
        <v>13</v>
      </c>
      <c r="W13" s="25">
        <v>222</v>
      </c>
      <c r="X13" s="25">
        <f t="shared" si="4"/>
        <v>3368.7204504504502</v>
      </c>
      <c r="Y13" s="25">
        <v>747855.94</v>
      </c>
      <c r="Z13" s="28">
        <v>10</v>
      </c>
      <c r="AA13" s="24" t="s">
        <v>10</v>
      </c>
      <c r="AB13" s="25">
        <v>222</v>
      </c>
      <c r="AC13" s="25">
        <f t="shared" si="5"/>
        <v>2853.5417117117117</v>
      </c>
      <c r="AD13" s="25">
        <v>633486.26</v>
      </c>
      <c r="AE13" s="28">
        <v>10</v>
      </c>
      <c r="AF13" s="24" t="s">
        <v>110</v>
      </c>
      <c r="AG13" s="25">
        <v>323</v>
      </c>
      <c r="AH13" s="25">
        <f t="shared" si="6"/>
        <v>3350.917120743034</v>
      </c>
      <c r="AI13" s="25">
        <v>1082346.23</v>
      </c>
      <c r="AJ13" s="28">
        <v>10</v>
      </c>
      <c r="AK13" s="24" t="s">
        <v>11</v>
      </c>
      <c r="AL13" s="25">
        <v>271</v>
      </c>
      <c r="AM13" s="25">
        <f t="shared" si="7"/>
        <v>3759.2177490774907</v>
      </c>
      <c r="AN13" s="25">
        <v>1018748.01</v>
      </c>
      <c r="AO13" s="28">
        <v>10</v>
      </c>
      <c r="AP13" s="24" t="s">
        <v>10</v>
      </c>
      <c r="AQ13" s="25">
        <v>177</v>
      </c>
      <c r="AR13" s="25">
        <f t="shared" si="8"/>
        <v>3121.0527118644063</v>
      </c>
      <c r="AS13" s="25">
        <v>552426.32999999996</v>
      </c>
      <c r="AT13" s="28">
        <v>10</v>
      </c>
      <c r="AU13" s="24" t="s">
        <v>17</v>
      </c>
      <c r="AV13" s="25">
        <v>215</v>
      </c>
      <c r="AW13" s="25">
        <f t="shared" si="9"/>
        <v>3631.6883720930232</v>
      </c>
      <c r="AX13" s="25">
        <v>780813</v>
      </c>
      <c r="AY13" s="28">
        <v>10</v>
      </c>
      <c r="AZ13" s="24" t="s">
        <v>110</v>
      </c>
      <c r="BA13" s="25">
        <v>278</v>
      </c>
      <c r="BB13" s="25">
        <f t="shared" si="10"/>
        <v>3508.909712230216</v>
      </c>
      <c r="BC13" s="25">
        <v>975476.9</v>
      </c>
      <c r="BD13" s="28">
        <v>10</v>
      </c>
      <c r="BE13" s="24" t="s">
        <v>18</v>
      </c>
      <c r="BF13" s="25">
        <v>266</v>
      </c>
      <c r="BG13" s="25">
        <f t="shared" si="11"/>
        <v>4449.4025187969928</v>
      </c>
      <c r="BH13" s="25">
        <v>1183541.07</v>
      </c>
      <c r="BI13" s="10">
        <v>10</v>
      </c>
      <c r="BJ13" s="24" t="s">
        <v>8</v>
      </c>
      <c r="BK13" s="25">
        <v>3299</v>
      </c>
      <c r="BL13" s="25">
        <f t="shared" si="12"/>
        <v>3508.5450106092758</v>
      </c>
      <c r="BM13" s="25">
        <v>11574689.99</v>
      </c>
      <c r="BN13" s="29">
        <f t="shared" si="13"/>
        <v>3.2362808766112736E-2</v>
      </c>
      <c r="BO13" s="29">
        <f t="shared" si="14"/>
        <v>3.1565267257773179E-2</v>
      </c>
    </row>
    <row r="14" spans="1:67" x14ac:dyDescent="0.3">
      <c r="A14" s="19">
        <v>11</v>
      </c>
      <c r="B14" s="20" t="s">
        <v>8</v>
      </c>
      <c r="C14" s="21">
        <v>189</v>
      </c>
      <c r="D14" s="21">
        <f t="shared" si="0"/>
        <v>3778.8395767195771</v>
      </c>
      <c r="E14" s="21">
        <v>714200.68</v>
      </c>
      <c r="F14" s="19">
        <v>11</v>
      </c>
      <c r="G14" s="20" t="s">
        <v>11</v>
      </c>
      <c r="H14" s="21">
        <v>249</v>
      </c>
      <c r="I14" s="21">
        <f t="shared" si="1"/>
        <v>4397.2812851405624</v>
      </c>
      <c r="J14" s="21">
        <v>1094923.04</v>
      </c>
      <c r="K14" s="19">
        <v>11</v>
      </c>
      <c r="L14" s="20" t="s">
        <v>18</v>
      </c>
      <c r="M14" s="21">
        <v>223</v>
      </c>
      <c r="N14" s="21">
        <f t="shared" si="2"/>
        <v>3679.7126008968612</v>
      </c>
      <c r="O14" s="21">
        <v>820575.91</v>
      </c>
      <c r="P14" s="19">
        <v>11</v>
      </c>
      <c r="Q14" s="20" t="s">
        <v>11</v>
      </c>
      <c r="R14" s="21">
        <v>169</v>
      </c>
      <c r="S14" s="21">
        <f t="shared" si="3"/>
        <v>4556.3105325443785</v>
      </c>
      <c r="T14" s="21">
        <v>770016.48</v>
      </c>
      <c r="U14" s="19">
        <v>11</v>
      </c>
      <c r="V14" s="20" t="s">
        <v>11</v>
      </c>
      <c r="W14" s="21">
        <v>216</v>
      </c>
      <c r="X14" s="21">
        <f t="shared" si="4"/>
        <v>3788.5770833333336</v>
      </c>
      <c r="Y14" s="21">
        <v>818332.65</v>
      </c>
      <c r="Z14" s="19">
        <v>11</v>
      </c>
      <c r="AA14" s="20" t="s">
        <v>21</v>
      </c>
      <c r="AB14" s="21">
        <v>199</v>
      </c>
      <c r="AC14" s="21">
        <f t="shared" si="5"/>
        <v>4125.2523115577887</v>
      </c>
      <c r="AD14" s="21">
        <v>820925.21</v>
      </c>
      <c r="AE14" s="19">
        <v>11</v>
      </c>
      <c r="AF14" s="20" t="s">
        <v>10</v>
      </c>
      <c r="AG14" s="21">
        <v>314</v>
      </c>
      <c r="AH14" s="21">
        <f t="shared" si="6"/>
        <v>3240.2565286624204</v>
      </c>
      <c r="AI14" s="21">
        <v>1017440.55</v>
      </c>
      <c r="AJ14" s="19">
        <v>11</v>
      </c>
      <c r="AK14" s="20" t="s">
        <v>15</v>
      </c>
      <c r="AL14" s="21">
        <v>264</v>
      </c>
      <c r="AM14" s="21">
        <f t="shared" si="7"/>
        <v>4047.7366666666667</v>
      </c>
      <c r="AN14" s="21">
        <v>1068602.48</v>
      </c>
      <c r="AO14" s="19">
        <v>11</v>
      </c>
      <c r="AP14" s="20" t="s">
        <v>108</v>
      </c>
      <c r="AQ14" s="21">
        <v>170</v>
      </c>
      <c r="AR14" s="21">
        <f t="shared" si="8"/>
        <v>3830.578</v>
      </c>
      <c r="AS14" s="21">
        <v>651198.26</v>
      </c>
      <c r="AT14" s="19">
        <v>11</v>
      </c>
      <c r="AU14" s="20" t="s">
        <v>8</v>
      </c>
      <c r="AV14" s="21">
        <v>205</v>
      </c>
      <c r="AW14" s="21">
        <f t="shared" si="9"/>
        <v>3452.2700487804877</v>
      </c>
      <c r="AX14" s="21">
        <v>707715.36</v>
      </c>
      <c r="AY14" s="19">
        <v>11</v>
      </c>
      <c r="AZ14" s="20" t="s">
        <v>111</v>
      </c>
      <c r="BA14" s="21">
        <v>273</v>
      </c>
      <c r="BB14" s="21">
        <f t="shared" si="10"/>
        <v>3103.7815018315018</v>
      </c>
      <c r="BC14" s="21">
        <v>847332.35</v>
      </c>
      <c r="BD14" s="19">
        <v>11</v>
      </c>
      <c r="BE14" s="20" t="s">
        <v>12</v>
      </c>
      <c r="BF14" s="21">
        <v>254</v>
      </c>
      <c r="BG14" s="21">
        <f t="shared" si="11"/>
        <v>4444.3038976377948</v>
      </c>
      <c r="BH14" s="21">
        <v>1128853.19</v>
      </c>
      <c r="BI14" s="19">
        <v>11</v>
      </c>
      <c r="BJ14" s="20" t="s">
        <v>11</v>
      </c>
      <c r="BK14" s="21">
        <v>2576</v>
      </c>
      <c r="BL14" s="21">
        <f t="shared" si="12"/>
        <v>4108.3306327639757</v>
      </c>
      <c r="BM14" s="21">
        <v>10583059.710000001</v>
      </c>
      <c r="BN14" s="29">
        <f t="shared" si="13"/>
        <v>2.5270262316309914E-2</v>
      </c>
      <c r="BO14" s="29">
        <f t="shared" si="14"/>
        <v>2.8860998302307147E-2</v>
      </c>
    </row>
    <row r="15" spans="1:67" x14ac:dyDescent="0.3">
      <c r="A15" s="19">
        <v>12</v>
      </c>
      <c r="B15" s="20" t="s">
        <v>21</v>
      </c>
      <c r="C15" s="21">
        <v>185</v>
      </c>
      <c r="D15" s="21">
        <f t="shared" si="0"/>
        <v>5313.4150270270275</v>
      </c>
      <c r="E15" s="21">
        <v>982981.78</v>
      </c>
      <c r="F15" s="19">
        <v>12</v>
      </c>
      <c r="G15" s="20" t="s">
        <v>19</v>
      </c>
      <c r="H15" s="21">
        <v>229</v>
      </c>
      <c r="I15" s="21">
        <f t="shared" si="1"/>
        <v>4179.3003056768557</v>
      </c>
      <c r="J15" s="21">
        <v>957059.77</v>
      </c>
      <c r="K15" s="19">
        <v>12</v>
      </c>
      <c r="L15" s="20" t="s">
        <v>13</v>
      </c>
      <c r="M15" s="21">
        <v>180</v>
      </c>
      <c r="N15" s="21">
        <f t="shared" si="2"/>
        <v>3792.7438333333334</v>
      </c>
      <c r="O15" s="21">
        <v>682693.89</v>
      </c>
      <c r="P15" s="19">
        <v>12</v>
      </c>
      <c r="Q15" s="20" t="s">
        <v>19</v>
      </c>
      <c r="R15" s="21">
        <v>154</v>
      </c>
      <c r="S15" s="21">
        <f t="shared" si="3"/>
        <v>3729.0394155844151</v>
      </c>
      <c r="T15" s="21">
        <v>574272.06999999995</v>
      </c>
      <c r="U15" s="19">
        <v>12</v>
      </c>
      <c r="V15" s="20" t="s">
        <v>17</v>
      </c>
      <c r="W15" s="21">
        <v>210</v>
      </c>
      <c r="X15" s="21">
        <f t="shared" si="4"/>
        <v>2721.6277142857139</v>
      </c>
      <c r="Y15" s="21">
        <v>571541.81999999995</v>
      </c>
      <c r="Z15" s="19">
        <v>12</v>
      </c>
      <c r="AA15" s="20" t="s">
        <v>12</v>
      </c>
      <c r="AB15" s="21">
        <v>196</v>
      </c>
      <c r="AC15" s="21">
        <f t="shared" si="5"/>
        <v>3323.7893367346937</v>
      </c>
      <c r="AD15" s="21">
        <v>651462.71</v>
      </c>
      <c r="AE15" s="19">
        <v>12</v>
      </c>
      <c r="AF15" s="20" t="s">
        <v>11</v>
      </c>
      <c r="AG15" s="21">
        <v>289</v>
      </c>
      <c r="AH15" s="21">
        <f t="shared" si="6"/>
        <v>3404.162871972318</v>
      </c>
      <c r="AI15" s="21">
        <v>983803.07</v>
      </c>
      <c r="AJ15" s="19">
        <v>12</v>
      </c>
      <c r="AK15" s="20" t="s">
        <v>59</v>
      </c>
      <c r="AL15" s="21">
        <v>262</v>
      </c>
      <c r="AM15" s="21">
        <f t="shared" si="7"/>
        <v>4508.3898854961826</v>
      </c>
      <c r="AN15" s="21">
        <v>1181198.1499999999</v>
      </c>
      <c r="AO15" s="19">
        <v>12</v>
      </c>
      <c r="AP15" s="20" t="s">
        <v>12</v>
      </c>
      <c r="AQ15" s="21">
        <v>152</v>
      </c>
      <c r="AR15" s="21">
        <f t="shared" si="8"/>
        <v>3923.655131578947</v>
      </c>
      <c r="AS15" s="21">
        <v>596395.57999999996</v>
      </c>
      <c r="AT15" s="19">
        <v>12</v>
      </c>
      <c r="AU15" s="20" t="s">
        <v>16</v>
      </c>
      <c r="AV15" s="21">
        <v>202</v>
      </c>
      <c r="AW15" s="21">
        <f t="shared" si="9"/>
        <v>4390.9478712871287</v>
      </c>
      <c r="AX15" s="21">
        <v>886971.47</v>
      </c>
      <c r="AY15" s="19">
        <v>12</v>
      </c>
      <c r="AZ15" s="20" t="s">
        <v>21</v>
      </c>
      <c r="BA15" s="21">
        <v>244</v>
      </c>
      <c r="BB15" s="21">
        <f t="shared" si="10"/>
        <v>4490.5070081967215</v>
      </c>
      <c r="BC15" s="21">
        <v>1095683.71</v>
      </c>
      <c r="BD15" s="19">
        <v>12</v>
      </c>
      <c r="BE15" s="20" t="s">
        <v>19</v>
      </c>
      <c r="BF15" s="21">
        <v>254</v>
      </c>
      <c r="BG15" s="21">
        <f t="shared" si="11"/>
        <v>4339.3557480314967</v>
      </c>
      <c r="BH15" s="21">
        <v>1102196.3600000001</v>
      </c>
      <c r="BI15" s="19">
        <v>12</v>
      </c>
      <c r="BJ15" s="20" t="s">
        <v>12</v>
      </c>
      <c r="BK15" s="21">
        <v>2280</v>
      </c>
      <c r="BL15" s="21">
        <f t="shared" si="12"/>
        <v>3948.8319956140349</v>
      </c>
      <c r="BM15" s="21">
        <v>9003336.9499999993</v>
      </c>
      <c r="BN15" s="29">
        <f t="shared" si="13"/>
        <v>2.2366536522199769E-2</v>
      </c>
      <c r="BO15" s="29">
        <f t="shared" si="14"/>
        <v>2.4552945891774543E-2</v>
      </c>
    </row>
    <row r="16" spans="1:67" x14ac:dyDescent="0.3">
      <c r="A16" s="19">
        <v>13</v>
      </c>
      <c r="B16" s="20" t="s">
        <v>12</v>
      </c>
      <c r="C16" s="21">
        <v>175</v>
      </c>
      <c r="D16" s="21">
        <f t="shared" si="0"/>
        <v>4454.0708000000004</v>
      </c>
      <c r="E16" s="21">
        <v>779462.39</v>
      </c>
      <c r="F16" s="19">
        <v>13</v>
      </c>
      <c r="G16" s="20" t="s">
        <v>12</v>
      </c>
      <c r="H16" s="21">
        <v>178</v>
      </c>
      <c r="I16" s="21">
        <f t="shared" si="1"/>
        <v>4125.1598314606736</v>
      </c>
      <c r="J16" s="21">
        <v>734278.45</v>
      </c>
      <c r="K16" s="19">
        <v>13</v>
      </c>
      <c r="L16" s="20" t="s">
        <v>11</v>
      </c>
      <c r="M16" s="21">
        <v>167</v>
      </c>
      <c r="N16" s="21">
        <f t="shared" si="2"/>
        <v>3962.3339520958084</v>
      </c>
      <c r="O16" s="21">
        <v>661709.77</v>
      </c>
      <c r="P16" s="19">
        <v>13</v>
      </c>
      <c r="Q16" s="20" t="s">
        <v>18</v>
      </c>
      <c r="R16" s="21">
        <v>153</v>
      </c>
      <c r="S16" s="21">
        <f t="shared" si="3"/>
        <v>4267.2558169934646</v>
      </c>
      <c r="T16" s="21">
        <v>652890.14</v>
      </c>
      <c r="U16" s="19">
        <v>13</v>
      </c>
      <c r="V16" s="20" t="s">
        <v>12</v>
      </c>
      <c r="W16" s="21">
        <v>205</v>
      </c>
      <c r="X16" s="21">
        <f t="shared" si="4"/>
        <v>3607.0512195121951</v>
      </c>
      <c r="Y16" s="21">
        <v>739445.5</v>
      </c>
      <c r="Z16" s="19">
        <v>13</v>
      </c>
      <c r="AA16" s="20" t="s">
        <v>16</v>
      </c>
      <c r="AB16" s="21">
        <v>178</v>
      </c>
      <c r="AC16" s="21">
        <f t="shared" si="5"/>
        <v>4064.5339887640453</v>
      </c>
      <c r="AD16" s="21">
        <v>723487.05</v>
      </c>
      <c r="AE16" s="19">
        <v>13</v>
      </c>
      <c r="AF16" s="20" t="s">
        <v>12</v>
      </c>
      <c r="AG16" s="21">
        <v>273</v>
      </c>
      <c r="AH16" s="21">
        <f t="shared" si="6"/>
        <v>3339.9086446886449</v>
      </c>
      <c r="AI16" s="21">
        <v>911795.06</v>
      </c>
      <c r="AJ16" s="19">
        <v>13</v>
      </c>
      <c r="AK16" s="20" t="s">
        <v>108</v>
      </c>
      <c r="AL16" s="21">
        <v>248</v>
      </c>
      <c r="AM16" s="21">
        <f t="shared" si="7"/>
        <v>3751.2375403225806</v>
      </c>
      <c r="AN16" s="21">
        <v>930306.91</v>
      </c>
      <c r="AO16" s="19">
        <v>13</v>
      </c>
      <c r="AP16" s="20" t="s">
        <v>21</v>
      </c>
      <c r="AQ16" s="21">
        <v>132</v>
      </c>
      <c r="AR16" s="21">
        <f t="shared" si="8"/>
        <v>3869.0433333333331</v>
      </c>
      <c r="AS16" s="21">
        <v>510713.72</v>
      </c>
      <c r="AT16" s="19">
        <v>13</v>
      </c>
      <c r="AU16" s="20" t="s">
        <v>11</v>
      </c>
      <c r="AV16" s="21">
        <v>194</v>
      </c>
      <c r="AW16" s="21">
        <f t="shared" si="9"/>
        <v>3351.98118556701</v>
      </c>
      <c r="AX16" s="21">
        <v>650284.35</v>
      </c>
      <c r="AY16" s="19">
        <v>13</v>
      </c>
      <c r="AZ16" s="20" t="s">
        <v>12</v>
      </c>
      <c r="BA16" s="21">
        <v>222</v>
      </c>
      <c r="BB16" s="21">
        <f t="shared" si="10"/>
        <v>4108.8978828828831</v>
      </c>
      <c r="BC16" s="21">
        <v>912175.33</v>
      </c>
      <c r="BD16" s="19">
        <v>13</v>
      </c>
      <c r="BE16" s="20" t="s">
        <v>16</v>
      </c>
      <c r="BF16" s="21">
        <v>201</v>
      </c>
      <c r="BG16" s="21">
        <f t="shared" si="11"/>
        <v>5021.0226865671648</v>
      </c>
      <c r="BH16" s="21">
        <v>1009225.56</v>
      </c>
      <c r="BI16" s="19">
        <v>13</v>
      </c>
      <c r="BJ16" s="20" t="s">
        <v>18</v>
      </c>
      <c r="BK16" s="21">
        <v>2207</v>
      </c>
      <c r="BL16" s="21">
        <f t="shared" si="12"/>
        <v>4259.837920253738</v>
      </c>
      <c r="BM16" s="21">
        <v>9401462.2899999991</v>
      </c>
      <c r="BN16" s="29">
        <f t="shared" si="13"/>
        <v>2.1650414958111795E-2</v>
      </c>
      <c r="BO16" s="29">
        <f t="shared" si="14"/>
        <v>2.5638671105153825E-2</v>
      </c>
    </row>
    <row r="17" spans="1:67" x14ac:dyDescent="0.3">
      <c r="A17" s="19">
        <v>14</v>
      </c>
      <c r="B17" s="20" t="s">
        <v>26</v>
      </c>
      <c r="C17" s="21">
        <v>161</v>
      </c>
      <c r="D17" s="21">
        <f t="shared" si="0"/>
        <v>3790.2834161490682</v>
      </c>
      <c r="E17" s="21">
        <v>610235.63</v>
      </c>
      <c r="F17" s="19">
        <v>14</v>
      </c>
      <c r="G17" s="20" t="s">
        <v>111</v>
      </c>
      <c r="H17" s="21">
        <v>177</v>
      </c>
      <c r="I17" s="21">
        <f t="shared" si="1"/>
        <v>4267.891920903955</v>
      </c>
      <c r="J17" s="21">
        <v>755416.87</v>
      </c>
      <c r="K17" s="19">
        <v>14</v>
      </c>
      <c r="L17" s="20" t="s">
        <v>111</v>
      </c>
      <c r="M17" s="21">
        <v>163</v>
      </c>
      <c r="N17" s="21">
        <f t="shared" si="2"/>
        <v>3636.3836809815953</v>
      </c>
      <c r="O17" s="21">
        <v>592730.54</v>
      </c>
      <c r="P17" s="19">
        <v>14</v>
      </c>
      <c r="Q17" s="20" t="s">
        <v>14</v>
      </c>
      <c r="R17" s="21">
        <v>149</v>
      </c>
      <c r="S17" s="21">
        <f t="shared" si="3"/>
        <v>4014.0581208053695</v>
      </c>
      <c r="T17" s="21">
        <v>598094.66</v>
      </c>
      <c r="U17" s="19">
        <v>14</v>
      </c>
      <c r="V17" s="20" t="s">
        <v>16</v>
      </c>
      <c r="W17" s="21">
        <v>177</v>
      </c>
      <c r="X17" s="21">
        <f t="shared" si="4"/>
        <v>4026.2649717514128</v>
      </c>
      <c r="Y17" s="21">
        <v>712648.9</v>
      </c>
      <c r="Z17" s="19">
        <v>14</v>
      </c>
      <c r="AA17" s="20" t="s">
        <v>13</v>
      </c>
      <c r="AB17" s="21">
        <v>175</v>
      </c>
      <c r="AC17" s="21">
        <f t="shared" si="5"/>
        <v>3289.7947428571424</v>
      </c>
      <c r="AD17" s="21">
        <v>575714.07999999996</v>
      </c>
      <c r="AE17" s="19">
        <v>14</v>
      </c>
      <c r="AF17" s="20" t="s">
        <v>8</v>
      </c>
      <c r="AG17" s="21">
        <v>250</v>
      </c>
      <c r="AH17" s="21">
        <f t="shared" si="6"/>
        <v>3664.9212000000002</v>
      </c>
      <c r="AI17" s="21">
        <v>916230.3</v>
      </c>
      <c r="AJ17" s="19">
        <v>14</v>
      </c>
      <c r="AK17" s="20" t="s">
        <v>12</v>
      </c>
      <c r="AL17" s="21">
        <v>243</v>
      </c>
      <c r="AM17" s="21">
        <f t="shared" si="7"/>
        <v>3230.9233333333332</v>
      </c>
      <c r="AN17" s="21">
        <v>785114.37</v>
      </c>
      <c r="AO17" s="19">
        <v>14</v>
      </c>
      <c r="AP17" s="20" t="s">
        <v>11</v>
      </c>
      <c r="AQ17" s="21">
        <v>111</v>
      </c>
      <c r="AR17" s="21">
        <f t="shared" si="8"/>
        <v>3434.0505405405406</v>
      </c>
      <c r="AS17" s="21">
        <v>381179.61</v>
      </c>
      <c r="AT17" s="19">
        <v>14</v>
      </c>
      <c r="AU17" s="20" t="s">
        <v>18</v>
      </c>
      <c r="AV17" s="21">
        <v>155</v>
      </c>
      <c r="AW17" s="21">
        <f t="shared" si="9"/>
        <v>3968.9992258064517</v>
      </c>
      <c r="AX17" s="21">
        <v>615194.88</v>
      </c>
      <c r="AY17" s="19">
        <v>14</v>
      </c>
      <c r="AZ17" s="20" t="s">
        <v>14</v>
      </c>
      <c r="BA17" s="21">
        <v>209</v>
      </c>
      <c r="BB17" s="21">
        <f t="shared" si="10"/>
        <v>4110.4361244019137</v>
      </c>
      <c r="BC17" s="21">
        <v>859081.15</v>
      </c>
      <c r="BD17" s="19">
        <v>14</v>
      </c>
      <c r="BE17" s="20" t="s">
        <v>22</v>
      </c>
      <c r="BF17" s="21">
        <v>160</v>
      </c>
      <c r="BG17" s="21">
        <f t="shared" si="11"/>
        <v>4323.9589375000005</v>
      </c>
      <c r="BH17" s="21">
        <v>691833.43</v>
      </c>
      <c r="BI17" s="19">
        <v>14</v>
      </c>
      <c r="BJ17" s="20" t="s">
        <v>21</v>
      </c>
      <c r="BK17" s="21">
        <v>2080</v>
      </c>
      <c r="BL17" s="21">
        <f t="shared" si="12"/>
        <v>4216.4208653846154</v>
      </c>
      <c r="BM17" s="21">
        <v>8770155.4000000004</v>
      </c>
      <c r="BN17" s="29">
        <f t="shared" si="13"/>
        <v>2.0404559634287507E-2</v>
      </c>
      <c r="BO17" s="29">
        <f t="shared" si="14"/>
        <v>2.3917037893228504E-2</v>
      </c>
    </row>
    <row r="18" spans="1:67" x14ac:dyDescent="0.3">
      <c r="A18" s="19">
        <v>15</v>
      </c>
      <c r="B18" s="20" t="s">
        <v>14</v>
      </c>
      <c r="C18" s="21">
        <v>159</v>
      </c>
      <c r="D18" s="21">
        <f t="shared" si="0"/>
        <v>4684.1010691823894</v>
      </c>
      <c r="E18" s="21">
        <v>744772.07</v>
      </c>
      <c r="F18" s="19">
        <v>15</v>
      </c>
      <c r="G18" s="20" t="s">
        <v>13</v>
      </c>
      <c r="H18" s="21">
        <v>132</v>
      </c>
      <c r="I18" s="21">
        <f t="shared" si="1"/>
        <v>3448.3510606060609</v>
      </c>
      <c r="J18" s="21">
        <v>455182.34</v>
      </c>
      <c r="K18" s="19">
        <v>15</v>
      </c>
      <c r="L18" s="20" t="s">
        <v>22</v>
      </c>
      <c r="M18" s="21">
        <v>153</v>
      </c>
      <c r="N18" s="21">
        <f t="shared" si="2"/>
        <v>2676.785294117647</v>
      </c>
      <c r="O18" s="21">
        <v>409548.15</v>
      </c>
      <c r="P18" s="19">
        <v>15</v>
      </c>
      <c r="Q18" s="20" t="s">
        <v>10</v>
      </c>
      <c r="R18" s="21">
        <v>149</v>
      </c>
      <c r="S18" s="21">
        <f t="shared" si="3"/>
        <v>4214.929127516778</v>
      </c>
      <c r="T18" s="21">
        <v>628024.43999999994</v>
      </c>
      <c r="U18" s="19">
        <v>15</v>
      </c>
      <c r="V18" s="20" t="s">
        <v>15</v>
      </c>
      <c r="W18" s="21">
        <v>137</v>
      </c>
      <c r="X18" s="21">
        <f t="shared" si="4"/>
        <v>3605.3043795620438</v>
      </c>
      <c r="Y18" s="21">
        <v>493926.7</v>
      </c>
      <c r="Z18" s="19">
        <v>15</v>
      </c>
      <c r="AA18" s="20" t="s">
        <v>15</v>
      </c>
      <c r="AB18" s="21">
        <v>151</v>
      </c>
      <c r="AC18" s="21">
        <f t="shared" si="5"/>
        <v>3797.9774834437085</v>
      </c>
      <c r="AD18" s="21">
        <v>573494.6</v>
      </c>
      <c r="AE18" s="19">
        <v>15</v>
      </c>
      <c r="AF18" s="20" t="s">
        <v>15</v>
      </c>
      <c r="AG18" s="21">
        <v>193</v>
      </c>
      <c r="AH18" s="21">
        <f t="shared" si="6"/>
        <v>3820.5383419689119</v>
      </c>
      <c r="AI18" s="21">
        <v>737363.9</v>
      </c>
      <c r="AJ18" s="19">
        <v>15</v>
      </c>
      <c r="AK18" s="20" t="s">
        <v>10</v>
      </c>
      <c r="AL18" s="21">
        <v>242</v>
      </c>
      <c r="AM18" s="21">
        <f t="shared" si="7"/>
        <v>4168.6928099173556</v>
      </c>
      <c r="AN18" s="21">
        <v>1008823.66</v>
      </c>
      <c r="AO18" s="19">
        <v>15</v>
      </c>
      <c r="AP18" s="20" t="s">
        <v>16</v>
      </c>
      <c r="AQ18" s="21">
        <v>106</v>
      </c>
      <c r="AR18" s="21">
        <f t="shared" si="8"/>
        <v>3715.8206603773583</v>
      </c>
      <c r="AS18" s="21">
        <v>393876.99</v>
      </c>
      <c r="AT18" s="19">
        <v>15</v>
      </c>
      <c r="AU18" s="20" t="s">
        <v>12</v>
      </c>
      <c r="AV18" s="21">
        <v>152</v>
      </c>
      <c r="AW18" s="21">
        <f t="shared" si="9"/>
        <v>4525.3001973684213</v>
      </c>
      <c r="AX18" s="21">
        <v>687845.63</v>
      </c>
      <c r="AY18" s="19">
        <v>15</v>
      </c>
      <c r="AZ18" s="20" t="s">
        <v>13</v>
      </c>
      <c r="BA18" s="21">
        <v>184</v>
      </c>
      <c r="BB18" s="21">
        <f t="shared" si="10"/>
        <v>3315.1685869565217</v>
      </c>
      <c r="BC18" s="21">
        <v>609991.02</v>
      </c>
      <c r="BD18" s="19">
        <v>15</v>
      </c>
      <c r="BE18" s="20" t="s">
        <v>11</v>
      </c>
      <c r="BF18" s="21">
        <v>144</v>
      </c>
      <c r="BG18" s="21">
        <f t="shared" si="11"/>
        <v>4918.1568055555554</v>
      </c>
      <c r="BH18" s="21">
        <v>708214.58</v>
      </c>
      <c r="BI18" s="19">
        <v>15</v>
      </c>
      <c r="BJ18" s="20" t="s">
        <v>7</v>
      </c>
      <c r="BK18" s="21">
        <v>2049</v>
      </c>
      <c r="BL18" s="21">
        <f t="shared" si="12"/>
        <v>2523.1712249877987</v>
      </c>
      <c r="BM18" s="21">
        <v>5169977.84</v>
      </c>
      <c r="BN18" s="29">
        <f t="shared" si="13"/>
        <v>2.0100453216661106E-2</v>
      </c>
      <c r="BO18" s="29">
        <f t="shared" si="14"/>
        <v>1.409901538420079E-2</v>
      </c>
    </row>
    <row r="19" spans="1:67" x14ac:dyDescent="0.3">
      <c r="A19" s="19">
        <v>16</v>
      </c>
      <c r="B19" s="20" t="s">
        <v>111</v>
      </c>
      <c r="C19" s="21">
        <v>154</v>
      </c>
      <c r="D19" s="21">
        <f t="shared" si="0"/>
        <v>4358.5406493506498</v>
      </c>
      <c r="E19" s="21">
        <v>671215.26</v>
      </c>
      <c r="F19" s="19">
        <v>16</v>
      </c>
      <c r="G19" s="20" t="s">
        <v>15</v>
      </c>
      <c r="H19" s="21">
        <v>131</v>
      </c>
      <c r="I19" s="21">
        <f t="shared" si="1"/>
        <v>4360.5759541984726</v>
      </c>
      <c r="J19" s="21">
        <v>571235.44999999995</v>
      </c>
      <c r="K19" s="19">
        <v>16</v>
      </c>
      <c r="L19" s="20" t="s">
        <v>12</v>
      </c>
      <c r="M19" s="21">
        <v>119</v>
      </c>
      <c r="N19" s="21">
        <f t="shared" si="2"/>
        <v>5168.4474789915967</v>
      </c>
      <c r="O19" s="21">
        <v>615045.25</v>
      </c>
      <c r="P19" s="19">
        <v>16</v>
      </c>
      <c r="Q19" s="20" t="s">
        <v>13</v>
      </c>
      <c r="R19" s="21">
        <v>144</v>
      </c>
      <c r="S19" s="21">
        <f t="shared" si="3"/>
        <v>4303.358680555556</v>
      </c>
      <c r="T19" s="21">
        <v>619683.65</v>
      </c>
      <c r="U19" s="19">
        <v>16</v>
      </c>
      <c r="V19" s="20" t="s">
        <v>18</v>
      </c>
      <c r="W19" s="21">
        <v>94</v>
      </c>
      <c r="X19" s="21">
        <f t="shared" si="4"/>
        <v>4494.1277659574471</v>
      </c>
      <c r="Y19" s="21">
        <v>422448.01</v>
      </c>
      <c r="Z19" s="19">
        <v>16</v>
      </c>
      <c r="AA19" s="20" t="s">
        <v>11</v>
      </c>
      <c r="AB19" s="21">
        <v>148</v>
      </c>
      <c r="AC19" s="21">
        <f t="shared" si="5"/>
        <v>3374.1231081081078</v>
      </c>
      <c r="AD19" s="21">
        <v>499370.22</v>
      </c>
      <c r="AE19" s="19">
        <v>16</v>
      </c>
      <c r="AF19" s="20" t="s">
        <v>16</v>
      </c>
      <c r="AG19" s="21">
        <v>170</v>
      </c>
      <c r="AH19" s="21">
        <f t="shared" si="6"/>
        <v>3975.3290588235291</v>
      </c>
      <c r="AI19" s="21">
        <v>675805.94</v>
      </c>
      <c r="AJ19" s="19">
        <v>16</v>
      </c>
      <c r="AK19" s="20" t="s">
        <v>8</v>
      </c>
      <c r="AL19" s="21">
        <v>227</v>
      </c>
      <c r="AM19" s="21">
        <f t="shared" si="7"/>
        <v>3452.7974889867842</v>
      </c>
      <c r="AN19" s="21">
        <v>783785.03</v>
      </c>
      <c r="AO19" s="19">
        <v>16</v>
      </c>
      <c r="AP19" s="20" t="s">
        <v>109</v>
      </c>
      <c r="AQ19" s="21">
        <v>94</v>
      </c>
      <c r="AR19" s="21">
        <f t="shared" si="8"/>
        <v>4140.4886170212767</v>
      </c>
      <c r="AS19" s="21">
        <v>389205.93</v>
      </c>
      <c r="AT19" s="19">
        <v>16</v>
      </c>
      <c r="AU19" s="20" t="s">
        <v>13</v>
      </c>
      <c r="AV19" s="21">
        <v>149</v>
      </c>
      <c r="AW19" s="21">
        <f t="shared" si="9"/>
        <v>2925.3722818791944</v>
      </c>
      <c r="AX19" s="21">
        <v>435880.47</v>
      </c>
      <c r="AY19" s="19">
        <v>16</v>
      </c>
      <c r="AZ19" s="20" t="s">
        <v>20</v>
      </c>
      <c r="BA19" s="21">
        <v>172</v>
      </c>
      <c r="BB19" s="21">
        <f t="shared" si="10"/>
        <v>3724.4454069767439</v>
      </c>
      <c r="BC19" s="21">
        <v>640604.61</v>
      </c>
      <c r="BD19" s="19">
        <v>16</v>
      </c>
      <c r="BE19" s="20" t="s">
        <v>109</v>
      </c>
      <c r="BF19" s="21">
        <v>139</v>
      </c>
      <c r="BG19" s="21">
        <f t="shared" si="11"/>
        <v>5436.1866187050355</v>
      </c>
      <c r="BH19" s="21">
        <v>755629.94</v>
      </c>
      <c r="BI19" s="19">
        <v>16</v>
      </c>
      <c r="BJ19" s="20" t="s">
        <v>109</v>
      </c>
      <c r="BK19" s="21">
        <v>2023</v>
      </c>
      <c r="BL19" s="21">
        <f t="shared" si="12"/>
        <v>4189.1045526445869</v>
      </c>
      <c r="BM19" s="21">
        <v>8474558.5099999998</v>
      </c>
      <c r="BN19" s="29">
        <f t="shared" si="13"/>
        <v>1.9845396221232513E-2</v>
      </c>
      <c r="BO19" s="29">
        <f t="shared" si="14"/>
        <v>2.3110917397433126E-2</v>
      </c>
    </row>
    <row r="20" spans="1:67" x14ac:dyDescent="0.3">
      <c r="A20" s="19">
        <v>17</v>
      </c>
      <c r="B20" s="20" t="s">
        <v>27</v>
      </c>
      <c r="C20" s="21">
        <v>125</v>
      </c>
      <c r="D20" s="21">
        <f t="shared" si="0"/>
        <v>4785.2444800000003</v>
      </c>
      <c r="E20" s="21">
        <v>598155.56000000006</v>
      </c>
      <c r="F20" s="19">
        <v>17</v>
      </c>
      <c r="G20" s="20" t="s">
        <v>21</v>
      </c>
      <c r="H20" s="21">
        <v>130</v>
      </c>
      <c r="I20" s="21">
        <f t="shared" si="1"/>
        <v>4701.7646923076927</v>
      </c>
      <c r="J20" s="21">
        <v>611229.41</v>
      </c>
      <c r="K20" s="19">
        <v>17</v>
      </c>
      <c r="L20" s="20" t="s">
        <v>16</v>
      </c>
      <c r="M20" s="21">
        <v>112</v>
      </c>
      <c r="N20" s="21">
        <f t="shared" si="2"/>
        <v>4070.9846428571432</v>
      </c>
      <c r="O20" s="21">
        <v>455950.28</v>
      </c>
      <c r="P20" s="19">
        <v>17</v>
      </c>
      <c r="Q20" s="20" t="s">
        <v>16</v>
      </c>
      <c r="R20" s="21">
        <v>133</v>
      </c>
      <c r="S20" s="21">
        <f t="shared" si="3"/>
        <v>4331.8112781954887</v>
      </c>
      <c r="T20" s="21">
        <v>576130.9</v>
      </c>
      <c r="U20" s="19">
        <v>17</v>
      </c>
      <c r="V20" s="20" t="s">
        <v>21</v>
      </c>
      <c r="W20" s="21">
        <v>86</v>
      </c>
      <c r="X20" s="21">
        <f t="shared" si="4"/>
        <v>3556.4479069767444</v>
      </c>
      <c r="Y20" s="21">
        <v>305854.52</v>
      </c>
      <c r="Z20" s="19">
        <v>17</v>
      </c>
      <c r="AA20" s="20" t="s">
        <v>109</v>
      </c>
      <c r="AB20" s="21">
        <v>133</v>
      </c>
      <c r="AC20" s="21">
        <f t="shared" si="5"/>
        <v>4473.5412781954883</v>
      </c>
      <c r="AD20" s="21">
        <v>594980.99</v>
      </c>
      <c r="AE20" s="19">
        <v>17</v>
      </c>
      <c r="AF20" s="20" t="s">
        <v>18</v>
      </c>
      <c r="AG20" s="21">
        <v>141</v>
      </c>
      <c r="AH20" s="21">
        <f t="shared" si="6"/>
        <v>3876.7341843971631</v>
      </c>
      <c r="AI20" s="21">
        <v>546619.52</v>
      </c>
      <c r="AJ20" s="19">
        <v>17</v>
      </c>
      <c r="AK20" s="20" t="s">
        <v>14</v>
      </c>
      <c r="AL20" s="21">
        <v>225</v>
      </c>
      <c r="AM20" s="21">
        <f t="shared" si="7"/>
        <v>4294.1513777777782</v>
      </c>
      <c r="AN20" s="21">
        <v>966184.06</v>
      </c>
      <c r="AO20" s="19">
        <v>17</v>
      </c>
      <c r="AP20" s="20" t="s">
        <v>14</v>
      </c>
      <c r="AQ20" s="21">
        <v>85</v>
      </c>
      <c r="AR20" s="21">
        <f t="shared" si="8"/>
        <v>3409.3035294117644</v>
      </c>
      <c r="AS20" s="21">
        <v>289790.8</v>
      </c>
      <c r="AT20" s="19">
        <v>17</v>
      </c>
      <c r="AU20" s="20" t="s">
        <v>14</v>
      </c>
      <c r="AV20" s="21">
        <v>140</v>
      </c>
      <c r="AW20" s="21">
        <f t="shared" si="9"/>
        <v>4173.0844285714284</v>
      </c>
      <c r="AX20" s="21">
        <v>584231.81999999995</v>
      </c>
      <c r="AY20" s="19">
        <v>17</v>
      </c>
      <c r="AZ20" s="20" t="s">
        <v>22</v>
      </c>
      <c r="BA20" s="21">
        <v>168</v>
      </c>
      <c r="BB20" s="21">
        <f t="shared" si="10"/>
        <v>3251.6606547619049</v>
      </c>
      <c r="BC20" s="21">
        <v>546278.99</v>
      </c>
      <c r="BD20" s="19">
        <v>17</v>
      </c>
      <c r="BE20" s="20" t="s">
        <v>14</v>
      </c>
      <c r="BF20" s="21">
        <v>138</v>
      </c>
      <c r="BG20" s="21">
        <f t="shared" si="11"/>
        <v>4525.7436231884058</v>
      </c>
      <c r="BH20" s="21">
        <v>624552.62</v>
      </c>
      <c r="BI20" s="19">
        <v>17</v>
      </c>
      <c r="BJ20" s="20" t="s">
        <v>14</v>
      </c>
      <c r="BK20" s="21">
        <v>1961</v>
      </c>
      <c r="BL20" s="21">
        <f t="shared" si="12"/>
        <v>4146.2489546149927</v>
      </c>
      <c r="BM20" s="21">
        <v>8130794.2000000002</v>
      </c>
      <c r="BN20" s="29">
        <f t="shared" si="13"/>
        <v>1.9237183385979711E-2</v>
      </c>
      <c r="BO20" s="29">
        <f t="shared" si="14"/>
        <v>2.2173439821082594E-2</v>
      </c>
    </row>
    <row r="21" spans="1:67" x14ac:dyDescent="0.3">
      <c r="A21" s="19">
        <v>18</v>
      </c>
      <c r="B21" s="20" t="s">
        <v>15</v>
      </c>
      <c r="C21" s="21">
        <v>116</v>
      </c>
      <c r="D21" s="21">
        <f t="shared" si="0"/>
        <v>5259.9990517241376</v>
      </c>
      <c r="E21" s="21">
        <v>610159.89</v>
      </c>
      <c r="F21" s="19">
        <v>18</v>
      </c>
      <c r="G21" s="20" t="s">
        <v>26</v>
      </c>
      <c r="H21" s="21">
        <v>119</v>
      </c>
      <c r="I21" s="21">
        <f t="shared" si="1"/>
        <v>3729.8531932773112</v>
      </c>
      <c r="J21" s="21">
        <v>443852.53</v>
      </c>
      <c r="K21" s="19">
        <v>18</v>
      </c>
      <c r="L21" s="20" t="s">
        <v>15</v>
      </c>
      <c r="M21" s="21">
        <v>103</v>
      </c>
      <c r="N21" s="21">
        <f t="shared" si="2"/>
        <v>4800.0409708737861</v>
      </c>
      <c r="O21" s="21">
        <v>494404.22</v>
      </c>
      <c r="P21" s="19">
        <v>18</v>
      </c>
      <c r="Q21" s="20" t="s">
        <v>15</v>
      </c>
      <c r="R21" s="21">
        <v>120</v>
      </c>
      <c r="S21" s="21">
        <f t="shared" si="3"/>
        <v>4633.0152499999995</v>
      </c>
      <c r="T21" s="21">
        <v>555961.82999999996</v>
      </c>
      <c r="U21" s="19">
        <v>18</v>
      </c>
      <c r="V21" s="20" t="s">
        <v>14</v>
      </c>
      <c r="W21" s="21">
        <v>76</v>
      </c>
      <c r="X21" s="21">
        <f t="shared" si="4"/>
        <v>3599.1202631578949</v>
      </c>
      <c r="Y21" s="21">
        <v>273533.14</v>
      </c>
      <c r="Z21" s="19">
        <v>18</v>
      </c>
      <c r="AA21" s="20" t="s">
        <v>14</v>
      </c>
      <c r="AB21" s="21">
        <v>96</v>
      </c>
      <c r="AC21" s="21">
        <f t="shared" si="5"/>
        <v>3804.7618750000001</v>
      </c>
      <c r="AD21" s="21">
        <v>365257.14</v>
      </c>
      <c r="AE21" s="19">
        <v>18</v>
      </c>
      <c r="AF21" s="20" t="s">
        <v>14</v>
      </c>
      <c r="AG21" s="21">
        <v>138</v>
      </c>
      <c r="AH21" s="21">
        <f t="shared" si="6"/>
        <v>3854.3915942028989</v>
      </c>
      <c r="AI21" s="21">
        <v>531906.04</v>
      </c>
      <c r="AJ21" s="19">
        <v>18</v>
      </c>
      <c r="AK21" s="20" t="s">
        <v>16</v>
      </c>
      <c r="AL21" s="21">
        <v>216</v>
      </c>
      <c r="AM21" s="21">
        <f t="shared" si="7"/>
        <v>4125.766342592593</v>
      </c>
      <c r="AN21" s="21">
        <v>891165.53</v>
      </c>
      <c r="AO21" s="19">
        <v>18</v>
      </c>
      <c r="AP21" s="20" t="s">
        <v>15</v>
      </c>
      <c r="AQ21" s="21">
        <v>84</v>
      </c>
      <c r="AR21" s="21">
        <f t="shared" si="8"/>
        <v>4018.1978571428572</v>
      </c>
      <c r="AS21" s="21">
        <v>337528.62</v>
      </c>
      <c r="AT21" s="19">
        <v>18</v>
      </c>
      <c r="AU21" s="20" t="s">
        <v>19</v>
      </c>
      <c r="AV21" s="21">
        <v>127</v>
      </c>
      <c r="AW21" s="21">
        <f t="shared" si="9"/>
        <v>3594.1751968503936</v>
      </c>
      <c r="AX21" s="21">
        <v>456460.25</v>
      </c>
      <c r="AY21" s="19">
        <v>18</v>
      </c>
      <c r="AZ21" s="20" t="s">
        <v>19</v>
      </c>
      <c r="BA21" s="21">
        <v>147</v>
      </c>
      <c r="BB21" s="21">
        <f t="shared" si="10"/>
        <v>4206.4503401360544</v>
      </c>
      <c r="BC21" s="21">
        <v>618348.19999999995</v>
      </c>
      <c r="BD21" s="19">
        <v>18</v>
      </c>
      <c r="BE21" s="20" t="s">
        <v>13</v>
      </c>
      <c r="BF21" s="21">
        <v>138</v>
      </c>
      <c r="BG21" s="21">
        <f t="shared" si="11"/>
        <v>3811.0957971014491</v>
      </c>
      <c r="BH21" s="21">
        <v>525931.22</v>
      </c>
      <c r="BI21" s="19">
        <v>18</v>
      </c>
      <c r="BJ21" s="20" t="s">
        <v>13</v>
      </c>
      <c r="BK21" s="21">
        <v>1898</v>
      </c>
      <c r="BL21" s="21">
        <f t="shared" si="12"/>
        <v>3493.9352792413069</v>
      </c>
      <c r="BM21" s="21">
        <v>6631489.1600000001</v>
      </c>
      <c r="BN21" s="29">
        <f t="shared" si="13"/>
        <v>1.8619160666287351E-2</v>
      </c>
      <c r="BO21" s="29">
        <f t="shared" si="14"/>
        <v>1.8084694089714085E-2</v>
      </c>
    </row>
    <row r="22" spans="1:67" x14ac:dyDescent="0.3">
      <c r="A22" s="19">
        <v>19</v>
      </c>
      <c r="B22" s="20" t="s">
        <v>13</v>
      </c>
      <c r="C22" s="21">
        <v>106</v>
      </c>
      <c r="D22" s="21">
        <f t="shared" si="0"/>
        <v>3998.3662264150944</v>
      </c>
      <c r="E22" s="21">
        <v>423826.82</v>
      </c>
      <c r="F22" s="19">
        <v>19</v>
      </c>
      <c r="G22" s="20" t="s">
        <v>22</v>
      </c>
      <c r="H22" s="21">
        <v>105</v>
      </c>
      <c r="I22" s="21">
        <f t="shared" si="1"/>
        <v>3697.1245714285715</v>
      </c>
      <c r="J22" s="21">
        <v>388198.08</v>
      </c>
      <c r="K22" s="19">
        <v>19</v>
      </c>
      <c r="L22" s="20" t="s">
        <v>109</v>
      </c>
      <c r="M22" s="21">
        <v>63</v>
      </c>
      <c r="N22" s="21">
        <f t="shared" si="2"/>
        <v>3340.8044444444445</v>
      </c>
      <c r="O22" s="21">
        <v>210470.68</v>
      </c>
      <c r="P22" s="19">
        <v>19</v>
      </c>
      <c r="Q22" s="20" t="s">
        <v>12</v>
      </c>
      <c r="R22" s="21">
        <v>111</v>
      </c>
      <c r="S22" s="21">
        <f t="shared" si="3"/>
        <v>3891.1802702702703</v>
      </c>
      <c r="T22" s="21">
        <v>431921.01</v>
      </c>
      <c r="U22" s="19">
        <v>19</v>
      </c>
      <c r="V22" s="20" t="s">
        <v>24</v>
      </c>
      <c r="W22" s="21">
        <v>67</v>
      </c>
      <c r="X22" s="21">
        <f t="shared" si="4"/>
        <v>2598.3849253731346</v>
      </c>
      <c r="Y22" s="21">
        <v>174091.79</v>
      </c>
      <c r="Z22" s="19">
        <v>19</v>
      </c>
      <c r="AA22" s="20" t="s">
        <v>30</v>
      </c>
      <c r="AB22" s="21">
        <v>67</v>
      </c>
      <c r="AC22" s="21">
        <f t="shared" si="5"/>
        <v>4805.7835820895525</v>
      </c>
      <c r="AD22" s="21">
        <v>321987.5</v>
      </c>
      <c r="AE22" s="19">
        <v>19</v>
      </c>
      <c r="AF22" s="20" t="s">
        <v>13</v>
      </c>
      <c r="AG22" s="21">
        <v>124</v>
      </c>
      <c r="AH22" s="21">
        <f t="shared" si="6"/>
        <v>3219.6335483870967</v>
      </c>
      <c r="AI22" s="21">
        <v>399234.56</v>
      </c>
      <c r="AJ22" s="19">
        <v>19</v>
      </c>
      <c r="AK22" s="20" t="s">
        <v>13</v>
      </c>
      <c r="AL22" s="21">
        <v>162</v>
      </c>
      <c r="AM22" s="21">
        <f t="shared" si="7"/>
        <v>3193.0538888888887</v>
      </c>
      <c r="AN22" s="21">
        <v>517274.73</v>
      </c>
      <c r="AO22" s="19">
        <v>19</v>
      </c>
      <c r="AP22" s="20" t="s">
        <v>18</v>
      </c>
      <c r="AQ22" s="21">
        <v>76</v>
      </c>
      <c r="AR22" s="21">
        <f t="shared" si="8"/>
        <v>3719.7763157894738</v>
      </c>
      <c r="AS22" s="21">
        <v>282703</v>
      </c>
      <c r="AT22" s="19">
        <v>19</v>
      </c>
      <c r="AU22" s="20" t="s">
        <v>20</v>
      </c>
      <c r="AV22" s="21">
        <v>76</v>
      </c>
      <c r="AW22" s="21">
        <f t="shared" si="9"/>
        <v>2651.9447368421052</v>
      </c>
      <c r="AX22" s="21">
        <v>201547.8</v>
      </c>
      <c r="AY22" s="19">
        <v>19</v>
      </c>
      <c r="AZ22" s="20" t="s">
        <v>11</v>
      </c>
      <c r="BA22" s="21">
        <v>137</v>
      </c>
      <c r="BB22" s="21">
        <f t="shared" si="10"/>
        <v>4038.7983941605839</v>
      </c>
      <c r="BC22" s="21">
        <v>553315.38</v>
      </c>
      <c r="BD22" s="19">
        <v>19</v>
      </c>
      <c r="BE22" s="20" t="s">
        <v>20</v>
      </c>
      <c r="BF22" s="21">
        <v>118</v>
      </c>
      <c r="BG22" s="21">
        <f t="shared" si="11"/>
        <v>3809.4511864406777</v>
      </c>
      <c r="BH22" s="21">
        <v>449515.24</v>
      </c>
      <c r="BI22" s="19">
        <v>19</v>
      </c>
      <c r="BJ22" s="20" t="s">
        <v>19</v>
      </c>
      <c r="BK22" s="21">
        <v>1851</v>
      </c>
      <c r="BL22" s="21">
        <f t="shared" si="12"/>
        <v>4103.6590545650997</v>
      </c>
      <c r="BM22" s="21">
        <v>7595872.9100000001</v>
      </c>
      <c r="BN22" s="29">
        <f t="shared" si="13"/>
        <v>1.815809609762797E-2</v>
      </c>
      <c r="BO22" s="29">
        <f t="shared" si="14"/>
        <v>2.0714659197557418E-2</v>
      </c>
    </row>
    <row r="23" spans="1:67" x14ac:dyDescent="0.3">
      <c r="A23" s="19">
        <v>20</v>
      </c>
      <c r="B23" s="20" t="s">
        <v>22</v>
      </c>
      <c r="C23" s="21">
        <v>101</v>
      </c>
      <c r="D23" s="21">
        <f t="shared" si="0"/>
        <v>2843.3960396039606</v>
      </c>
      <c r="E23" s="21">
        <v>287183</v>
      </c>
      <c r="F23" s="19">
        <v>20</v>
      </c>
      <c r="G23" s="20" t="s">
        <v>24</v>
      </c>
      <c r="H23" s="21">
        <v>86</v>
      </c>
      <c r="I23" s="21">
        <f t="shared" si="1"/>
        <v>2375.6777906976745</v>
      </c>
      <c r="J23" s="21">
        <v>204308.29</v>
      </c>
      <c r="K23" s="19">
        <v>20</v>
      </c>
      <c r="L23" s="20" t="s">
        <v>26</v>
      </c>
      <c r="M23" s="21">
        <v>60</v>
      </c>
      <c r="N23" s="21">
        <f t="shared" si="2"/>
        <v>4010.1528333333335</v>
      </c>
      <c r="O23" s="21">
        <v>240609.17</v>
      </c>
      <c r="P23" s="19">
        <v>20</v>
      </c>
      <c r="Q23" s="20" t="s">
        <v>21</v>
      </c>
      <c r="R23" s="21">
        <v>99</v>
      </c>
      <c r="S23" s="21">
        <f t="shared" si="3"/>
        <v>3961.2729292929293</v>
      </c>
      <c r="T23" s="21">
        <v>392166.02</v>
      </c>
      <c r="U23" s="19">
        <v>20</v>
      </c>
      <c r="V23" s="20" t="s">
        <v>109</v>
      </c>
      <c r="W23" s="21">
        <v>65</v>
      </c>
      <c r="X23" s="21">
        <f t="shared" si="4"/>
        <v>4171.3969230769226</v>
      </c>
      <c r="Y23" s="21">
        <v>271140.8</v>
      </c>
      <c r="Z23" s="19">
        <v>20</v>
      </c>
      <c r="AA23" s="20" t="s">
        <v>18</v>
      </c>
      <c r="AB23" s="21">
        <v>62</v>
      </c>
      <c r="AC23" s="21">
        <f t="shared" si="5"/>
        <v>4346.6946774193548</v>
      </c>
      <c r="AD23" s="21">
        <v>269495.07</v>
      </c>
      <c r="AE23" s="19">
        <v>20</v>
      </c>
      <c r="AF23" s="20" t="s">
        <v>30</v>
      </c>
      <c r="AG23" s="21">
        <v>112</v>
      </c>
      <c r="AH23" s="21">
        <f t="shared" si="6"/>
        <v>3864.2807142857141</v>
      </c>
      <c r="AI23" s="21">
        <v>432799.44</v>
      </c>
      <c r="AJ23" s="19">
        <v>20</v>
      </c>
      <c r="AK23" s="20" t="s">
        <v>18</v>
      </c>
      <c r="AL23" s="21">
        <v>129</v>
      </c>
      <c r="AM23" s="21">
        <f t="shared" si="7"/>
        <v>4136.4824031007747</v>
      </c>
      <c r="AN23" s="21">
        <v>533606.23</v>
      </c>
      <c r="AO23" s="19">
        <v>20</v>
      </c>
      <c r="AP23" s="20" t="s">
        <v>26</v>
      </c>
      <c r="AQ23" s="21">
        <v>74</v>
      </c>
      <c r="AR23" s="21">
        <f t="shared" si="8"/>
        <v>3445.4751351351351</v>
      </c>
      <c r="AS23" s="21">
        <v>254965.16</v>
      </c>
      <c r="AT23" s="19">
        <v>20</v>
      </c>
      <c r="AU23" s="20" t="s">
        <v>37</v>
      </c>
      <c r="AV23" s="21">
        <v>67</v>
      </c>
      <c r="AW23" s="21">
        <f t="shared" si="9"/>
        <v>3879.4771641791044</v>
      </c>
      <c r="AX23" s="21">
        <v>259924.97</v>
      </c>
      <c r="AY23" s="19">
        <v>20</v>
      </c>
      <c r="AZ23" s="20" t="s">
        <v>24</v>
      </c>
      <c r="BA23" s="21">
        <v>129</v>
      </c>
      <c r="BB23" s="21">
        <f t="shared" si="10"/>
        <v>3261.4776744186047</v>
      </c>
      <c r="BC23" s="21">
        <v>420730.62</v>
      </c>
      <c r="BD23" s="19">
        <v>20</v>
      </c>
      <c r="BE23" s="20" t="s">
        <v>27</v>
      </c>
      <c r="BF23" s="21">
        <v>116</v>
      </c>
      <c r="BG23" s="21">
        <f t="shared" si="11"/>
        <v>4691.1471551724135</v>
      </c>
      <c r="BH23" s="21">
        <v>544173.06999999995</v>
      </c>
      <c r="BI23" s="19">
        <v>20</v>
      </c>
      <c r="BJ23" s="20" t="s">
        <v>16</v>
      </c>
      <c r="BK23" s="21">
        <v>1751</v>
      </c>
      <c r="BL23" s="21">
        <f t="shared" si="12"/>
        <v>4177.7591033695035</v>
      </c>
      <c r="BM23" s="21">
        <v>7315256.1900000004</v>
      </c>
      <c r="BN23" s="29">
        <f t="shared" si="13"/>
        <v>1.7177107653671839E-2</v>
      </c>
      <c r="BO23" s="29">
        <f t="shared" si="14"/>
        <v>1.9949391033014578E-2</v>
      </c>
    </row>
    <row r="24" spans="1:67" x14ac:dyDescent="0.3">
      <c r="A24" s="19">
        <v>21</v>
      </c>
      <c r="B24" s="20" t="s">
        <v>24</v>
      </c>
      <c r="C24" s="21">
        <v>94</v>
      </c>
      <c r="D24" s="21">
        <f t="shared" si="0"/>
        <v>2801.8751063829786</v>
      </c>
      <c r="E24" s="21">
        <v>263376.26</v>
      </c>
      <c r="F24" s="19">
        <v>21</v>
      </c>
      <c r="G24" s="20" t="s">
        <v>16</v>
      </c>
      <c r="H24" s="21">
        <v>79</v>
      </c>
      <c r="I24" s="21">
        <f t="shared" si="1"/>
        <v>4007.4311392405061</v>
      </c>
      <c r="J24" s="21">
        <v>316587.06</v>
      </c>
      <c r="K24" s="19">
        <v>21</v>
      </c>
      <c r="L24" s="20" t="s">
        <v>24</v>
      </c>
      <c r="M24" s="21">
        <v>54</v>
      </c>
      <c r="N24" s="21">
        <f t="shared" si="2"/>
        <v>2709.54</v>
      </c>
      <c r="O24" s="21">
        <v>146315.16</v>
      </c>
      <c r="P24" s="19">
        <v>21</v>
      </c>
      <c r="Q24" s="20" t="s">
        <v>27</v>
      </c>
      <c r="R24" s="21">
        <v>49</v>
      </c>
      <c r="S24" s="21">
        <f t="shared" si="3"/>
        <v>4031.448163265306</v>
      </c>
      <c r="T24" s="21">
        <v>197540.96</v>
      </c>
      <c r="U24" s="19">
        <v>21</v>
      </c>
      <c r="V24" s="20" t="s">
        <v>52</v>
      </c>
      <c r="W24" s="21">
        <v>59</v>
      </c>
      <c r="X24" s="21">
        <f t="shared" si="4"/>
        <v>4585.8933898305086</v>
      </c>
      <c r="Y24" s="21">
        <v>270567.71000000002</v>
      </c>
      <c r="Z24" s="19">
        <v>21</v>
      </c>
      <c r="AA24" s="20" t="s">
        <v>59</v>
      </c>
      <c r="AB24" s="21">
        <v>59</v>
      </c>
      <c r="AC24" s="21">
        <f t="shared" si="5"/>
        <v>3734.5450847457628</v>
      </c>
      <c r="AD24" s="21">
        <v>220338.16</v>
      </c>
      <c r="AE24" s="19">
        <v>21</v>
      </c>
      <c r="AF24" s="20" t="s">
        <v>59</v>
      </c>
      <c r="AG24" s="21">
        <v>84</v>
      </c>
      <c r="AH24" s="21">
        <f t="shared" si="6"/>
        <v>3989.3851190476189</v>
      </c>
      <c r="AI24" s="21">
        <v>335108.34999999998</v>
      </c>
      <c r="AJ24" s="19">
        <v>21</v>
      </c>
      <c r="AK24" s="20" t="s">
        <v>37</v>
      </c>
      <c r="AL24" s="21">
        <v>84</v>
      </c>
      <c r="AM24" s="21">
        <f t="shared" si="7"/>
        <v>3814.3295238095238</v>
      </c>
      <c r="AN24" s="21">
        <v>320403.68</v>
      </c>
      <c r="AO24" s="19">
        <v>21</v>
      </c>
      <c r="AP24" s="20" t="s">
        <v>59</v>
      </c>
      <c r="AQ24" s="21">
        <v>72</v>
      </c>
      <c r="AR24" s="21">
        <f t="shared" si="8"/>
        <v>4266.5211111111112</v>
      </c>
      <c r="AS24" s="21">
        <v>307189.52</v>
      </c>
      <c r="AT24" s="19">
        <v>21</v>
      </c>
      <c r="AU24" s="20" t="s">
        <v>25</v>
      </c>
      <c r="AV24" s="21">
        <v>60</v>
      </c>
      <c r="AW24" s="21">
        <f t="shared" si="9"/>
        <v>3256.0566666666664</v>
      </c>
      <c r="AX24" s="21">
        <v>195363.4</v>
      </c>
      <c r="AY24" s="19">
        <v>21</v>
      </c>
      <c r="AZ24" s="20" t="s">
        <v>15</v>
      </c>
      <c r="BA24" s="21">
        <v>126</v>
      </c>
      <c r="BB24" s="21">
        <f t="shared" si="10"/>
        <v>3865.5201587301585</v>
      </c>
      <c r="BC24" s="21">
        <v>487055.54</v>
      </c>
      <c r="BD24" s="19">
        <v>21</v>
      </c>
      <c r="BE24" s="20" t="s">
        <v>15</v>
      </c>
      <c r="BF24" s="21">
        <v>100</v>
      </c>
      <c r="BG24" s="21">
        <f t="shared" si="11"/>
        <v>5386.9799000000003</v>
      </c>
      <c r="BH24" s="21">
        <v>538697.99</v>
      </c>
      <c r="BI24" s="19">
        <v>21</v>
      </c>
      <c r="BJ24" s="20" t="s">
        <v>15</v>
      </c>
      <c r="BK24" s="21">
        <v>1582</v>
      </c>
      <c r="BL24" s="21">
        <f t="shared" si="12"/>
        <v>4232.3849367888743</v>
      </c>
      <c r="BM24" s="21">
        <v>6695632.9699999997</v>
      </c>
      <c r="BN24" s="29">
        <f t="shared" si="13"/>
        <v>1.551923718338598E-2</v>
      </c>
      <c r="BO24" s="29">
        <f t="shared" si="14"/>
        <v>1.8259620287074969E-2</v>
      </c>
    </row>
    <row r="25" spans="1:67" x14ac:dyDescent="0.3">
      <c r="A25" s="19">
        <v>22</v>
      </c>
      <c r="B25" s="20" t="s">
        <v>20</v>
      </c>
      <c r="C25" s="21">
        <v>71</v>
      </c>
      <c r="D25" s="21">
        <f t="shared" si="0"/>
        <v>4966.0052112676058</v>
      </c>
      <c r="E25" s="21">
        <v>352586.37</v>
      </c>
      <c r="F25" s="19">
        <v>22</v>
      </c>
      <c r="G25" s="20" t="s">
        <v>31</v>
      </c>
      <c r="H25" s="21">
        <v>69</v>
      </c>
      <c r="I25" s="21">
        <f t="shared" si="1"/>
        <v>4715.1810144927531</v>
      </c>
      <c r="J25" s="21">
        <v>325347.49</v>
      </c>
      <c r="K25" s="19">
        <v>22</v>
      </c>
      <c r="L25" s="20" t="s">
        <v>40</v>
      </c>
      <c r="M25" s="21">
        <v>52</v>
      </c>
      <c r="N25" s="21">
        <f t="shared" si="2"/>
        <v>4910.4069230769228</v>
      </c>
      <c r="O25" s="21">
        <v>255341.16</v>
      </c>
      <c r="P25" s="19">
        <v>22</v>
      </c>
      <c r="Q25" s="20" t="s">
        <v>24</v>
      </c>
      <c r="R25" s="21">
        <v>48</v>
      </c>
      <c r="S25" s="21">
        <f t="shared" si="3"/>
        <v>2924.6729166666664</v>
      </c>
      <c r="T25" s="21">
        <v>140384.29999999999</v>
      </c>
      <c r="U25" s="19">
        <v>22</v>
      </c>
      <c r="V25" s="20" t="s">
        <v>59</v>
      </c>
      <c r="W25" s="21">
        <v>59</v>
      </c>
      <c r="X25" s="21">
        <f t="shared" si="4"/>
        <v>3721.3579661016947</v>
      </c>
      <c r="Y25" s="21">
        <v>219560.12</v>
      </c>
      <c r="Z25" s="19">
        <v>22</v>
      </c>
      <c r="AA25" s="20" t="s">
        <v>27</v>
      </c>
      <c r="AB25" s="21">
        <v>57</v>
      </c>
      <c r="AC25" s="21">
        <f t="shared" si="5"/>
        <v>4234.779298245614</v>
      </c>
      <c r="AD25" s="21">
        <v>241382.42</v>
      </c>
      <c r="AE25" s="19">
        <v>22</v>
      </c>
      <c r="AF25" s="20" t="s">
        <v>26</v>
      </c>
      <c r="AG25" s="21">
        <v>67</v>
      </c>
      <c r="AH25" s="21">
        <f t="shared" si="6"/>
        <v>3632.8916417910445</v>
      </c>
      <c r="AI25" s="21">
        <v>243403.74</v>
      </c>
      <c r="AJ25" s="19">
        <v>22</v>
      </c>
      <c r="AK25" s="20" t="s">
        <v>19</v>
      </c>
      <c r="AL25" s="21">
        <v>78</v>
      </c>
      <c r="AM25" s="21">
        <f t="shared" si="7"/>
        <v>4009.8901282051279</v>
      </c>
      <c r="AN25" s="21">
        <v>312771.43</v>
      </c>
      <c r="AO25" s="19">
        <v>22</v>
      </c>
      <c r="AP25" s="20" t="s">
        <v>19</v>
      </c>
      <c r="AQ25" s="21">
        <v>63</v>
      </c>
      <c r="AR25" s="21">
        <f t="shared" si="8"/>
        <v>3522.1020634920633</v>
      </c>
      <c r="AS25" s="21">
        <v>221892.43</v>
      </c>
      <c r="AT25" s="19">
        <v>22</v>
      </c>
      <c r="AU25" s="20" t="s">
        <v>40</v>
      </c>
      <c r="AV25" s="21">
        <v>58</v>
      </c>
      <c r="AW25" s="21">
        <f t="shared" si="9"/>
        <v>3637.52</v>
      </c>
      <c r="AX25" s="21">
        <v>210976.16</v>
      </c>
      <c r="AY25" s="19">
        <v>22</v>
      </c>
      <c r="AZ25" s="20" t="s">
        <v>16</v>
      </c>
      <c r="BA25" s="21">
        <v>116</v>
      </c>
      <c r="BB25" s="21">
        <f t="shared" si="10"/>
        <v>4064.3684482758622</v>
      </c>
      <c r="BC25" s="21">
        <v>471466.74</v>
      </c>
      <c r="BD25" s="19">
        <v>22</v>
      </c>
      <c r="BE25" s="20" t="s">
        <v>37</v>
      </c>
      <c r="BF25" s="21">
        <v>90</v>
      </c>
      <c r="BG25" s="21">
        <f t="shared" si="11"/>
        <v>3770.0926666666669</v>
      </c>
      <c r="BH25" s="21">
        <v>339308.34</v>
      </c>
      <c r="BI25" s="19">
        <v>22</v>
      </c>
      <c r="BJ25" s="20" t="s">
        <v>26</v>
      </c>
      <c r="BK25" s="21">
        <v>822</v>
      </c>
      <c r="BL25" s="21">
        <f t="shared" si="12"/>
        <v>3871.2185279805353</v>
      </c>
      <c r="BM25" s="21">
        <v>3182141.63</v>
      </c>
      <c r="BN25" s="29">
        <f t="shared" si="13"/>
        <v>8.0637250093193898E-3</v>
      </c>
      <c r="BO25" s="29">
        <f t="shared" si="14"/>
        <v>8.6779992457522367E-3</v>
      </c>
    </row>
    <row r="26" spans="1:67" x14ac:dyDescent="0.3">
      <c r="A26" s="19">
        <v>23</v>
      </c>
      <c r="B26" s="20" t="s">
        <v>75</v>
      </c>
      <c r="C26" s="21">
        <v>64</v>
      </c>
      <c r="D26" s="21">
        <f t="shared" si="0"/>
        <v>2167.6584375000002</v>
      </c>
      <c r="E26" s="21">
        <v>138730.14000000001</v>
      </c>
      <c r="F26" s="19">
        <v>23</v>
      </c>
      <c r="G26" s="20" t="s">
        <v>27</v>
      </c>
      <c r="H26" s="21">
        <v>66</v>
      </c>
      <c r="I26" s="21">
        <f t="shared" si="1"/>
        <v>4080.320909090909</v>
      </c>
      <c r="J26" s="21">
        <v>269301.18</v>
      </c>
      <c r="K26" s="19">
        <v>23</v>
      </c>
      <c r="L26" s="20" t="s">
        <v>27</v>
      </c>
      <c r="M26" s="21">
        <v>49</v>
      </c>
      <c r="N26" s="21">
        <f t="shared" si="2"/>
        <v>3958.031632653061</v>
      </c>
      <c r="O26" s="21">
        <v>193943.55</v>
      </c>
      <c r="P26" s="19">
        <v>23</v>
      </c>
      <c r="Q26" s="20" t="s">
        <v>25</v>
      </c>
      <c r="R26" s="21">
        <v>47</v>
      </c>
      <c r="S26" s="21">
        <f t="shared" si="3"/>
        <v>4433.6502127659578</v>
      </c>
      <c r="T26" s="21">
        <v>208381.56</v>
      </c>
      <c r="U26" s="19">
        <v>23</v>
      </c>
      <c r="V26" s="20" t="s">
        <v>26</v>
      </c>
      <c r="W26" s="21">
        <v>53</v>
      </c>
      <c r="X26" s="21">
        <f t="shared" si="4"/>
        <v>4157.3058490566036</v>
      </c>
      <c r="Y26" s="21">
        <v>220337.21</v>
      </c>
      <c r="Z26" s="19">
        <v>23</v>
      </c>
      <c r="AA26" s="20" t="s">
        <v>19</v>
      </c>
      <c r="AB26" s="21">
        <v>57</v>
      </c>
      <c r="AC26" s="21">
        <f t="shared" si="5"/>
        <v>3529.4435087719298</v>
      </c>
      <c r="AD26" s="21">
        <v>201178.28</v>
      </c>
      <c r="AE26" s="19">
        <v>23</v>
      </c>
      <c r="AF26" s="20" t="s">
        <v>27</v>
      </c>
      <c r="AG26" s="21">
        <v>64</v>
      </c>
      <c r="AH26" s="21">
        <f t="shared" si="6"/>
        <v>2938.140625</v>
      </c>
      <c r="AI26" s="21">
        <v>188041</v>
      </c>
      <c r="AJ26" s="19">
        <v>23</v>
      </c>
      <c r="AK26" s="20" t="s">
        <v>20</v>
      </c>
      <c r="AL26" s="21">
        <v>75</v>
      </c>
      <c r="AM26" s="21">
        <f t="shared" si="7"/>
        <v>3474.9735999999998</v>
      </c>
      <c r="AN26" s="21">
        <v>260623.02</v>
      </c>
      <c r="AO26" s="19">
        <v>23</v>
      </c>
      <c r="AP26" s="20" t="s">
        <v>20</v>
      </c>
      <c r="AQ26" s="21">
        <v>55</v>
      </c>
      <c r="AR26" s="21">
        <f t="shared" si="8"/>
        <v>2670.2814545454548</v>
      </c>
      <c r="AS26" s="21">
        <v>146865.48000000001</v>
      </c>
      <c r="AT26" s="19">
        <v>23</v>
      </c>
      <c r="AU26" s="20" t="s">
        <v>29</v>
      </c>
      <c r="AV26" s="21">
        <v>56</v>
      </c>
      <c r="AW26" s="21">
        <f t="shared" si="9"/>
        <v>2409.9837499999999</v>
      </c>
      <c r="AX26" s="21">
        <v>134959.09</v>
      </c>
      <c r="AY26" s="19">
        <v>23</v>
      </c>
      <c r="AZ26" s="20" t="s">
        <v>37</v>
      </c>
      <c r="BA26" s="21">
        <v>104</v>
      </c>
      <c r="BB26" s="21">
        <f t="shared" si="10"/>
        <v>3373.1911538461541</v>
      </c>
      <c r="BC26" s="21">
        <v>350811.88</v>
      </c>
      <c r="BD26" s="19">
        <v>23</v>
      </c>
      <c r="BE26" s="20" t="s">
        <v>45</v>
      </c>
      <c r="BF26" s="21">
        <v>89</v>
      </c>
      <c r="BG26" s="21">
        <f t="shared" si="11"/>
        <v>1596.8914606741573</v>
      </c>
      <c r="BH26" s="21">
        <v>142123.34</v>
      </c>
      <c r="BI26" s="19">
        <v>23</v>
      </c>
      <c r="BJ26" s="20" t="s">
        <v>20</v>
      </c>
      <c r="BK26" s="21">
        <v>793</v>
      </c>
      <c r="BL26" s="21">
        <f t="shared" si="12"/>
        <v>3676.1181462799495</v>
      </c>
      <c r="BM26" s="21">
        <v>2915161.69</v>
      </c>
      <c r="BN26" s="29">
        <f t="shared" si="13"/>
        <v>7.7792383605721121E-3</v>
      </c>
      <c r="BO26" s="29">
        <f t="shared" si="14"/>
        <v>7.9499198616957284E-3</v>
      </c>
    </row>
    <row r="27" spans="1:67" x14ac:dyDescent="0.3">
      <c r="A27" s="19">
        <v>24</v>
      </c>
      <c r="B27" s="20" t="s">
        <v>78</v>
      </c>
      <c r="C27" s="21">
        <v>63</v>
      </c>
      <c r="D27" s="21">
        <f t="shared" si="0"/>
        <v>1888.2007936507935</v>
      </c>
      <c r="E27" s="21">
        <v>118956.65</v>
      </c>
      <c r="F27" s="19">
        <v>24</v>
      </c>
      <c r="G27" s="20" t="s">
        <v>109</v>
      </c>
      <c r="H27" s="21">
        <v>65</v>
      </c>
      <c r="I27" s="21">
        <f t="shared" si="1"/>
        <v>4015.6715384615381</v>
      </c>
      <c r="J27" s="21">
        <v>261018.65</v>
      </c>
      <c r="K27" s="19">
        <v>24</v>
      </c>
      <c r="L27" s="20" t="s">
        <v>39</v>
      </c>
      <c r="M27" s="21">
        <v>48</v>
      </c>
      <c r="N27" s="21">
        <f t="shared" si="2"/>
        <v>5337.0354166666666</v>
      </c>
      <c r="O27" s="21">
        <v>256177.7</v>
      </c>
      <c r="P27" s="19">
        <v>24</v>
      </c>
      <c r="Q27" s="20" t="s">
        <v>59</v>
      </c>
      <c r="R27" s="21">
        <v>40</v>
      </c>
      <c r="S27" s="21">
        <f t="shared" si="3"/>
        <v>2821.1104999999998</v>
      </c>
      <c r="T27" s="21">
        <v>112844.42</v>
      </c>
      <c r="U27" s="19">
        <v>24</v>
      </c>
      <c r="V27" s="20" t="s">
        <v>51</v>
      </c>
      <c r="W27" s="21">
        <v>46</v>
      </c>
      <c r="X27" s="21">
        <f t="shared" si="4"/>
        <v>3440.003695652174</v>
      </c>
      <c r="Y27" s="21">
        <v>158240.17000000001</v>
      </c>
      <c r="Z27" s="19">
        <v>24</v>
      </c>
      <c r="AA27" s="20" t="s">
        <v>25</v>
      </c>
      <c r="AB27" s="21">
        <v>43</v>
      </c>
      <c r="AC27" s="21">
        <f t="shared" si="5"/>
        <v>3655.9625581395353</v>
      </c>
      <c r="AD27" s="21">
        <v>157206.39000000001</v>
      </c>
      <c r="AE27" s="19">
        <v>24</v>
      </c>
      <c r="AF27" s="20" t="s">
        <v>63</v>
      </c>
      <c r="AG27" s="21">
        <v>59</v>
      </c>
      <c r="AH27" s="21">
        <f t="shared" si="6"/>
        <v>2756.0020338983049</v>
      </c>
      <c r="AI27" s="21">
        <v>162604.12</v>
      </c>
      <c r="AJ27" s="19">
        <v>24</v>
      </c>
      <c r="AK27" s="20" t="s">
        <v>26</v>
      </c>
      <c r="AL27" s="21">
        <v>60</v>
      </c>
      <c r="AM27" s="21">
        <f t="shared" si="7"/>
        <v>3917.7818333333335</v>
      </c>
      <c r="AN27" s="21">
        <v>235066.91</v>
      </c>
      <c r="AO27" s="19">
        <v>24</v>
      </c>
      <c r="AP27" s="20" t="s">
        <v>25</v>
      </c>
      <c r="AQ27" s="21">
        <v>48</v>
      </c>
      <c r="AR27" s="21">
        <f t="shared" si="8"/>
        <v>3189.962708333333</v>
      </c>
      <c r="AS27" s="21">
        <v>153118.21</v>
      </c>
      <c r="AT27" s="19">
        <v>24</v>
      </c>
      <c r="AU27" s="20" t="s">
        <v>109</v>
      </c>
      <c r="AV27" s="21">
        <v>56</v>
      </c>
      <c r="AW27" s="21">
        <f t="shared" si="9"/>
        <v>4504.1435714285717</v>
      </c>
      <c r="AX27" s="21">
        <v>252232.04</v>
      </c>
      <c r="AY27" s="19">
        <v>24</v>
      </c>
      <c r="AZ27" s="20" t="s">
        <v>31</v>
      </c>
      <c r="BA27" s="21">
        <v>100</v>
      </c>
      <c r="BB27" s="21">
        <f t="shared" si="10"/>
        <v>4014.0115000000001</v>
      </c>
      <c r="BC27" s="21">
        <v>401401.15</v>
      </c>
      <c r="BD27" s="19">
        <v>24</v>
      </c>
      <c r="BE27" s="20" t="s">
        <v>21</v>
      </c>
      <c r="BF27" s="21">
        <v>85</v>
      </c>
      <c r="BG27" s="21">
        <f t="shared" si="11"/>
        <v>6136.0982352941173</v>
      </c>
      <c r="BH27" s="21">
        <v>521568.35</v>
      </c>
      <c r="BI27" s="19">
        <v>24</v>
      </c>
      <c r="BJ27" s="20" t="s">
        <v>24</v>
      </c>
      <c r="BK27" s="21">
        <v>751</v>
      </c>
      <c r="BL27" s="21">
        <f t="shared" si="12"/>
        <v>2823.0741944074571</v>
      </c>
      <c r="BM27" s="21">
        <v>2120128.7200000002</v>
      </c>
      <c r="BN27" s="29">
        <f t="shared" si="13"/>
        <v>7.3672232141105375E-3</v>
      </c>
      <c r="BO27" s="29">
        <f t="shared" si="14"/>
        <v>5.7817902445334145E-3</v>
      </c>
    </row>
    <row r="28" spans="1:67" x14ac:dyDescent="0.3">
      <c r="A28" s="19">
        <v>25</v>
      </c>
      <c r="B28" s="20" t="s">
        <v>16</v>
      </c>
      <c r="C28" s="21">
        <v>59</v>
      </c>
      <c r="D28" s="21">
        <f t="shared" si="0"/>
        <v>3607.9276271186441</v>
      </c>
      <c r="E28" s="21">
        <v>212867.73</v>
      </c>
      <c r="F28" s="19">
        <v>25</v>
      </c>
      <c r="G28" s="20" t="s">
        <v>40</v>
      </c>
      <c r="H28" s="21">
        <v>62</v>
      </c>
      <c r="I28" s="21">
        <f t="shared" si="1"/>
        <v>3741.6508064516129</v>
      </c>
      <c r="J28" s="21">
        <v>231982.35</v>
      </c>
      <c r="K28" s="19">
        <v>25</v>
      </c>
      <c r="L28" s="20" t="s">
        <v>43</v>
      </c>
      <c r="M28" s="21">
        <v>47</v>
      </c>
      <c r="N28" s="21">
        <f t="shared" si="2"/>
        <v>4218.4557446808512</v>
      </c>
      <c r="O28" s="21">
        <v>198267.42</v>
      </c>
      <c r="P28" s="19">
        <v>25</v>
      </c>
      <c r="Q28" s="20" t="s">
        <v>35</v>
      </c>
      <c r="R28" s="21">
        <v>40</v>
      </c>
      <c r="S28" s="21">
        <f t="shared" si="3"/>
        <v>3795.9410000000003</v>
      </c>
      <c r="T28" s="21">
        <v>151837.64000000001</v>
      </c>
      <c r="U28" s="19">
        <v>25</v>
      </c>
      <c r="V28" s="20" t="s">
        <v>20</v>
      </c>
      <c r="W28" s="21">
        <v>43</v>
      </c>
      <c r="X28" s="21">
        <f t="shared" si="4"/>
        <v>2612.2981395348838</v>
      </c>
      <c r="Y28" s="21">
        <v>112328.82</v>
      </c>
      <c r="Z28" s="19">
        <v>25</v>
      </c>
      <c r="AA28" s="20" t="s">
        <v>24</v>
      </c>
      <c r="AB28" s="21">
        <v>42</v>
      </c>
      <c r="AC28" s="21">
        <f t="shared" si="5"/>
        <v>2760.0461904761905</v>
      </c>
      <c r="AD28" s="21">
        <v>115921.94</v>
      </c>
      <c r="AE28" s="19">
        <v>25</v>
      </c>
      <c r="AF28" s="20" t="s">
        <v>19</v>
      </c>
      <c r="AG28" s="21">
        <v>55</v>
      </c>
      <c r="AH28" s="21">
        <f t="shared" si="6"/>
        <v>3655.0785454545457</v>
      </c>
      <c r="AI28" s="21">
        <v>201029.32</v>
      </c>
      <c r="AJ28" s="19">
        <v>25</v>
      </c>
      <c r="AK28" s="20" t="s">
        <v>30</v>
      </c>
      <c r="AL28" s="21">
        <v>58</v>
      </c>
      <c r="AM28" s="21">
        <f t="shared" si="7"/>
        <v>5032.5674137931028</v>
      </c>
      <c r="AN28" s="21">
        <v>291888.90999999997</v>
      </c>
      <c r="AO28" s="19">
        <v>25</v>
      </c>
      <c r="AP28" s="20" t="s">
        <v>24</v>
      </c>
      <c r="AQ28" s="21">
        <v>46</v>
      </c>
      <c r="AR28" s="21">
        <f t="shared" si="8"/>
        <v>2569.2080434782611</v>
      </c>
      <c r="AS28" s="21">
        <v>118183.57</v>
      </c>
      <c r="AT28" s="19">
        <v>25</v>
      </c>
      <c r="AU28" s="20" t="s">
        <v>15</v>
      </c>
      <c r="AV28" s="21">
        <v>55</v>
      </c>
      <c r="AW28" s="21">
        <f t="shared" si="9"/>
        <v>3996.8094545454542</v>
      </c>
      <c r="AX28" s="21">
        <v>219824.52</v>
      </c>
      <c r="AY28" s="19">
        <v>25</v>
      </c>
      <c r="AZ28" s="20" t="s">
        <v>39</v>
      </c>
      <c r="BA28" s="21">
        <v>89</v>
      </c>
      <c r="BB28" s="21">
        <f t="shared" si="10"/>
        <v>4076.873258426966</v>
      </c>
      <c r="BC28" s="21">
        <v>362841.72</v>
      </c>
      <c r="BD28" s="19">
        <v>25</v>
      </c>
      <c r="BE28" s="20" t="s">
        <v>7</v>
      </c>
      <c r="BF28" s="21">
        <v>82</v>
      </c>
      <c r="BG28" s="21">
        <f t="shared" si="11"/>
        <v>3202.7531707317075</v>
      </c>
      <c r="BH28" s="21">
        <v>262625.76</v>
      </c>
      <c r="BI28" s="19">
        <v>25</v>
      </c>
      <c r="BJ28" s="20" t="s">
        <v>27</v>
      </c>
      <c r="BK28" s="21">
        <v>729</v>
      </c>
      <c r="BL28" s="21">
        <f t="shared" si="12"/>
        <v>4116.9582990397803</v>
      </c>
      <c r="BM28" s="21">
        <v>3001262.6</v>
      </c>
      <c r="BN28" s="29">
        <f t="shared" si="13"/>
        <v>7.1514057564401896E-3</v>
      </c>
      <c r="BO28" s="29">
        <f t="shared" si="14"/>
        <v>8.1847251340300652E-3</v>
      </c>
    </row>
    <row r="29" spans="1:67" x14ac:dyDescent="0.3">
      <c r="A29" s="19">
        <v>26</v>
      </c>
      <c r="B29" s="20" t="s">
        <v>39</v>
      </c>
      <c r="C29" s="21">
        <v>55</v>
      </c>
      <c r="D29" s="21">
        <f t="shared" si="0"/>
        <v>5327.2449090909085</v>
      </c>
      <c r="E29" s="21">
        <v>292998.46999999997</v>
      </c>
      <c r="F29" s="19">
        <v>26</v>
      </c>
      <c r="G29" s="20" t="s">
        <v>20</v>
      </c>
      <c r="H29" s="21">
        <v>58</v>
      </c>
      <c r="I29" s="21">
        <f t="shared" si="1"/>
        <v>4755.4618965517238</v>
      </c>
      <c r="J29" s="21">
        <v>275816.78999999998</v>
      </c>
      <c r="K29" s="19">
        <v>26</v>
      </c>
      <c r="L29" s="20" t="s">
        <v>20</v>
      </c>
      <c r="M29" s="21">
        <v>39</v>
      </c>
      <c r="N29" s="21">
        <f t="shared" si="2"/>
        <v>4261.3882051282053</v>
      </c>
      <c r="O29" s="21">
        <v>166194.14000000001</v>
      </c>
      <c r="P29" s="19">
        <v>26</v>
      </c>
      <c r="Q29" s="20" t="s">
        <v>39</v>
      </c>
      <c r="R29" s="21">
        <v>40</v>
      </c>
      <c r="S29" s="21">
        <f t="shared" si="3"/>
        <v>4118.3265000000001</v>
      </c>
      <c r="T29" s="21">
        <v>164733.06</v>
      </c>
      <c r="U29" s="19">
        <v>26</v>
      </c>
      <c r="V29" s="20" t="s">
        <v>27</v>
      </c>
      <c r="W29" s="21">
        <v>42</v>
      </c>
      <c r="X29" s="21">
        <f t="shared" si="4"/>
        <v>3261.06</v>
      </c>
      <c r="Y29" s="21">
        <v>136964.51999999999</v>
      </c>
      <c r="Z29" s="19">
        <v>26</v>
      </c>
      <c r="AA29" s="20" t="s">
        <v>20</v>
      </c>
      <c r="AB29" s="21">
        <v>39</v>
      </c>
      <c r="AC29" s="21">
        <f t="shared" si="5"/>
        <v>2945.4366666666665</v>
      </c>
      <c r="AD29" s="21">
        <v>114872.03</v>
      </c>
      <c r="AE29" s="19">
        <v>26</v>
      </c>
      <c r="AF29" s="20" t="s">
        <v>51</v>
      </c>
      <c r="AG29" s="21">
        <v>50</v>
      </c>
      <c r="AH29" s="21">
        <f t="shared" si="6"/>
        <v>4175.2447999999995</v>
      </c>
      <c r="AI29" s="21">
        <v>208762.23999999999</v>
      </c>
      <c r="AJ29" s="19">
        <v>26</v>
      </c>
      <c r="AK29" s="20" t="s">
        <v>24</v>
      </c>
      <c r="AL29" s="21">
        <v>54</v>
      </c>
      <c r="AM29" s="21">
        <f t="shared" si="7"/>
        <v>3122.1029629629629</v>
      </c>
      <c r="AN29" s="21">
        <v>168593.56</v>
      </c>
      <c r="AO29" s="19">
        <v>26</v>
      </c>
      <c r="AP29" s="20" t="s">
        <v>27</v>
      </c>
      <c r="AQ29" s="21">
        <v>35</v>
      </c>
      <c r="AR29" s="21">
        <f t="shared" si="8"/>
        <v>3114.6102857142855</v>
      </c>
      <c r="AS29" s="21">
        <v>109011.36</v>
      </c>
      <c r="AT29" s="19">
        <v>26</v>
      </c>
      <c r="AU29" s="20" t="s">
        <v>21</v>
      </c>
      <c r="AV29" s="21">
        <v>54</v>
      </c>
      <c r="AW29" s="21">
        <f t="shared" si="9"/>
        <v>3886.0129629629632</v>
      </c>
      <c r="AX29" s="21">
        <v>209844.7</v>
      </c>
      <c r="AY29" s="19">
        <v>26</v>
      </c>
      <c r="AZ29" s="20" t="s">
        <v>25</v>
      </c>
      <c r="BA29" s="21">
        <v>71</v>
      </c>
      <c r="BB29" s="21">
        <f t="shared" si="10"/>
        <v>3754.388028169014</v>
      </c>
      <c r="BC29" s="21">
        <v>266561.55</v>
      </c>
      <c r="BD29" s="19">
        <v>26</v>
      </c>
      <c r="BE29" s="20" t="s">
        <v>39</v>
      </c>
      <c r="BF29" s="21">
        <v>72</v>
      </c>
      <c r="BG29" s="21">
        <f t="shared" si="11"/>
        <v>4047.9734722222224</v>
      </c>
      <c r="BH29" s="21">
        <v>291454.09000000003</v>
      </c>
      <c r="BI29" s="19">
        <v>26</v>
      </c>
      <c r="BJ29" s="20" t="s">
        <v>59</v>
      </c>
      <c r="BK29" s="21">
        <v>723</v>
      </c>
      <c r="BL29" s="21">
        <f t="shared" si="12"/>
        <v>4180.4380636237902</v>
      </c>
      <c r="BM29" s="21">
        <v>3022456.72</v>
      </c>
      <c r="BN29" s="29">
        <f t="shared" si="13"/>
        <v>7.0925464498028216E-3</v>
      </c>
      <c r="BO29" s="29">
        <f t="shared" si="14"/>
        <v>8.2425234908475101E-3</v>
      </c>
    </row>
    <row r="30" spans="1:67" x14ac:dyDescent="0.3">
      <c r="A30" s="19">
        <v>27</v>
      </c>
      <c r="B30" s="20" t="s">
        <v>64</v>
      </c>
      <c r="C30" s="21">
        <v>54</v>
      </c>
      <c r="D30" s="21">
        <f t="shared" si="0"/>
        <v>5482.8183333333336</v>
      </c>
      <c r="E30" s="21">
        <v>296072.19</v>
      </c>
      <c r="F30" s="19">
        <v>27</v>
      </c>
      <c r="G30" s="20" t="s">
        <v>75</v>
      </c>
      <c r="H30" s="21">
        <v>56</v>
      </c>
      <c r="I30" s="21">
        <f t="shared" si="1"/>
        <v>4968.2819642857139</v>
      </c>
      <c r="J30" s="21">
        <v>278223.78999999998</v>
      </c>
      <c r="K30" s="19">
        <v>27</v>
      </c>
      <c r="L30" s="20" t="s">
        <v>25</v>
      </c>
      <c r="M30" s="21">
        <v>37</v>
      </c>
      <c r="N30" s="21">
        <f t="shared" si="2"/>
        <v>3546.3940540540539</v>
      </c>
      <c r="O30" s="21">
        <v>131216.57999999999</v>
      </c>
      <c r="P30" s="19">
        <v>27</v>
      </c>
      <c r="Q30" s="20" t="s">
        <v>68</v>
      </c>
      <c r="R30" s="21">
        <v>34</v>
      </c>
      <c r="S30" s="21">
        <f t="shared" si="3"/>
        <v>3731.2358823529412</v>
      </c>
      <c r="T30" s="21">
        <v>126862.02</v>
      </c>
      <c r="U30" s="19">
        <v>27</v>
      </c>
      <c r="V30" s="20" t="s">
        <v>19</v>
      </c>
      <c r="W30" s="21">
        <v>41</v>
      </c>
      <c r="X30" s="21">
        <f t="shared" si="4"/>
        <v>3772.7702439024388</v>
      </c>
      <c r="Y30" s="21">
        <v>154683.57999999999</v>
      </c>
      <c r="Z30" s="19">
        <v>27</v>
      </c>
      <c r="AA30" s="20" t="s">
        <v>31</v>
      </c>
      <c r="AB30" s="21">
        <v>35</v>
      </c>
      <c r="AC30" s="21">
        <f t="shared" si="5"/>
        <v>3762.3091428571429</v>
      </c>
      <c r="AD30" s="21">
        <v>131680.82</v>
      </c>
      <c r="AE30" s="19">
        <v>27</v>
      </c>
      <c r="AF30" s="20" t="s">
        <v>40</v>
      </c>
      <c r="AG30" s="21">
        <v>43</v>
      </c>
      <c r="AH30" s="21">
        <f t="shared" si="6"/>
        <v>4456.2530232558138</v>
      </c>
      <c r="AI30" s="21">
        <v>191618.88</v>
      </c>
      <c r="AJ30" s="19">
        <v>27</v>
      </c>
      <c r="AK30" s="20" t="s">
        <v>27</v>
      </c>
      <c r="AL30" s="21">
        <v>45</v>
      </c>
      <c r="AM30" s="21">
        <f t="shared" si="7"/>
        <v>3675.287777777778</v>
      </c>
      <c r="AN30" s="21">
        <v>165387.95000000001</v>
      </c>
      <c r="AO30" s="19">
        <v>27</v>
      </c>
      <c r="AP30" s="20" t="s">
        <v>29</v>
      </c>
      <c r="AQ30" s="21">
        <v>35</v>
      </c>
      <c r="AR30" s="21">
        <f t="shared" si="8"/>
        <v>2763.0002857142854</v>
      </c>
      <c r="AS30" s="21">
        <v>96705.01</v>
      </c>
      <c r="AT30" s="19">
        <v>27</v>
      </c>
      <c r="AU30" s="20" t="s">
        <v>26</v>
      </c>
      <c r="AV30" s="21">
        <v>43</v>
      </c>
      <c r="AW30" s="21">
        <f t="shared" si="9"/>
        <v>3916.2795348837208</v>
      </c>
      <c r="AX30" s="21">
        <v>168400.02</v>
      </c>
      <c r="AY30" s="19">
        <v>27</v>
      </c>
      <c r="AZ30" s="20" t="s">
        <v>109</v>
      </c>
      <c r="BA30" s="21">
        <v>70</v>
      </c>
      <c r="BB30" s="21">
        <f t="shared" si="10"/>
        <v>4292.7891428571429</v>
      </c>
      <c r="BC30" s="21">
        <v>300495.24</v>
      </c>
      <c r="BD30" s="19">
        <v>27</v>
      </c>
      <c r="BE30" s="20" t="s">
        <v>26</v>
      </c>
      <c r="BF30" s="21">
        <v>71</v>
      </c>
      <c r="BG30" s="21">
        <f t="shared" si="11"/>
        <v>4840.7004225352111</v>
      </c>
      <c r="BH30" s="21">
        <v>343689.73</v>
      </c>
      <c r="BI30" s="19">
        <v>27</v>
      </c>
      <c r="BJ30" s="20" t="s">
        <v>37</v>
      </c>
      <c r="BK30" s="21">
        <v>535</v>
      </c>
      <c r="BL30" s="21">
        <f t="shared" si="12"/>
        <v>3854.9806168224295</v>
      </c>
      <c r="BM30" s="21">
        <v>2062414.63</v>
      </c>
      <c r="BN30" s="29">
        <f t="shared" si="13"/>
        <v>5.2482881751652966E-3</v>
      </c>
      <c r="BO30" s="29">
        <f t="shared" si="14"/>
        <v>5.6243984978029968E-3</v>
      </c>
    </row>
    <row r="31" spans="1:67" x14ac:dyDescent="0.3">
      <c r="A31" s="19">
        <v>28</v>
      </c>
      <c r="B31" s="20" t="s">
        <v>109</v>
      </c>
      <c r="C31" s="21">
        <v>49</v>
      </c>
      <c r="D31" s="21">
        <f t="shared" si="0"/>
        <v>4319.8316326530612</v>
      </c>
      <c r="E31" s="21">
        <v>211671.75</v>
      </c>
      <c r="F31" s="19">
        <v>28</v>
      </c>
      <c r="G31" s="20" t="s">
        <v>25</v>
      </c>
      <c r="H31" s="21">
        <v>55</v>
      </c>
      <c r="I31" s="21">
        <f t="shared" si="1"/>
        <v>7302.5649090909092</v>
      </c>
      <c r="J31" s="21">
        <v>401641.07</v>
      </c>
      <c r="K31" s="19">
        <v>28</v>
      </c>
      <c r="L31" s="20" t="s">
        <v>44</v>
      </c>
      <c r="M31" s="21">
        <v>32</v>
      </c>
      <c r="N31" s="21">
        <f t="shared" si="2"/>
        <v>3604.8143749999999</v>
      </c>
      <c r="O31" s="21">
        <v>115354.06</v>
      </c>
      <c r="P31" s="19">
        <v>28</v>
      </c>
      <c r="Q31" s="20" t="s">
        <v>66</v>
      </c>
      <c r="R31" s="21">
        <v>34</v>
      </c>
      <c r="S31" s="21">
        <f t="shared" si="3"/>
        <v>3898.0758823529409</v>
      </c>
      <c r="T31" s="21">
        <v>132534.57999999999</v>
      </c>
      <c r="U31" s="19">
        <v>28</v>
      </c>
      <c r="V31" s="20" t="s">
        <v>43</v>
      </c>
      <c r="W31" s="21">
        <v>29</v>
      </c>
      <c r="X31" s="21">
        <f t="shared" si="4"/>
        <v>3672.1710344827588</v>
      </c>
      <c r="Y31" s="21">
        <v>106492.96</v>
      </c>
      <c r="Z31" s="19">
        <v>28</v>
      </c>
      <c r="AA31" s="20" t="s">
        <v>71</v>
      </c>
      <c r="AB31" s="21">
        <v>32</v>
      </c>
      <c r="AC31" s="21">
        <f t="shared" si="5"/>
        <v>2947.3209375000001</v>
      </c>
      <c r="AD31" s="21">
        <v>94314.27</v>
      </c>
      <c r="AE31" s="19">
        <v>28</v>
      </c>
      <c r="AF31" s="20" t="s">
        <v>24</v>
      </c>
      <c r="AG31" s="21">
        <v>42</v>
      </c>
      <c r="AH31" s="21">
        <f t="shared" si="6"/>
        <v>2684.8571428571427</v>
      </c>
      <c r="AI31" s="21">
        <v>112764</v>
      </c>
      <c r="AJ31" s="19">
        <v>28</v>
      </c>
      <c r="AK31" s="20" t="s">
        <v>40</v>
      </c>
      <c r="AL31" s="21">
        <v>45</v>
      </c>
      <c r="AM31" s="21">
        <f t="shared" si="7"/>
        <v>5496.3602222222216</v>
      </c>
      <c r="AN31" s="21">
        <v>247336.21</v>
      </c>
      <c r="AO31" s="19">
        <v>28</v>
      </c>
      <c r="AP31" s="20" t="s">
        <v>51</v>
      </c>
      <c r="AQ31" s="21">
        <v>31</v>
      </c>
      <c r="AR31" s="21">
        <f t="shared" si="8"/>
        <v>3619.4448387096772</v>
      </c>
      <c r="AS31" s="21">
        <v>112202.79</v>
      </c>
      <c r="AT31" s="19">
        <v>28</v>
      </c>
      <c r="AU31" s="20" t="s">
        <v>51</v>
      </c>
      <c r="AV31" s="21">
        <v>43</v>
      </c>
      <c r="AW31" s="21">
        <f t="shared" si="9"/>
        <v>4387.8216279069766</v>
      </c>
      <c r="AX31" s="21">
        <v>188676.33</v>
      </c>
      <c r="AY31" s="19">
        <v>28</v>
      </c>
      <c r="AZ31" s="20" t="s">
        <v>44</v>
      </c>
      <c r="BA31" s="21">
        <v>69</v>
      </c>
      <c r="BB31" s="21">
        <f t="shared" si="10"/>
        <v>4300.8562318840586</v>
      </c>
      <c r="BC31" s="21">
        <v>296759.08</v>
      </c>
      <c r="BD31" s="19">
        <v>28</v>
      </c>
      <c r="BE31" s="20" t="s">
        <v>24</v>
      </c>
      <c r="BF31" s="21">
        <v>54</v>
      </c>
      <c r="BG31" s="21">
        <f t="shared" si="11"/>
        <v>2814.3820370370372</v>
      </c>
      <c r="BH31" s="21">
        <v>151976.63</v>
      </c>
      <c r="BI31" s="19">
        <v>28</v>
      </c>
      <c r="BJ31" s="20" t="s">
        <v>25</v>
      </c>
      <c r="BK31" s="21">
        <v>506</v>
      </c>
      <c r="BL31" s="21">
        <f t="shared" si="12"/>
        <v>4165.1147628458493</v>
      </c>
      <c r="BM31" s="21">
        <v>2107548.0699999998</v>
      </c>
      <c r="BN31" s="29">
        <f t="shared" si="13"/>
        <v>4.9638015264180189E-3</v>
      </c>
      <c r="BO31" s="29">
        <f t="shared" si="14"/>
        <v>5.7474816297999227E-3</v>
      </c>
    </row>
    <row r="32" spans="1:67" x14ac:dyDescent="0.3">
      <c r="A32" s="19">
        <v>29</v>
      </c>
      <c r="B32" s="20" t="s">
        <v>31</v>
      </c>
      <c r="C32" s="21">
        <v>38</v>
      </c>
      <c r="D32" s="21">
        <f t="shared" si="0"/>
        <v>6776.390789473684</v>
      </c>
      <c r="E32" s="21">
        <v>257502.85</v>
      </c>
      <c r="F32" s="19">
        <v>29</v>
      </c>
      <c r="G32" s="20" t="s">
        <v>39</v>
      </c>
      <c r="H32" s="21">
        <v>51</v>
      </c>
      <c r="I32" s="21">
        <f t="shared" si="1"/>
        <v>5114.2535294117642</v>
      </c>
      <c r="J32" s="21">
        <v>260826.93</v>
      </c>
      <c r="K32" s="19">
        <v>29</v>
      </c>
      <c r="L32" s="20" t="s">
        <v>37</v>
      </c>
      <c r="M32" s="21">
        <v>30</v>
      </c>
      <c r="N32" s="21">
        <f t="shared" si="2"/>
        <v>3879.7443333333335</v>
      </c>
      <c r="O32" s="21">
        <v>116392.33</v>
      </c>
      <c r="P32" s="19">
        <v>29</v>
      </c>
      <c r="Q32" s="20" t="s">
        <v>20</v>
      </c>
      <c r="R32" s="21">
        <v>31</v>
      </c>
      <c r="S32" s="21">
        <f t="shared" si="3"/>
        <v>4121.108709677419</v>
      </c>
      <c r="T32" s="21">
        <v>127754.37</v>
      </c>
      <c r="U32" s="19">
        <v>29</v>
      </c>
      <c r="V32" s="20" t="s">
        <v>47</v>
      </c>
      <c r="W32" s="21">
        <v>29</v>
      </c>
      <c r="X32" s="21">
        <f t="shared" si="4"/>
        <v>3392.6006896551726</v>
      </c>
      <c r="Y32" s="21">
        <v>98385.42</v>
      </c>
      <c r="Z32" s="19">
        <v>29</v>
      </c>
      <c r="AA32" s="20" t="s">
        <v>26</v>
      </c>
      <c r="AB32" s="21">
        <v>31</v>
      </c>
      <c r="AC32" s="21">
        <f t="shared" si="5"/>
        <v>3216.6874193548388</v>
      </c>
      <c r="AD32" s="21">
        <v>99717.31</v>
      </c>
      <c r="AE32" s="19">
        <v>29</v>
      </c>
      <c r="AF32" s="20" t="s">
        <v>71</v>
      </c>
      <c r="AG32" s="21">
        <v>40</v>
      </c>
      <c r="AH32" s="21">
        <f t="shared" si="6"/>
        <v>3871.0705000000003</v>
      </c>
      <c r="AI32" s="21">
        <v>154842.82</v>
      </c>
      <c r="AJ32" s="19">
        <v>29</v>
      </c>
      <c r="AK32" s="20" t="s">
        <v>63</v>
      </c>
      <c r="AL32" s="21">
        <v>38</v>
      </c>
      <c r="AM32" s="21">
        <f t="shared" si="7"/>
        <v>2329.1707894736842</v>
      </c>
      <c r="AN32" s="21">
        <v>88508.49</v>
      </c>
      <c r="AO32" s="19">
        <v>29</v>
      </c>
      <c r="AP32" s="20" t="s">
        <v>40</v>
      </c>
      <c r="AQ32" s="21">
        <v>29</v>
      </c>
      <c r="AR32" s="21">
        <f t="shared" si="8"/>
        <v>3114.6320689655172</v>
      </c>
      <c r="AS32" s="21">
        <v>90324.33</v>
      </c>
      <c r="AT32" s="19">
        <v>29</v>
      </c>
      <c r="AU32" s="20" t="s">
        <v>24</v>
      </c>
      <c r="AV32" s="21">
        <v>35</v>
      </c>
      <c r="AW32" s="21">
        <f t="shared" si="9"/>
        <v>3020.0734285714288</v>
      </c>
      <c r="AX32" s="21">
        <v>105702.57</v>
      </c>
      <c r="AY32" s="19">
        <v>29</v>
      </c>
      <c r="AZ32" s="20" t="s">
        <v>27</v>
      </c>
      <c r="BA32" s="21">
        <v>57</v>
      </c>
      <c r="BB32" s="21">
        <f t="shared" si="10"/>
        <v>3826.2601754385964</v>
      </c>
      <c r="BC32" s="21">
        <v>218096.83</v>
      </c>
      <c r="BD32" s="19">
        <v>29</v>
      </c>
      <c r="BE32" s="20" t="s">
        <v>31</v>
      </c>
      <c r="BF32" s="21">
        <v>51</v>
      </c>
      <c r="BG32" s="21">
        <f t="shared" si="11"/>
        <v>4126.2333333333336</v>
      </c>
      <c r="BH32" s="21">
        <v>210437.9</v>
      </c>
      <c r="BI32" s="19">
        <v>29</v>
      </c>
      <c r="BJ32" s="20" t="s">
        <v>39</v>
      </c>
      <c r="BK32" s="21">
        <v>477</v>
      </c>
      <c r="BL32" s="21">
        <f t="shared" si="12"/>
        <v>4433.2992662473798</v>
      </c>
      <c r="BM32" s="21">
        <v>2114683.75</v>
      </c>
      <c r="BN32" s="29">
        <f t="shared" si="13"/>
        <v>4.6793148776707412E-3</v>
      </c>
      <c r="BO32" s="29">
        <f t="shared" si="14"/>
        <v>5.7669412996883213E-3</v>
      </c>
    </row>
    <row r="33" spans="1:67" x14ac:dyDescent="0.3">
      <c r="A33" s="19">
        <v>30</v>
      </c>
      <c r="B33" s="20" t="s">
        <v>25</v>
      </c>
      <c r="C33" s="21">
        <v>37</v>
      </c>
      <c r="D33" s="21">
        <f t="shared" si="0"/>
        <v>5729.0402702702704</v>
      </c>
      <c r="E33" s="21">
        <v>211974.49</v>
      </c>
      <c r="F33" s="19">
        <v>30</v>
      </c>
      <c r="G33" s="20" t="s">
        <v>43</v>
      </c>
      <c r="H33" s="21">
        <v>47</v>
      </c>
      <c r="I33" s="21">
        <f t="shared" si="1"/>
        <v>4336.7059574468085</v>
      </c>
      <c r="J33" s="21">
        <v>203825.18</v>
      </c>
      <c r="K33" s="19">
        <v>30</v>
      </c>
      <c r="L33" s="20" t="s">
        <v>86</v>
      </c>
      <c r="M33" s="21">
        <v>27</v>
      </c>
      <c r="N33" s="21">
        <f t="shared" si="2"/>
        <v>3065.6655555555558</v>
      </c>
      <c r="O33" s="21">
        <v>82772.97</v>
      </c>
      <c r="P33" s="19">
        <v>30</v>
      </c>
      <c r="Q33" s="20" t="s">
        <v>37</v>
      </c>
      <c r="R33" s="21">
        <v>31</v>
      </c>
      <c r="S33" s="21">
        <f t="shared" si="3"/>
        <v>4693.8906451612902</v>
      </c>
      <c r="T33" s="21">
        <v>145510.60999999999</v>
      </c>
      <c r="U33" s="19">
        <v>30</v>
      </c>
      <c r="V33" s="20" t="s">
        <v>37</v>
      </c>
      <c r="W33" s="21">
        <v>24</v>
      </c>
      <c r="X33" s="21">
        <f t="shared" si="4"/>
        <v>3169.1</v>
      </c>
      <c r="Y33" s="21">
        <v>76058.399999999994</v>
      </c>
      <c r="Z33" s="19">
        <v>30</v>
      </c>
      <c r="AA33" s="20" t="s">
        <v>51</v>
      </c>
      <c r="AB33" s="21">
        <v>30</v>
      </c>
      <c r="AC33" s="21">
        <f t="shared" si="5"/>
        <v>3642.0929999999998</v>
      </c>
      <c r="AD33" s="21">
        <v>109262.79</v>
      </c>
      <c r="AE33" s="19">
        <v>30</v>
      </c>
      <c r="AF33" s="20" t="s">
        <v>37</v>
      </c>
      <c r="AG33" s="21">
        <v>36</v>
      </c>
      <c r="AH33" s="21">
        <f t="shared" si="6"/>
        <v>3807.7277777777781</v>
      </c>
      <c r="AI33" s="21">
        <v>137078.20000000001</v>
      </c>
      <c r="AJ33" s="19">
        <v>30</v>
      </c>
      <c r="AK33" s="20" t="s">
        <v>121</v>
      </c>
      <c r="AL33" s="21">
        <v>34</v>
      </c>
      <c r="AM33" s="21">
        <f t="shared" si="7"/>
        <v>3848.5294117647059</v>
      </c>
      <c r="AN33" s="21">
        <v>130850</v>
      </c>
      <c r="AO33" s="19">
        <v>30</v>
      </c>
      <c r="AP33" s="20" t="s">
        <v>68</v>
      </c>
      <c r="AQ33" s="21">
        <v>18</v>
      </c>
      <c r="AR33" s="21">
        <f t="shared" si="8"/>
        <v>3324.89</v>
      </c>
      <c r="AS33" s="21">
        <v>59848.02</v>
      </c>
      <c r="AT33" s="19">
        <v>30</v>
      </c>
      <c r="AU33" s="20" t="s">
        <v>27</v>
      </c>
      <c r="AV33" s="21">
        <v>31</v>
      </c>
      <c r="AW33" s="21">
        <f t="shared" si="9"/>
        <v>5276.2077419354837</v>
      </c>
      <c r="AX33" s="21">
        <v>163562.44</v>
      </c>
      <c r="AY33" s="19">
        <v>30</v>
      </c>
      <c r="AZ33" s="20" t="s">
        <v>26</v>
      </c>
      <c r="BA33" s="21">
        <v>54</v>
      </c>
      <c r="BB33" s="21">
        <f t="shared" si="10"/>
        <v>4028.9212962962961</v>
      </c>
      <c r="BC33" s="21">
        <v>217561.75</v>
      </c>
      <c r="BD33" s="19">
        <v>30</v>
      </c>
      <c r="BE33" s="20" t="s">
        <v>41</v>
      </c>
      <c r="BF33" s="21">
        <v>45</v>
      </c>
      <c r="BG33" s="21">
        <f t="shared" si="11"/>
        <v>4907.3355555555554</v>
      </c>
      <c r="BH33" s="21">
        <v>220830.1</v>
      </c>
      <c r="BI33" s="19">
        <v>30</v>
      </c>
      <c r="BJ33" s="20" t="s">
        <v>40</v>
      </c>
      <c r="BK33" s="21">
        <v>428</v>
      </c>
      <c r="BL33" s="21">
        <f t="shared" si="12"/>
        <v>4465.9202336448598</v>
      </c>
      <c r="BM33" s="21">
        <v>1911413.86</v>
      </c>
      <c r="BN33" s="29">
        <f t="shared" si="13"/>
        <v>4.1986305401322376E-3</v>
      </c>
      <c r="BO33" s="29">
        <f t="shared" si="14"/>
        <v>5.2126052087129683E-3</v>
      </c>
    </row>
    <row r="34" spans="1:67" x14ac:dyDescent="0.3">
      <c r="A34" s="19">
        <v>31</v>
      </c>
      <c r="B34" s="20" t="s">
        <v>41</v>
      </c>
      <c r="C34" s="21">
        <v>36</v>
      </c>
      <c r="D34" s="21">
        <f t="shared" si="0"/>
        <v>5747.5352777777771</v>
      </c>
      <c r="E34" s="21">
        <v>206911.27</v>
      </c>
      <c r="F34" s="19">
        <v>31</v>
      </c>
      <c r="G34" s="20" t="s">
        <v>44</v>
      </c>
      <c r="H34" s="21">
        <v>39</v>
      </c>
      <c r="I34" s="21">
        <f t="shared" si="1"/>
        <v>4074.207435897436</v>
      </c>
      <c r="J34" s="21">
        <v>158894.09</v>
      </c>
      <c r="K34" s="19">
        <v>31</v>
      </c>
      <c r="L34" s="20" t="s">
        <v>31</v>
      </c>
      <c r="M34" s="21">
        <v>26</v>
      </c>
      <c r="N34" s="21">
        <f t="shared" si="2"/>
        <v>3755.2507692307695</v>
      </c>
      <c r="O34" s="21">
        <v>97636.52</v>
      </c>
      <c r="P34" s="19">
        <v>31</v>
      </c>
      <c r="Q34" s="20" t="s">
        <v>26</v>
      </c>
      <c r="R34" s="21">
        <v>29</v>
      </c>
      <c r="S34" s="21">
        <f t="shared" si="3"/>
        <v>3596.636896551724</v>
      </c>
      <c r="T34" s="21">
        <v>104302.47</v>
      </c>
      <c r="U34" s="19">
        <v>31</v>
      </c>
      <c r="V34" s="20" t="s">
        <v>30</v>
      </c>
      <c r="W34" s="21">
        <v>21</v>
      </c>
      <c r="X34" s="21">
        <f t="shared" si="4"/>
        <v>3742.6995238095237</v>
      </c>
      <c r="Y34" s="21">
        <v>78596.69</v>
      </c>
      <c r="Z34" s="19">
        <v>31</v>
      </c>
      <c r="AA34" s="20" t="s">
        <v>44</v>
      </c>
      <c r="AB34" s="21">
        <v>25</v>
      </c>
      <c r="AC34" s="21">
        <f t="shared" si="5"/>
        <v>3394.3115999999995</v>
      </c>
      <c r="AD34" s="21">
        <v>84857.79</v>
      </c>
      <c r="AE34" s="19">
        <v>31</v>
      </c>
      <c r="AF34" s="20" t="s">
        <v>25</v>
      </c>
      <c r="AG34" s="21">
        <v>36</v>
      </c>
      <c r="AH34" s="21">
        <f t="shared" si="6"/>
        <v>3260.0744444444445</v>
      </c>
      <c r="AI34" s="21">
        <v>117362.68</v>
      </c>
      <c r="AJ34" s="19">
        <v>31</v>
      </c>
      <c r="AK34" s="20" t="s">
        <v>71</v>
      </c>
      <c r="AL34" s="21">
        <v>32</v>
      </c>
      <c r="AM34" s="21">
        <f t="shared" si="7"/>
        <v>3221.2765625000002</v>
      </c>
      <c r="AN34" s="21">
        <v>103080.85</v>
      </c>
      <c r="AO34" s="19">
        <v>31</v>
      </c>
      <c r="AP34" s="20" t="s">
        <v>39</v>
      </c>
      <c r="AQ34" s="21">
        <v>16</v>
      </c>
      <c r="AR34" s="21">
        <f t="shared" si="8"/>
        <v>3750.2525000000001</v>
      </c>
      <c r="AS34" s="21">
        <v>60004.04</v>
      </c>
      <c r="AT34" s="19">
        <v>31</v>
      </c>
      <c r="AU34" s="20" t="s">
        <v>28</v>
      </c>
      <c r="AV34" s="21">
        <v>29</v>
      </c>
      <c r="AW34" s="21">
        <f t="shared" si="9"/>
        <v>3598.0862068965516</v>
      </c>
      <c r="AX34" s="21">
        <v>104344.5</v>
      </c>
      <c r="AY34" s="19">
        <v>31</v>
      </c>
      <c r="AZ34" s="20" t="s">
        <v>43</v>
      </c>
      <c r="BA34" s="21">
        <v>49</v>
      </c>
      <c r="BB34" s="21">
        <f t="shared" si="10"/>
        <v>4247.3679591836735</v>
      </c>
      <c r="BC34" s="21">
        <v>208121.03</v>
      </c>
      <c r="BD34" s="19">
        <v>31</v>
      </c>
      <c r="BE34" s="20" t="s">
        <v>54</v>
      </c>
      <c r="BF34" s="21">
        <v>44</v>
      </c>
      <c r="BG34" s="21">
        <f t="shared" si="11"/>
        <v>3780.7900000000004</v>
      </c>
      <c r="BH34" s="21">
        <v>166354.76</v>
      </c>
      <c r="BI34" s="19">
        <v>31</v>
      </c>
      <c r="BJ34" s="20" t="s">
        <v>31</v>
      </c>
      <c r="BK34" s="21">
        <v>369</v>
      </c>
      <c r="BL34" s="21">
        <f t="shared" si="12"/>
        <v>4364.5076151761523</v>
      </c>
      <c r="BM34" s="21">
        <v>1610503.31</v>
      </c>
      <c r="BN34" s="29">
        <f t="shared" si="13"/>
        <v>3.6198473581981203E-3</v>
      </c>
      <c r="BO34" s="29">
        <f t="shared" si="14"/>
        <v>4.3919938627814889E-3</v>
      </c>
    </row>
    <row r="35" spans="1:67" x14ac:dyDescent="0.3">
      <c r="A35" s="19">
        <v>32</v>
      </c>
      <c r="B35" s="20" t="s">
        <v>59</v>
      </c>
      <c r="C35" s="21">
        <v>34</v>
      </c>
      <c r="D35" s="21">
        <f t="shared" si="0"/>
        <v>4915.0841176470585</v>
      </c>
      <c r="E35" s="21">
        <v>167112.85999999999</v>
      </c>
      <c r="F35" s="19">
        <v>32</v>
      </c>
      <c r="G35" s="20" t="s">
        <v>59</v>
      </c>
      <c r="H35" s="21">
        <v>38</v>
      </c>
      <c r="I35" s="21">
        <f t="shared" si="1"/>
        <v>4133.7794736842106</v>
      </c>
      <c r="J35" s="21">
        <v>157083.62</v>
      </c>
      <c r="K35" s="19">
        <v>32</v>
      </c>
      <c r="L35" s="20" t="s">
        <v>59</v>
      </c>
      <c r="M35" s="21">
        <v>22</v>
      </c>
      <c r="N35" s="21">
        <f t="shared" si="2"/>
        <v>4387.159545454545</v>
      </c>
      <c r="O35" s="21">
        <v>96517.51</v>
      </c>
      <c r="P35" s="19">
        <v>32</v>
      </c>
      <c r="Q35" s="20" t="s">
        <v>41</v>
      </c>
      <c r="R35" s="21">
        <v>28</v>
      </c>
      <c r="S35" s="21">
        <f t="shared" si="3"/>
        <v>4356.9335714285717</v>
      </c>
      <c r="T35" s="21">
        <v>121994.14</v>
      </c>
      <c r="U35" s="19">
        <v>32</v>
      </c>
      <c r="V35" s="20" t="s">
        <v>58</v>
      </c>
      <c r="W35" s="21">
        <v>20</v>
      </c>
      <c r="X35" s="21">
        <f t="shared" si="4"/>
        <v>3834.9614999999999</v>
      </c>
      <c r="Y35" s="21">
        <v>76699.23</v>
      </c>
      <c r="Z35" s="19">
        <v>32</v>
      </c>
      <c r="AA35" s="20" t="s">
        <v>41</v>
      </c>
      <c r="AB35" s="21">
        <v>24</v>
      </c>
      <c r="AC35" s="21">
        <f t="shared" si="5"/>
        <v>3704.4754166666667</v>
      </c>
      <c r="AD35" s="21">
        <v>88907.41</v>
      </c>
      <c r="AE35" s="19">
        <v>32</v>
      </c>
      <c r="AF35" s="20" t="s">
        <v>58</v>
      </c>
      <c r="AG35" s="21">
        <v>35</v>
      </c>
      <c r="AH35" s="21">
        <v>3731.4605714285713</v>
      </c>
      <c r="AI35" s="21">
        <v>130601.12</v>
      </c>
      <c r="AJ35" s="19">
        <v>32</v>
      </c>
      <c r="AK35" s="20" t="s">
        <v>51</v>
      </c>
      <c r="AL35" s="21">
        <v>31</v>
      </c>
      <c r="AM35" s="21">
        <f t="shared" si="7"/>
        <v>3522.8345161290322</v>
      </c>
      <c r="AN35" s="21">
        <v>109207.87</v>
      </c>
      <c r="AO35" s="19">
        <v>32</v>
      </c>
      <c r="AP35" s="20" t="s">
        <v>65</v>
      </c>
      <c r="AQ35" s="21">
        <v>14</v>
      </c>
      <c r="AR35" s="21">
        <f t="shared" si="8"/>
        <v>3968.4614285714283</v>
      </c>
      <c r="AS35" s="21">
        <v>55558.46</v>
      </c>
      <c r="AT35" s="19">
        <v>32</v>
      </c>
      <c r="AU35" s="20" t="s">
        <v>56</v>
      </c>
      <c r="AV35" s="21">
        <v>24</v>
      </c>
      <c r="AW35" s="21">
        <f t="shared" si="9"/>
        <v>350.32333333333332</v>
      </c>
      <c r="AX35" s="21">
        <v>8407.76</v>
      </c>
      <c r="AY35" s="19">
        <v>32</v>
      </c>
      <c r="AZ35" s="20" t="s">
        <v>33</v>
      </c>
      <c r="BA35" s="21">
        <v>44</v>
      </c>
      <c r="BB35" s="21">
        <f t="shared" si="10"/>
        <v>3843.1125000000002</v>
      </c>
      <c r="BC35" s="21">
        <v>169096.95</v>
      </c>
      <c r="BD35" s="19">
        <v>32</v>
      </c>
      <c r="BE35" s="20" t="s">
        <v>43</v>
      </c>
      <c r="BF35" s="21">
        <v>40</v>
      </c>
      <c r="BG35" s="21">
        <f t="shared" si="11"/>
        <v>4596.5619999999999</v>
      </c>
      <c r="BH35" s="21">
        <v>183862.48</v>
      </c>
      <c r="BI35" s="19">
        <v>32</v>
      </c>
      <c r="BJ35" s="20" t="s">
        <v>30</v>
      </c>
      <c r="BK35" s="21">
        <v>339</v>
      </c>
      <c r="BL35" s="21">
        <f t="shared" si="12"/>
        <v>4351.7694985250737</v>
      </c>
      <c r="BM35" s="21">
        <v>1475249.86</v>
      </c>
      <c r="BN35" s="29">
        <f t="shared" si="13"/>
        <v>3.3255508250112815E-3</v>
      </c>
      <c r="BO35" s="29">
        <f t="shared" si="14"/>
        <v>4.0231449950818487E-3</v>
      </c>
    </row>
    <row r="36" spans="1:67" x14ac:dyDescent="0.3">
      <c r="A36" s="19">
        <v>33</v>
      </c>
      <c r="B36" s="20" t="s">
        <v>37</v>
      </c>
      <c r="C36" s="21">
        <v>33</v>
      </c>
      <c r="D36" s="21">
        <f t="shared" si="0"/>
        <v>5856.6339393939397</v>
      </c>
      <c r="E36" s="21">
        <v>193268.92</v>
      </c>
      <c r="F36" s="19">
        <v>33</v>
      </c>
      <c r="G36" s="20" t="s">
        <v>51</v>
      </c>
      <c r="H36" s="21">
        <v>29</v>
      </c>
      <c r="I36" s="21">
        <f t="shared" si="1"/>
        <v>4385.0962068965518</v>
      </c>
      <c r="J36" s="21">
        <v>127167.79</v>
      </c>
      <c r="K36" s="19">
        <v>33</v>
      </c>
      <c r="L36" s="20" t="s">
        <v>28</v>
      </c>
      <c r="M36" s="21">
        <v>21</v>
      </c>
      <c r="N36" s="21">
        <f t="shared" si="2"/>
        <v>3855.4404761904761</v>
      </c>
      <c r="O36" s="21">
        <v>80964.25</v>
      </c>
      <c r="P36" s="19">
        <v>33</v>
      </c>
      <c r="Q36" s="20" t="s">
        <v>28</v>
      </c>
      <c r="R36" s="21">
        <v>26</v>
      </c>
      <c r="S36" s="21">
        <f t="shared" si="3"/>
        <v>3573.4503846153848</v>
      </c>
      <c r="T36" s="21">
        <v>92909.71</v>
      </c>
      <c r="U36" s="19">
        <v>33</v>
      </c>
      <c r="V36" s="20" t="s">
        <v>44</v>
      </c>
      <c r="W36" s="21">
        <v>19</v>
      </c>
      <c r="X36" s="21">
        <f t="shared" si="4"/>
        <v>3340.4952631578949</v>
      </c>
      <c r="Y36" s="21">
        <v>63469.41</v>
      </c>
      <c r="Z36" s="19">
        <v>33</v>
      </c>
      <c r="AA36" s="20" t="s">
        <v>39</v>
      </c>
      <c r="AB36" s="21">
        <v>23</v>
      </c>
      <c r="AC36" s="21">
        <f t="shared" si="5"/>
        <v>4033.8956521739133</v>
      </c>
      <c r="AD36" s="21">
        <v>92779.6</v>
      </c>
      <c r="AE36" s="19">
        <v>33</v>
      </c>
      <c r="AF36" s="20" t="s">
        <v>56</v>
      </c>
      <c r="AG36" s="21">
        <v>25</v>
      </c>
      <c r="AH36" s="21">
        <v>3586.5144</v>
      </c>
      <c r="AI36" s="21">
        <v>89662.86</v>
      </c>
      <c r="AJ36" s="19">
        <v>33</v>
      </c>
      <c r="AK36" s="20" t="s">
        <v>25</v>
      </c>
      <c r="AL36" s="21">
        <v>31</v>
      </c>
      <c r="AM36" s="21">
        <f t="shared" si="7"/>
        <v>3722.0441935483868</v>
      </c>
      <c r="AN36" s="21">
        <v>115383.37</v>
      </c>
      <c r="AO36" s="19">
        <v>33</v>
      </c>
      <c r="AP36" s="20" t="s">
        <v>35</v>
      </c>
      <c r="AQ36" s="21">
        <v>13</v>
      </c>
      <c r="AR36" s="21">
        <f t="shared" si="8"/>
        <v>4092.0446153846156</v>
      </c>
      <c r="AS36" s="21">
        <v>53196.58</v>
      </c>
      <c r="AT36" s="19">
        <v>33</v>
      </c>
      <c r="AU36" s="20" t="s">
        <v>77</v>
      </c>
      <c r="AV36" s="21">
        <v>23</v>
      </c>
      <c r="AW36" s="21">
        <f t="shared" si="9"/>
        <v>5871.1317391304347</v>
      </c>
      <c r="AX36" s="21">
        <v>135036.03</v>
      </c>
      <c r="AY36" s="19">
        <v>33</v>
      </c>
      <c r="AZ36" s="20" t="s">
        <v>40</v>
      </c>
      <c r="BA36" s="21">
        <v>42</v>
      </c>
      <c r="BB36" s="21">
        <f t="shared" si="10"/>
        <v>4184.9288095238098</v>
      </c>
      <c r="BC36" s="21">
        <v>175767.01</v>
      </c>
      <c r="BD36" s="19">
        <v>33</v>
      </c>
      <c r="BE36" s="20" t="s">
        <v>62</v>
      </c>
      <c r="BF36" s="21">
        <v>36</v>
      </c>
      <c r="BG36" s="21">
        <f t="shared" si="11"/>
        <v>5767.318888888889</v>
      </c>
      <c r="BH36" s="21">
        <v>207623.48</v>
      </c>
      <c r="BI36" s="19">
        <v>33</v>
      </c>
      <c r="BJ36" s="20" t="s">
        <v>51</v>
      </c>
      <c r="BK36" s="21">
        <v>337</v>
      </c>
      <c r="BL36" s="21">
        <f t="shared" si="12"/>
        <v>4425.6833531157272</v>
      </c>
      <c r="BM36" s="21">
        <v>1491455.29</v>
      </c>
      <c r="BN36" s="29">
        <f t="shared" si="13"/>
        <v>3.3059310561321586E-3</v>
      </c>
      <c r="BO36" s="29">
        <f t="shared" si="14"/>
        <v>4.0673387254900988E-3</v>
      </c>
    </row>
    <row r="37" spans="1:67" x14ac:dyDescent="0.3">
      <c r="A37" s="19">
        <v>34</v>
      </c>
      <c r="B37" s="20" t="s">
        <v>40</v>
      </c>
      <c r="C37" s="21">
        <v>32</v>
      </c>
      <c r="D37" s="21">
        <f t="shared" si="0"/>
        <v>5218.899375</v>
      </c>
      <c r="E37" s="21">
        <v>167004.78</v>
      </c>
      <c r="F37" s="19">
        <v>34</v>
      </c>
      <c r="G37" s="20" t="s">
        <v>71</v>
      </c>
      <c r="H37" s="21">
        <v>28</v>
      </c>
      <c r="I37" s="21">
        <f t="shared" si="1"/>
        <v>4891.7771428571432</v>
      </c>
      <c r="J37" s="21">
        <v>136969.76</v>
      </c>
      <c r="K37" s="19">
        <v>34</v>
      </c>
      <c r="L37" s="20" t="s">
        <v>67</v>
      </c>
      <c r="M37" s="21">
        <v>20</v>
      </c>
      <c r="N37" s="21">
        <f t="shared" si="2"/>
        <v>3342.7050000000004</v>
      </c>
      <c r="O37" s="21">
        <v>66854.100000000006</v>
      </c>
      <c r="P37" s="19">
        <v>34</v>
      </c>
      <c r="Q37" s="20" t="s">
        <v>40</v>
      </c>
      <c r="R37" s="21">
        <v>23</v>
      </c>
      <c r="S37" s="21">
        <f t="shared" si="3"/>
        <v>4272.807826086957</v>
      </c>
      <c r="T37" s="21">
        <v>98274.58</v>
      </c>
      <c r="U37" s="19">
        <v>34</v>
      </c>
      <c r="V37" s="20" t="s">
        <v>39</v>
      </c>
      <c r="W37" s="21">
        <v>17</v>
      </c>
      <c r="X37" s="21">
        <f t="shared" si="4"/>
        <v>4266.6247058823528</v>
      </c>
      <c r="Y37" s="21">
        <v>72532.62</v>
      </c>
      <c r="Z37" s="19">
        <v>34</v>
      </c>
      <c r="AA37" s="20" t="s">
        <v>28</v>
      </c>
      <c r="AB37" s="21">
        <v>20</v>
      </c>
      <c r="AC37" s="21">
        <f t="shared" si="5"/>
        <v>4098.6040000000003</v>
      </c>
      <c r="AD37" s="21">
        <v>81972.08</v>
      </c>
      <c r="AE37" s="19">
        <v>34</v>
      </c>
      <c r="AF37" s="20" t="s">
        <v>86</v>
      </c>
      <c r="AG37" s="21">
        <v>23</v>
      </c>
      <c r="AH37" s="21">
        <v>3338.4217391304346</v>
      </c>
      <c r="AI37" s="21">
        <v>76783.7</v>
      </c>
      <c r="AJ37" s="19">
        <v>34</v>
      </c>
      <c r="AK37" s="20" t="s">
        <v>77</v>
      </c>
      <c r="AL37" s="21">
        <v>30</v>
      </c>
      <c r="AM37" s="21">
        <f t="shared" si="7"/>
        <v>2628.5573333333332</v>
      </c>
      <c r="AN37" s="21">
        <v>78856.72</v>
      </c>
      <c r="AO37" s="19">
        <v>34</v>
      </c>
      <c r="AP37" s="20" t="s">
        <v>41</v>
      </c>
      <c r="AQ37" s="21">
        <v>13</v>
      </c>
      <c r="AR37" s="21">
        <f t="shared" si="8"/>
        <v>3026.1792307692308</v>
      </c>
      <c r="AS37" s="21">
        <v>39340.33</v>
      </c>
      <c r="AT37" s="19">
        <v>34</v>
      </c>
      <c r="AU37" s="20" t="s">
        <v>47</v>
      </c>
      <c r="AV37" s="21">
        <v>20</v>
      </c>
      <c r="AW37" s="21">
        <f t="shared" si="9"/>
        <v>4295.6165000000001</v>
      </c>
      <c r="AX37" s="21">
        <v>85912.33</v>
      </c>
      <c r="AY37" s="19">
        <v>34</v>
      </c>
      <c r="AZ37" s="20" t="s">
        <v>46</v>
      </c>
      <c r="BA37" s="21">
        <v>36</v>
      </c>
      <c r="BB37" s="21">
        <f t="shared" si="10"/>
        <v>3417.4708333333333</v>
      </c>
      <c r="BC37" s="21">
        <v>123028.95</v>
      </c>
      <c r="BD37" s="19">
        <v>34</v>
      </c>
      <c r="BE37" s="20" t="s">
        <v>44</v>
      </c>
      <c r="BF37" s="21">
        <v>31</v>
      </c>
      <c r="BG37" s="21">
        <f t="shared" si="11"/>
        <v>7149.4470967741927</v>
      </c>
      <c r="BH37" s="21">
        <v>221632.86</v>
      </c>
      <c r="BI37" s="19">
        <v>34</v>
      </c>
      <c r="BJ37" s="20" t="s">
        <v>43</v>
      </c>
      <c r="BK37" s="21">
        <v>300</v>
      </c>
      <c r="BL37" s="21">
        <f t="shared" si="12"/>
        <v>4234.7773999999999</v>
      </c>
      <c r="BM37" s="21">
        <v>1270433.22</v>
      </c>
      <c r="BN37" s="29">
        <f t="shared" si="13"/>
        <v>2.9429653318683905E-3</v>
      </c>
      <c r="BO37" s="29">
        <f t="shared" si="14"/>
        <v>3.4645907715108791E-3</v>
      </c>
    </row>
    <row r="38" spans="1:67" x14ac:dyDescent="0.3">
      <c r="A38" s="19">
        <v>35</v>
      </c>
      <c r="B38" s="20" t="s">
        <v>43</v>
      </c>
      <c r="C38" s="21">
        <v>30</v>
      </c>
      <c r="D38" s="21">
        <f t="shared" si="0"/>
        <v>4584.4299999999994</v>
      </c>
      <c r="E38" s="21">
        <v>137532.9</v>
      </c>
      <c r="F38" s="19">
        <v>35</v>
      </c>
      <c r="G38" s="20" t="s">
        <v>58</v>
      </c>
      <c r="H38" s="21">
        <v>28</v>
      </c>
      <c r="I38" s="21">
        <f t="shared" si="1"/>
        <v>4426.0478571428566</v>
      </c>
      <c r="J38" s="21">
        <v>123929.34</v>
      </c>
      <c r="K38" s="19">
        <v>35</v>
      </c>
      <c r="L38" s="20" t="s">
        <v>41</v>
      </c>
      <c r="M38" s="21">
        <v>20</v>
      </c>
      <c r="N38" s="21">
        <f t="shared" si="2"/>
        <v>3525.2080000000001</v>
      </c>
      <c r="O38" s="21">
        <v>70504.160000000003</v>
      </c>
      <c r="P38" s="19">
        <v>35</v>
      </c>
      <c r="Q38" s="20" t="s">
        <v>30</v>
      </c>
      <c r="R38" s="21">
        <v>21</v>
      </c>
      <c r="S38" s="21">
        <f t="shared" si="3"/>
        <v>3779.7885714285712</v>
      </c>
      <c r="T38" s="21">
        <v>79375.56</v>
      </c>
      <c r="U38" s="19">
        <v>35</v>
      </c>
      <c r="V38" s="20" t="s">
        <v>25</v>
      </c>
      <c r="W38" s="21">
        <v>17</v>
      </c>
      <c r="X38" s="21">
        <f t="shared" si="4"/>
        <v>3840.0252941176473</v>
      </c>
      <c r="Y38" s="21">
        <v>65280.43</v>
      </c>
      <c r="Z38" s="19">
        <v>35</v>
      </c>
      <c r="AA38" s="20" t="s">
        <v>35</v>
      </c>
      <c r="AB38" s="21">
        <v>17</v>
      </c>
      <c r="AC38" s="21">
        <f t="shared" si="5"/>
        <v>2768.7576470588233</v>
      </c>
      <c r="AD38" s="21">
        <v>47068.88</v>
      </c>
      <c r="AE38" s="19">
        <v>35</v>
      </c>
      <c r="AF38" s="20" t="s">
        <v>121</v>
      </c>
      <c r="AG38" s="21">
        <v>22</v>
      </c>
      <c r="AH38" s="21">
        <v>3967.7518181818177</v>
      </c>
      <c r="AI38" s="21">
        <v>87290.54</v>
      </c>
      <c r="AJ38" s="19">
        <v>35</v>
      </c>
      <c r="AK38" s="20" t="s">
        <v>35</v>
      </c>
      <c r="AL38" s="21">
        <v>28</v>
      </c>
      <c r="AM38" s="21">
        <f t="shared" si="7"/>
        <v>2829.8371428571431</v>
      </c>
      <c r="AN38" s="21">
        <v>79235.44</v>
      </c>
      <c r="AO38" s="19">
        <v>35</v>
      </c>
      <c r="AP38" s="20" t="s">
        <v>30</v>
      </c>
      <c r="AQ38" s="21">
        <v>13</v>
      </c>
      <c r="AR38" s="21">
        <f t="shared" si="8"/>
        <v>4252.2430769230768</v>
      </c>
      <c r="AS38" s="21">
        <v>55279.16</v>
      </c>
      <c r="AT38" s="19">
        <v>35</v>
      </c>
      <c r="AU38" s="20" t="s">
        <v>39</v>
      </c>
      <c r="AV38" s="21">
        <v>19</v>
      </c>
      <c r="AW38" s="21">
        <f t="shared" si="9"/>
        <v>4024.214210526316</v>
      </c>
      <c r="AX38" s="21">
        <v>76460.070000000007</v>
      </c>
      <c r="AY38" s="19">
        <v>35</v>
      </c>
      <c r="AZ38" s="20" t="s">
        <v>56</v>
      </c>
      <c r="BA38" s="21">
        <v>36</v>
      </c>
      <c r="BB38" s="21">
        <f t="shared" si="10"/>
        <v>4010.8513888888888</v>
      </c>
      <c r="BC38" s="21">
        <v>144390.65</v>
      </c>
      <c r="BD38" s="19">
        <v>35</v>
      </c>
      <c r="BE38" s="20" t="s">
        <v>40</v>
      </c>
      <c r="BF38" s="21">
        <v>30</v>
      </c>
      <c r="BG38" s="21">
        <f t="shared" si="11"/>
        <v>5495.27</v>
      </c>
      <c r="BH38" s="21">
        <v>164858.1</v>
      </c>
      <c r="BI38" s="19">
        <v>35</v>
      </c>
      <c r="BJ38" s="20" t="s">
        <v>44</v>
      </c>
      <c r="BK38" s="21">
        <v>285</v>
      </c>
      <c r="BL38" s="21">
        <f t="shared" si="12"/>
        <v>4281.947052631579</v>
      </c>
      <c r="BM38" s="21">
        <v>1220354.9099999999</v>
      </c>
      <c r="BN38" s="29">
        <f t="shared" si="13"/>
        <v>2.7958170652749711E-3</v>
      </c>
      <c r="BO38" s="29">
        <f t="shared" si="14"/>
        <v>3.3280225143624545E-3</v>
      </c>
    </row>
    <row r="39" spans="1:67" x14ac:dyDescent="0.3">
      <c r="A39" s="19">
        <v>36</v>
      </c>
      <c r="B39" s="20" t="s">
        <v>28</v>
      </c>
      <c r="C39" s="21">
        <v>29</v>
      </c>
      <c r="D39" s="21">
        <f t="shared" si="0"/>
        <v>4766.4686206896549</v>
      </c>
      <c r="E39" s="21">
        <v>138227.59</v>
      </c>
      <c r="F39" s="19">
        <v>36</v>
      </c>
      <c r="G39" s="20" t="s">
        <v>78</v>
      </c>
      <c r="H39" s="21">
        <v>27</v>
      </c>
      <c r="I39" s="21">
        <f t="shared" si="1"/>
        <v>3328.2362962962966</v>
      </c>
      <c r="J39" s="21">
        <v>89862.38</v>
      </c>
      <c r="K39" s="19">
        <v>36</v>
      </c>
      <c r="L39" s="20" t="s">
        <v>47</v>
      </c>
      <c r="M39" s="21">
        <v>20</v>
      </c>
      <c r="N39" s="21">
        <f t="shared" si="2"/>
        <v>3540.9879999999998</v>
      </c>
      <c r="O39" s="21">
        <v>70819.759999999995</v>
      </c>
      <c r="P39" s="19">
        <v>36</v>
      </c>
      <c r="Q39" s="20" t="s">
        <v>71</v>
      </c>
      <c r="R39" s="21">
        <v>20</v>
      </c>
      <c r="S39" s="21">
        <f t="shared" si="3"/>
        <v>3442.3485000000001</v>
      </c>
      <c r="T39" s="21">
        <v>68846.97</v>
      </c>
      <c r="U39" s="19">
        <v>36</v>
      </c>
      <c r="V39" s="20" t="s">
        <v>71</v>
      </c>
      <c r="W39" s="21">
        <v>16</v>
      </c>
      <c r="X39" s="21">
        <f t="shared" si="4"/>
        <v>3250.6581249999999</v>
      </c>
      <c r="Y39" s="21">
        <v>52010.53</v>
      </c>
      <c r="Z39" s="19">
        <v>36</v>
      </c>
      <c r="AA39" s="20" t="s">
        <v>46</v>
      </c>
      <c r="AB39" s="21">
        <v>16</v>
      </c>
      <c r="AC39" s="21">
        <f t="shared" si="5"/>
        <v>3254.5137500000001</v>
      </c>
      <c r="AD39" s="21">
        <v>52072.22</v>
      </c>
      <c r="AE39" s="19">
        <v>36</v>
      </c>
      <c r="AF39" s="20" t="s">
        <v>39</v>
      </c>
      <c r="AG39" s="21">
        <v>22</v>
      </c>
      <c r="AH39" s="21">
        <v>3432.7409090909091</v>
      </c>
      <c r="AI39" s="21">
        <v>75520.3</v>
      </c>
      <c r="AJ39" s="19">
        <v>36</v>
      </c>
      <c r="AK39" s="20" t="s">
        <v>39</v>
      </c>
      <c r="AL39" s="21">
        <v>25</v>
      </c>
      <c r="AM39" s="21">
        <f t="shared" si="7"/>
        <v>4334.2060000000001</v>
      </c>
      <c r="AN39" s="21">
        <v>108355.15</v>
      </c>
      <c r="AO39" s="19">
        <v>36</v>
      </c>
      <c r="AP39" s="20" t="s">
        <v>57</v>
      </c>
      <c r="AQ39" s="21">
        <v>11</v>
      </c>
      <c r="AR39" s="21">
        <f t="shared" si="8"/>
        <v>3817.78</v>
      </c>
      <c r="AS39" s="21">
        <v>41995.58</v>
      </c>
      <c r="AT39" s="19">
        <v>36</v>
      </c>
      <c r="AU39" s="20" t="s">
        <v>42</v>
      </c>
      <c r="AV39" s="21">
        <v>18</v>
      </c>
      <c r="AW39" s="21">
        <f t="shared" si="9"/>
        <v>3283.7788888888886</v>
      </c>
      <c r="AX39" s="21">
        <v>59108.02</v>
      </c>
      <c r="AY39" s="19">
        <v>36</v>
      </c>
      <c r="AZ39" s="20" t="s">
        <v>41</v>
      </c>
      <c r="BA39" s="21">
        <v>36</v>
      </c>
      <c r="BB39" s="21">
        <f t="shared" si="10"/>
        <v>3473.8777777777777</v>
      </c>
      <c r="BC39" s="21">
        <v>125059.6</v>
      </c>
      <c r="BD39" s="19">
        <v>36</v>
      </c>
      <c r="BE39" s="20" t="s">
        <v>33</v>
      </c>
      <c r="BF39" s="21">
        <v>27</v>
      </c>
      <c r="BG39" s="21">
        <f t="shared" si="11"/>
        <v>7762.9014814814809</v>
      </c>
      <c r="BH39" s="21">
        <v>209598.34</v>
      </c>
      <c r="BI39" s="19">
        <v>36</v>
      </c>
      <c r="BJ39" s="20" t="s">
        <v>41</v>
      </c>
      <c r="BK39" s="21">
        <v>249</v>
      </c>
      <c r="BL39" s="21">
        <f t="shared" si="12"/>
        <v>4212.3156224899603</v>
      </c>
      <c r="BM39" s="21">
        <v>1048866.5900000001</v>
      </c>
      <c r="BN39" s="29">
        <f t="shared" si="13"/>
        <v>2.442661225450764E-3</v>
      </c>
      <c r="BO39" s="29">
        <f t="shared" si="14"/>
        <v>2.8603577512402306E-3</v>
      </c>
    </row>
    <row r="40" spans="1:67" x14ac:dyDescent="0.3">
      <c r="A40" s="19">
        <v>37</v>
      </c>
      <c r="B40" s="20" t="s">
        <v>58</v>
      </c>
      <c r="C40" s="21">
        <v>27</v>
      </c>
      <c r="D40" s="21">
        <f t="shared" si="0"/>
        <v>4814.5018518518518</v>
      </c>
      <c r="E40" s="21">
        <v>129991.55</v>
      </c>
      <c r="F40" s="19">
        <v>37</v>
      </c>
      <c r="G40" s="20" t="s">
        <v>42</v>
      </c>
      <c r="H40" s="21">
        <v>26</v>
      </c>
      <c r="I40" s="21">
        <f t="shared" si="1"/>
        <v>3890.5734615384617</v>
      </c>
      <c r="J40" s="21">
        <v>101154.91</v>
      </c>
      <c r="K40" s="19">
        <v>37</v>
      </c>
      <c r="L40" s="20" t="s">
        <v>42</v>
      </c>
      <c r="M40" s="21">
        <v>20</v>
      </c>
      <c r="N40" s="21">
        <f t="shared" si="2"/>
        <v>3744.1095</v>
      </c>
      <c r="O40" s="21">
        <v>74882.19</v>
      </c>
      <c r="P40" s="19">
        <v>37</v>
      </c>
      <c r="Q40" s="20" t="s">
        <v>42</v>
      </c>
      <c r="R40" s="21">
        <v>20</v>
      </c>
      <c r="S40" s="21">
        <f t="shared" si="3"/>
        <v>4288.0540000000001</v>
      </c>
      <c r="T40" s="21">
        <v>85761.08</v>
      </c>
      <c r="U40" s="19">
        <v>37</v>
      </c>
      <c r="V40" s="20" t="s">
        <v>95</v>
      </c>
      <c r="W40" s="21">
        <v>16</v>
      </c>
      <c r="X40" s="21">
        <f t="shared" si="4"/>
        <v>4725.1000000000004</v>
      </c>
      <c r="Y40" s="21">
        <v>75601.600000000006</v>
      </c>
      <c r="Z40" s="19">
        <v>37</v>
      </c>
      <c r="AA40" s="20" t="s">
        <v>60</v>
      </c>
      <c r="AB40" s="21">
        <v>16</v>
      </c>
      <c r="AC40" s="21">
        <f t="shared" si="5"/>
        <v>3020.9949999999999</v>
      </c>
      <c r="AD40" s="21">
        <v>48335.92</v>
      </c>
      <c r="AE40" s="19">
        <v>37</v>
      </c>
      <c r="AF40" s="20" t="s">
        <v>28</v>
      </c>
      <c r="AG40" s="21">
        <v>21</v>
      </c>
      <c r="AH40" s="21">
        <v>3359.4204761904762</v>
      </c>
      <c r="AI40" s="21">
        <v>70547.83</v>
      </c>
      <c r="AJ40" s="19">
        <v>37</v>
      </c>
      <c r="AK40" s="20" t="s">
        <v>43</v>
      </c>
      <c r="AL40" s="21">
        <v>19</v>
      </c>
      <c r="AM40" s="21">
        <f t="shared" si="7"/>
        <v>4070.5084210526315</v>
      </c>
      <c r="AN40" s="21">
        <v>77339.66</v>
      </c>
      <c r="AO40" s="19">
        <v>37</v>
      </c>
      <c r="AP40" s="20" t="s">
        <v>60</v>
      </c>
      <c r="AQ40" s="21">
        <v>11</v>
      </c>
      <c r="AR40" s="21">
        <f t="shared" si="8"/>
        <v>3471.0154545454543</v>
      </c>
      <c r="AS40" s="21">
        <v>38181.17</v>
      </c>
      <c r="AT40" s="19">
        <v>37</v>
      </c>
      <c r="AU40" s="20" t="s">
        <v>43</v>
      </c>
      <c r="AV40" s="21">
        <v>14</v>
      </c>
      <c r="AW40" s="21">
        <f t="shared" si="9"/>
        <v>4538.6121428571432</v>
      </c>
      <c r="AX40" s="21">
        <v>63540.57</v>
      </c>
      <c r="AY40" s="19">
        <v>37</v>
      </c>
      <c r="AZ40" s="20" t="s">
        <v>29</v>
      </c>
      <c r="BA40" s="21">
        <v>33</v>
      </c>
      <c r="BB40" s="21">
        <f t="shared" si="10"/>
        <v>3624.5951515151514</v>
      </c>
      <c r="BC40" s="21">
        <v>119611.64</v>
      </c>
      <c r="BD40" s="19">
        <v>37</v>
      </c>
      <c r="BE40" s="20" t="s">
        <v>42</v>
      </c>
      <c r="BF40" s="21">
        <v>27</v>
      </c>
      <c r="BG40" s="21">
        <f t="shared" si="11"/>
        <v>5108.6051851851853</v>
      </c>
      <c r="BH40" s="21">
        <v>137932.34</v>
      </c>
      <c r="BI40" s="19">
        <v>37</v>
      </c>
      <c r="BJ40" s="20" t="s">
        <v>28</v>
      </c>
      <c r="BK40" s="21">
        <v>227</v>
      </c>
      <c r="BL40" s="21">
        <f t="shared" si="12"/>
        <v>4065.5334801762115</v>
      </c>
      <c r="BM40" s="21">
        <v>922876.1</v>
      </c>
      <c r="BN40" s="29">
        <f t="shared" si="13"/>
        <v>2.2268437677804157E-3</v>
      </c>
      <c r="BO40" s="29">
        <f t="shared" si="14"/>
        <v>2.5167698458860759E-3</v>
      </c>
    </row>
    <row r="41" spans="1:67" x14ac:dyDescent="0.3">
      <c r="A41" s="19">
        <v>38</v>
      </c>
      <c r="B41" s="20" t="s">
        <v>52</v>
      </c>
      <c r="C41" s="21">
        <v>23</v>
      </c>
      <c r="D41" s="21">
        <f t="shared" si="0"/>
        <v>4140.5260869565218</v>
      </c>
      <c r="E41" s="21">
        <v>95232.1</v>
      </c>
      <c r="F41" s="19">
        <v>38</v>
      </c>
      <c r="G41" s="20" t="s">
        <v>56</v>
      </c>
      <c r="H41" s="21">
        <v>25</v>
      </c>
      <c r="I41" s="21">
        <f t="shared" si="1"/>
        <v>4914.5835999999999</v>
      </c>
      <c r="J41" s="21">
        <v>122864.59</v>
      </c>
      <c r="K41" s="19">
        <v>38</v>
      </c>
      <c r="L41" s="20" t="s">
        <v>62</v>
      </c>
      <c r="M41" s="21">
        <v>19</v>
      </c>
      <c r="N41" s="21">
        <f t="shared" si="2"/>
        <v>4674.5831578947373</v>
      </c>
      <c r="O41" s="21">
        <v>88817.08</v>
      </c>
      <c r="P41" s="19">
        <v>38</v>
      </c>
      <c r="Q41" s="20" t="s">
        <v>52</v>
      </c>
      <c r="R41" s="21">
        <v>17</v>
      </c>
      <c r="S41" s="21">
        <f t="shared" si="3"/>
        <v>3447.8505882352943</v>
      </c>
      <c r="T41" s="21">
        <v>58613.46</v>
      </c>
      <c r="U41" s="19">
        <v>38</v>
      </c>
      <c r="V41" s="20" t="s">
        <v>54</v>
      </c>
      <c r="W41" s="21">
        <v>14</v>
      </c>
      <c r="X41" s="21">
        <f t="shared" si="4"/>
        <v>10307.608571428571</v>
      </c>
      <c r="Y41" s="21">
        <v>144306.51999999999</v>
      </c>
      <c r="Z41" s="19">
        <v>38</v>
      </c>
      <c r="AA41" s="20" t="s">
        <v>37</v>
      </c>
      <c r="AB41" s="21">
        <v>15</v>
      </c>
      <c r="AC41" s="21">
        <f t="shared" si="5"/>
        <v>3388.5653333333335</v>
      </c>
      <c r="AD41" s="21">
        <v>50828.480000000003</v>
      </c>
      <c r="AE41" s="19">
        <v>38</v>
      </c>
      <c r="AF41" s="20" t="s">
        <v>35</v>
      </c>
      <c r="AG41" s="21">
        <v>19</v>
      </c>
      <c r="AH41" s="21">
        <v>4458.4731578947367</v>
      </c>
      <c r="AI41" s="21">
        <v>84710.99</v>
      </c>
      <c r="AJ41" s="19">
        <v>38</v>
      </c>
      <c r="AK41" s="20" t="s">
        <v>91</v>
      </c>
      <c r="AL41" s="21">
        <v>19</v>
      </c>
      <c r="AM41" s="21">
        <f t="shared" si="7"/>
        <v>4870.8547368421059</v>
      </c>
      <c r="AN41" s="21">
        <v>92546.240000000005</v>
      </c>
      <c r="AO41" s="19">
        <v>38</v>
      </c>
      <c r="AP41" s="20" t="s">
        <v>44</v>
      </c>
      <c r="AQ41" s="21">
        <v>10</v>
      </c>
      <c r="AR41" s="21">
        <f t="shared" si="8"/>
        <v>3207.683</v>
      </c>
      <c r="AS41" s="21">
        <v>32076.83</v>
      </c>
      <c r="AT41" s="19">
        <v>38</v>
      </c>
      <c r="AU41" s="20" t="s">
        <v>33</v>
      </c>
      <c r="AV41" s="21">
        <v>14</v>
      </c>
      <c r="AW41" s="21">
        <f t="shared" si="9"/>
        <v>3120.0928571428572</v>
      </c>
      <c r="AX41" s="21">
        <v>43681.3</v>
      </c>
      <c r="AY41" s="19">
        <v>38</v>
      </c>
      <c r="AZ41" s="20" t="s">
        <v>28</v>
      </c>
      <c r="BA41" s="21">
        <v>28</v>
      </c>
      <c r="BB41" s="21">
        <f t="shared" si="10"/>
        <v>4414.6367857142859</v>
      </c>
      <c r="BC41" s="21">
        <v>123609.83</v>
      </c>
      <c r="BD41" s="19">
        <v>38</v>
      </c>
      <c r="BE41" s="20" t="s">
        <v>142</v>
      </c>
      <c r="BF41" s="21">
        <v>26</v>
      </c>
      <c r="BG41" s="21">
        <f t="shared" si="11"/>
        <v>3968.6896153846151</v>
      </c>
      <c r="BH41" s="21">
        <v>103185.93</v>
      </c>
      <c r="BI41" s="19">
        <v>38</v>
      </c>
      <c r="BJ41" s="20" t="s">
        <v>71</v>
      </c>
      <c r="BK41" s="21">
        <v>210</v>
      </c>
      <c r="BL41" s="21">
        <f t="shared" si="12"/>
        <v>3919.9568571428567</v>
      </c>
      <c r="BM41" s="21">
        <v>823190.94</v>
      </c>
      <c r="BN41" s="29">
        <f t="shared" si="13"/>
        <v>2.0600757323078734E-3</v>
      </c>
      <c r="BO41" s="29">
        <f t="shared" si="14"/>
        <v>2.2449190473115663E-3</v>
      </c>
    </row>
    <row r="42" spans="1:67" x14ac:dyDescent="0.3">
      <c r="A42" s="19">
        <v>39</v>
      </c>
      <c r="B42" s="20" t="s">
        <v>44</v>
      </c>
      <c r="C42" s="21">
        <v>21</v>
      </c>
      <c r="D42" s="21">
        <f t="shared" si="0"/>
        <v>4265.7857142857147</v>
      </c>
      <c r="E42" s="21">
        <v>89581.5</v>
      </c>
      <c r="F42" s="19">
        <v>39</v>
      </c>
      <c r="G42" s="20" t="s">
        <v>64</v>
      </c>
      <c r="H42" s="21">
        <v>21</v>
      </c>
      <c r="I42" s="21">
        <f t="shared" si="1"/>
        <v>4403.7933333333331</v>
      </c>
      <c r="J42" s="21">
        <v>92479.66</v>
      </c>
      <c r="K42" s="19">
        <v>39</v>
      </c>
      <c r="L42" s="20" t="s">
        <v>56</v>
      </c>
      <c r="M42" s="21">
        <v>16</v>
      </c>
      <c r="N42" s="21">
        <f t="shared" si="2"/>
        <v>4873.8612499999999</v>
      </c>
      <c r="O42" s="21">
        <v>77981.78</v>
      </c>
      <c r="P42" s="19">
        <v>39</v>
      </c>
      <c r="Q42" s="20" t="s">
        <v>50</v>
      </c>
      <c r="R42" s="21">
        <v>16</v>
      </c>
      <c r="S42" s="21">
        <f t="shared" si="3"/>
        <v>4243.4587499999998</v>
      </c>
      <c r="T42" s="21">
        <v>67895.34</v>
      </c>
      <c r="U42" s="19">
        <v>39</v>
      </c>
      <c r="V42" s="20" t="s">
        <v>70</v>
      </c>
      <c r="W42" s="21">
        <v>13</v>
      </c>
      <c r="X42" s="21">
        <f t="shared" si="4"/>
        <v>3569.2307692307691</v>
      </c>
      <c r="Y42" s="21">
        <v>46400</v>
      </c>
      <c r="Z42" s="19">
        <v>39</v>
      </c>
      <c r="AA42" s="20" t="s">
        <v>33</v>
      </c>
      <c r="AB42" s="21">
        <v>13</v>
      </c>
      <c r="AC42" s="21">
        <f t="shared" si="5"/>
        <v>3529.18</v>
      </c>
      <c r="AD42" s="21">
        <v>45879.34</v>
      </c>
      <c r="AE42" s="19">
        <v>39</v>
      </c>
      <c r="AF42" s="20" t="s">
        <v>57</v>
      </c>
      <c r="AG42" s="21">
        <v>19</v>
      </c>
      <c r="AH42" s="21">
        <v>4611.8073684210522</v>
      </c>
      <c r="AI42" s="21">
        <v>87624.34</v>
      </c>
      <c r="AJ42" s="19">
        <v>39</v>
      </c>
      <c r="AK42" s="20" t="s">
        <v>29</v>
      </c>
      <c r="AL42" s="21">
        <v>13</v>
      </c>
      <c r="AM42" s="21">
        <f t="shared" si="7"/>
        <v>3526.2792307692307</v>
      </c>
      <c r="AN42" s="21">
        <v>45841.63</v>
      </c>
      <c r="AO42" s="19">
        <v>39</v>
      </c>
      <c r="AP42" s="20" t="s">
        <v>55</v>
      </c>
      <c r="AQ42" s="21">
        <v>10</v>
      </c>
      <c r="AR42" s="21">
        <f t="shared" si="8"/>
        <v>3603.9800000000005</v>
      </c>
      <c r="AS42" s="21">
        <v>36039.800000000003</v>
      </c>
      <c r="AT42" s="19">
        <v>39</v>
      </c>
      <c r="AU42" s="20" t="s">
        <v>41</v>
      </c>
      <c r="AV42" s="21">
        <v>14</v>
      </c>
      <c r="AW42" s="21">
        <f t="shared" si="9"/>
        <v>3396.9900000000002</v>
      </c>
      <c r="AX42" s="21">
        <v>47557.86</v>
      </c>
      <c r="AY42" s="19">
        <v>39</v>
      </c>
      <c r="AZ42" s="20" t="s">
        <v>84</v>
      </c>
      <c r="BA42" s="21">
        <v>27</v>
      </c>
      <c r="BB42" s="21">
        <f t="shared" si="10"/>
        <v>4714.3485185185191</v>
      </c>
      <c r="BC42" s="21">
        <v>127287.41</v>
      </c>
      <c r="BD42" s="19">
        <v>39</v>
      </c>
      <c r="BE42" s="20" t="s">
        <v>61</v>
      </c>
      <c r="BF42" s="21">
        <v>24</v>
      </c>
      <c r="BG42" s="21">
        <f t="shared" si="11"/>
        <v>3982.0441666666666</v>
      </c>
      <c r="BH42" s="21">
        <v>95569.06</v>
      </c>
      <c r="BI42" s="19">
        <v>39</v>
      </c>
      <c r="BJ42" s="20" t="s">
        <v>42</v>
      </c>
      <c r="BK42" s="21">
        <v>203</v>
      </c>
      <c r="BL42" s="21">
        <f t="shared" si="12"/>
        <v>3990.5974384236456</v>
      </c>
      <c r="BM42" s="21">
        <v>810091.28</v>
      </c>
      <c r="BN42" s="29">
        <f t="shared" si="13"/>
        <v>1.9914065412309444E-3</v>
      </c>
      <c r="BO42" s="29">
        <f t="shared" si="14"/>
        <v>2.2091950435375388E-3</v>
      </c>
    </row>
    <row r="43" spans="1:67" x14ac:dyDescent="0.3">
      <c r="A43" s="19">
        <v>40</v>
      </c>
      <c r="B43" s="20" t="s">
        <v>89</v>
      </c>
      <c r="C43" s="21">
        <v>17</v>
      </c>
      <c r="D43" s="21">
        <f t="shared" si="0"/>
        <v>3523.389411764706</v>
      </c>
      <c r="E43" s="21">
        <v>59897.62</v>
      </c>
      <c r="F43" s="19">
        <v>40</v>
      </c>
      <c r="G43" s="20" t="s">
        <v>30</v>
      </c>
      <c r="H43" s="21">
        <v>19</v>
      </c>
      <c r="I43" s="21">
        <f t="shared" si="1"/>
        <v>4043.9021052631579</v>
      </c>
      <c r="J43" s="21">
        <v>76834.14</v>
      </c>
      <c r="K43" s="19">
        <v>40</v>
      </c>
      <c r="L43" s="20" t="s">
        <v>7</v>
      </c>
      <c r="M43" s="21">
        <v>15</v>
      </c>
      <c r="N43" s="21">
        <f t="shared" si="2"/>
        <v>4834.0933333333332</v>
      </c>
      <c r="O43" s="21">
        <v>72511.399999999994</v>
      </c>
      <c r="P43" s="19">
        <v>40</v>
      </c>
      <c r="Q43" s="20" t="s">
        <v>60</v>
      </c>
      <c r="R43" s="21">
        <v>16</v>
      </c>
      <c r="S43" s="21">
        <f t="shared" si="3"/>
        <v>3634.2424999999998</v>
      </c>
      <c r="T43" s="21">
        <v>58147.88</v>
      </c>
      <c r="U43" s="19">
        <v>40</v>
      </c>
      <c r="V43" s="20" t="s">
        <v>28</v>
      </c>
      <c r="W43" s="21">
        <v>12</v>
      </c>
      <c r="X43" s="21">
        <f t="shared" si="4"/>
        <v>3274.7525000000001</v>
      </c>
      <c r="Y43" s="21">
        <v>39297.03</v>
      </c>
      <c r="Z43" s="19">
        <v>40</v>
      </c>
      <c r="AA43" s="20" t="s">
        <v>47</v>
      </c>
      <c r="AB43" s="21">
        <v>13</v>
      </c>
      <c r="AC43" s="21">
        <f t="shared" si="5"/>
        <v>3598.5507692307697</v>
      </c>
      <c r="AD43" s="21">
        <v>46781.16</v>
      </c>
      <c r="AE43" s="19">
        <v>40</v>
      </c>
      <c r="AF43" s="20" t="s">
        <v>31</v>
      </c>
      <c r="AG43" s="21">
        <v>19</v>
      </c>
      <c r="AH43" s="21">
        <v>3847.6642105263154</v>
      </c>
      <c r="AI43" s="21">
        <v>73105.62</v>
      </c>
      <c r="AJ43" s="19">
        <v>40</v>
      </c>
      <c r="AK43" s="20" t="s">
        <v>42</v>
      </c>
      <c r="AL43" s="21">
        <v>13</v>
      </c>
      <c r="AM43" s="21">
        <f t="shared" si="7"/>
        <v>3117.4469230769228</v>
      </c>
      <c r="AN43" s="21">
        <v>40526.81</v>
      </c>
      <c r="AO43" s="19">
        <v>40</v>
      </c>
      <c r="AP43" s="20" t="s">
        <v>61</v>
      </c>
      <c r="AQ43" s="21">
        <v>10</v>
      </c>
      <c r="AR43" s="21">
        <f t="shared" si="8"/>
        <v>2624.66</v>
      </c>
      <c r="AS43" s="21">
        <v>26246.6</v>
      </c>
      <c r="AT43" s="19">
        <v>40</v>
      </c>
      <c r="AU43" s="20" t="s">
        <v>86</v>
      </c>
      <c r="AV43" s="21">
        <v>14</v>
      </c>
      <c r="AW43" s="21">
        <f t="shared" si="9"/>
        <v>3331.2957142857144</v>
      </c>
      <c r="AX43" s="21">
        <v>46638.14</v>
      </c>
      <c r="AY43" s="19">
        <v>40</v>
      </c>
      <c r="AZ43" s="20" t="s">
        <v>42</v>
      </c>
      <c r="BA43" s="21">
        <v>26</v>
      </c>
      <c r="BB43" s="21">
        <f t="shared" si="10"/>
        <v>3891.6292307692306</v>
      </c>
      <c r="BC43" s="21">
        <v>101182.36</v>
      </c>
      <c r="BD43" s="19">
        <v>40</v>
      </c>
      <c r="BE43" s="20" t="s">
        <v>25</v>
      </c>
      <c r="BF43" s="21">
        <v>23</v>
      </c>
      <c r="BG43" s="21">
        <f t="shared" si="11"/>
        <v>3494.2656521739132</v>
      </c>
      <c r="BH43" s="21">
        <v>80368.11</v>
      </c>
      <c r="BI43" s="19">
        <v>40</v>
      </c>
      <c r="BJ43" s="20" t="s">
        <v>56</v>
      </c>
      <c r="BK43" s="21">
        <v>178</v>
      </c>
      <c r="BL43" s="21">
        <f t="shared" si="12"/>
        <v>3589.7280898876402</v>
      </c>
      <c r="BM43" s="21">
        <v>638971.6</v>
      </c>
      <c r="BN43" s="29">
        <f t="shared" si="13"/>
        <v>1.7461594302419117E-3</v>
      </c>
      <c r="BO43" s="29">
        <f t="shared" si="14"/>
        <v>1.7425355963358237E-3</v>
      </c>
    </row>
    <row r="44" spans="1:67" x14ac:dyDescent="0.3">
      <c r="A44" s="19">
        <v>41</v>
      </c>
      <c r="B44" s="20" t="s">
        <v>7</v>
      </c>
      <c r="C44" s="21">
        <v>17</v>
      </c>
      <c r="D44" s="21">
        <f t="shared" si="0"/>
        <v>5088.586470588235</v>
      </c>
      <c r="E44" s="21">
        <v>86505.97</v>
      </c>
      <c r="F44" s="19">
        <v>41</v>
      </c>
      <c r="G44" s="20" t="s">
        <v>62</v>
      </c>
      <c r="H44" s="21">
        <v>19</v>
      </c>
      <c r="I44" s="21">
        <f t="shared" si="1"/>
        <v>4992.2052631578945</v>
      </c>
      <c r="J44" s="21">
        <v>94851.9</v>
      </c>
      <c r="K44" s="19">
        <v>41</v>
      </c>
      <c r="L44" s="20" t="s">
        <v>52</v>
      </c>
      <c r="M44" s="21">
        <v>13</v>
      </c>
      <c r="N44" s="21">
        <f t="shared" si="2"/>
        <v>3241.6176923076923</v>
      </c>
      <c r="O44" s="21">
        <v>42141.03</v>
      </c>
      <c r="P44" s="19">
        <v>41</v>
      </c>
      <c r="Q44" s="20" t="s">
        <v>43</v>
      </c>
      <c r="R44" s="21">
        <v>14</v>
      </c>
      <c r="S44" s="21">
        <f t="shared" si="3"/>
        <v>3711.68</v>
      </c>
      <c r="T44" s="21">
        <v>51963.519999999997</v>
      </c>
      <c r="U44" s="19">
        <v>41</v>
      </c>
      <c r="V44" s="20" t="s">
        <v>77</v>
      </c>
      <c r="W44" s="21">
        <v>12</v>
      </c>
      <c r="X44" s="21">
        <f t="shared" si="4"/>
        <v>3400.17</v>
      </c>
      <c r="Y44" s="21">
        <v>40802.04</v>
      </c>
      <c r="Z44" s="19">
        <v>41</v>
      </c>
      <c r="AA44" s="20" t="s">
        <v>42</v>
      </c>
      <c r="AB44" s="21">
        <v>10</v>
      </c>
      <c r="AC44" s="21">
        <f t="shared" si="5"/>
        <v>3354.2910000000002</v>
      </c>
      <c r="AD44" s="21">
        <v>33542.910000000003</v>
      </c>
      <c r="AE44" s="19">
        <v>41</v>
      </c>
      <c r="AF44" s="20" t="s">
        <v>44</v>
      </c>
      <c r="AG44" s="21">
        <v>18</v>
      </c>
      <c r="AH44" s="21">
        <v>4306.2238888888887</v>
      </c>
      <c r="AI44" s="21">
        <v>77512.03</v>
      </c>
      <c r="AJ44" s="19">
        <v>41</v>
      </c>
      <c r="AK44" s="20" t="s">
        <v>69</v>
      </c>
      <c r="AL44" s="21">
        <v>12</v>
      </c>
      <c r="AM44" s="21">
        <f t="shared" si="7"/>
        <v>3614.3250000000003</v>
      </c>
      <c r="AN44" s="21">
        <v>43371.9</v>
      </c>
      <c r="AO44" s="19">
        <v>41</v>
      </c>
      <c r="AP44" s="20" t="s">
        <v>130</v>
      </c>
      <c r="AQ44" s="21">
        <v>8</v>
      </c>
      <c r="AR44" s="21">
        <f t="shared" si="8"/>
        <v>3859.9749999999999</v>
      </c>
      <c r="AS44" s="21">
        <v>30879.8</v>
      </c>
      <c r="AT44" s="19">
        <v>41</v>
      </c>
      <c r="AU44" s="20" t="s">
        <v>38</v>
      </c>
      <c r="AV44" s="21">
        <v>13</v>
      </c>
      <c r="AW44" s="21">
        <f t="shared" si="9"/>
        <v>3691.8515384615384</v>
      </c>
      <c r="AX44" s="21">
        <v>47994.07</v>
      </c>
      <c r="AY44" s="19">
        <v>41</v>
      </c>
      <c r="AZ44" s="20" t="s">
        <v>76</v>
      </c>
      <c r="BA44" s="21">
        <v>25</v>
      </c>
      <c r="BB44" s="21">
        <f t="shared" si="10"/>
        <v>3677.4471999999996</v>
      </c>
      <c r="BC44" s="21">
        <v>91936.18</v>
      </c>
      <c r="BD44" s="19">
        <v>41</v>
      </c>
      <c r="BE44" s="20" t="s">
        <v>51</v>
      </c>
      <c r="BF44" s="21">
        <v>21</v>
      </c>
      <c r="BG44" s="21">
        <f t="shared" si="11"/>
        <v>11028.630476190476</v>
      </c>
      <c r="BH44" s="21">
        <v>231601.24</v>
      </c>
      <c r="BI44" s="19">
        <v>41</v>
      </c>
      <c r="BJ44" s="20" t="s">
        <v>29</v>
      </c>
      <c r="BK44" s="21">
        <v>170</v>
      </c>
      <c r="BL44" s="21">
        <f t="shared" si="12"/>
        <v>3230.7530000000002</v>
      </c>
      <c r="BM44" s="21">
        <v>549228.01</v>
      </c>
      <c r="BN44" s="29">
        <f t="shared" si="13"/>
        <v>1.6676803547254213E-3</v>
      </c>
      <c r="BO44" s="29">
        <f t="shared" si="14"/>
        <v>1.497796393344693E-3</v>
      </c>
    </row>
    <row r="45" spans="1:67" x14ac:dyDescent="0.3">
      <c r="A45" s="19">
        <v>42</v>
      </c>
      <c r="B45" s="20" t="s">
        <v>65</v>
      </c>
      <c r="C45" s="21">
        <v>17</v>
      </c>
      <c r="D45" s="21">
        <f t="shared" si="0"/>
        <v>3698.9552941176471</v>
      </c>
      <c r="E45" s="21">
        <v>62882.239999999998</v>
      </c>
      <c r="F45" s="19">
        <v>42</v>
      </c>
      <c r="G45" s="20" t="s">
        <v>28</v>
      </c>
      <c r="H45" s="21">
        <v>17</v>
      </c>
      <c r="I45" s="21">
        <f t="shared" si="1"/>
        <v>4124.5429411764708</v>
      </c>
      <c r="J45" s="21">
        <v>70117.23</v>
      </c>
      <c r="K45" s="19">
        <v>42</v>
      </c>
      <c r="L45" s="20" t="s">
        <v>58</v>
      </c>
      <c r="M45" s="21">
        <v>12</v>
      </c>
      <c r="N45" s="21">
        <f t="shared" si="2"/>
        <v>3990.165833333333</v>
      </c>
      <c r="O45" s="21">
        <v>47881.99</v>
      </c>
      <c r="P45" s="19">
        <v>42</v>
      </c>
      <c r="Q45" s="20" t="s">
        <v>29</v>
      </c>
      <c r="R45" s="21">
        <v>11</v>
      </c>
      <c r="S45" s="21">
        <f t="shared" si="3"/>
        <v>3760.1372727272728</v>
      </c>
      <c r="T45" s="21">
        <v>41361.51</v>
      </c>
      <c r="U45" s="19">
        <v>42</v>
      </c>
      <c r="V45" s="20" t="s">
        <v>33</v>
      </c>
      <c r="W45" s="21">
        <v>12</v>
      </c>
      <c r="X45" s="21">
        <f t="shared" si="4"/>
        <v>3447.9483333333333</v>
      </c>
      <c r="Y45" s="21">
        <v>41375.379999999997</v>
      </c>
      <c r="Z45" s="19">
        <v>42</v>
      </c>
      <c r="AA45" s="20" t="s">
        <v>64</v>
      </c>
      <c r="AB45" s="21">
        <v>8</v>
      </c>
      <c r="AC45" s="21">
        <f t="shared" si="5"/>
        <v>2659.46</v>
      </c>
      <c r="AD45" s="21">
        <v>21275.68</v>
      </c>
      <c r="AE45" s="19">
        <v>42</v>
      </c>
      <c r="AF45" s="20" t="s">
        <v>60</v>
      </c>
      <c r="AG45" s="21">
        <v>18</v>
      </c>
      <c r="AH45" s="21">
        <v>3026.6222222222223</v>
      </c>
      <c r="AI45" s="21">
        <v>54479.199999999997</v>
      </c>
      <c r="AJ45" s="19">
        <v>42</v>
      </c>
      <c r="AK45" s="20" t="s">
        <v>47</v>
      </c>
      <c r="AL45" s="21">
        <v>12</v>
      </c>
      <c r="AM45" s="21">
        <f t="shared" si="7"/>
        <v>4860.0966666666673</v>
      </c>
      <c r="AN45" s="21">
        <v>58321.16</v>
      </c>
      <c r="AO45" s="19">
        <v>42</v>
      </c>
      <c r="AP45" s="20" t="s">
        <v>78</v>
      </c>
      <c r="AQ45" s="21">
        <v>8</v>
      </c>
      <c r="AR45" s="21">
        <f t="shared" si="8"/>
        <v>2709.32</v>
      </c>
      <c r="AS45" s="21">
        <v>21674.560000000001</v>
      </c>
      <c r="AT45" s="19">
        <v>42</v>
      </c>
      <c r="AU45" s="20" t="s">
        <v>31</v>
      </c>
      <c r="AV45" s="21">
        <v>13</v>
      </c>
      <c r="AW45" s="21">
        <f t="shared" si="9"/>
        <v>3852.55</v>
      </c>
      <c r="AX45" s="21">
        <v>50083.15</v>
      </c>
      <c r="AY45" s="19">
        <v>42</v>
      </c>
      <c r="AZ45" s="20" t="s">
        <v>59</v>
      </c>
      <c r="BA45" s="21">
        <v>24</v>
      </c>
      <c r="BB45" s="21">
        <f t="shared" si="10"/>
        <v>5634.2470833333327</v>
      </c>
      <c r="BC45" s="21">
        <v>135221.93</v>
      </c>
      <c r="BD45" s="19">
        <v>42</v>
      </c>
      <c r="BE45" s="20" t="s">
        <v>59</v>
      </c>
      <c r="BF45" s="21">
        <v>19</v>
      </c>
      <c r="BG45" s="21">
        <f t="shared" si="11"/>
        <v>3743.4794736842105</v>
      </c>
      <c r="BH45" s="21">
        <v>71126.11</v>
      </c>
      <c r="BI45" s="19">
        <v>42</v>
      </c>
      <c r="BJ45" s="20" t="s">
        <v>58</v>
      </c>
      <c r="BK45" s="21">
        <v>168</v>
      </c>
      <c r="BL45" s="21">
        <f t="shared" si="12"/>
        <v>4211.5635714285718</v>
      </c>
      <c r="BM45" s="21">
        <v>707542.68</v>
      </c>
      <c r="BN45" s="29">
        <f t="shared" si="13"/>
        <v>1.6480605858462988E-3</v>
      </c>
      <c r="BO45" s="29">
        <f t="shared" si="14"/>
        <v>1.9295353750101679E-3</v>
      </c>
    </row>
    <row r="46" spans="1:67" x14ac:dyDescent="0.3">
      <c r="A46" s="19">
        <v>43</v>
      </c>
      <c r="B46" s="20" t="s">
        <v>66</v>
      </c>
      <c r="C46" s="21">
        <v>17</v>
      </c>
      <c r="D46" s="21">
        <f t="shared" si="0"/>
        <v>3912.7894117647056</v>
      </c>
      <c r="E46" s="21">
        <v>66517.42</v>
      </c>
      <c r="F46" s="19">
        <v>43</v>
      </c>
      <c r="G46" s="20" t="s">
        <v>50</v>
      </c>
      <c r="H46" s="21">
        <v>15</v>
      </c>
      <c r="I46" s="21">
        <f t="shared" si="1"/>
        <v>3632.8346666666666</v>
      </c>
      <c r="J46" s="21">
        <v>54492.52</v>
      </c>
      <c r="K46" s="19">
        <v>43</v>
      </c>
      <c r="L46" s="20" t="s">
        <v>21</v>
      </c>
      <c r="M46" s="21">
        <v>11</v>
      </c>
      <c r="N46" s="21">
        <f t="shared" si="2"/>
        <v>4437.0145454545454</v>
      </c>
      <c r="O46" s="21">
        <v>48807.16</v>
      </c>
      <c r="P46" s="19">
        <v>43</v>
      </c>
      <c r="Q46" s="20" t="s">
        <v>47</v>
      </c>
      <c r="R46" s="21">
        <v>11</v>
      </c>
      <c r="S46" s="21">
        <f t="shared" si="3"/>
        <v>3842.4409090909089</v>
      </c>
      <c r="T46" s="21">
        <v>42266.85</v>
      </c>
      <c r="U46" s="19">
        <v>43</v>
      </c>
      <c r="V46" s="20" t="s">
        <v>40</v>
      </c>
      <c r="W46" s="21">
        <v>12</v>
      </c>
      <c r="X46" s="21">
        <f t="shared" si="4"/>
        <v>4085.9666666666667</v>
      </c>
      <c r="Y46" s="21">
        <v>49031.6</v>
      </c>
      <c r="Z46" s="19">
        <v>43</v>
      </c>
      <c r="AA46" s="20" t="s">
        <v>55</v>
      </c>
      <c r="AB46" s="21">
        <v>7</v>
      </c>
      <c r="AC46" s="21">
        <f t="shared" si="5"/>
        <v>2658.09</v>
      </c>
      <c r="AD46" s="21">
        <v>18606.63</v>
      </c>
      <c r="AE46" s="19">
        <v>43</v>
      </c>
      <c r="AF46" s="20" t="s">
        <v>20</v>
      </c>
      <c r="AG46" s="21">
        <v>16</v>
      </c>
      <c r="AH46" s="21">
        <v>5252.5168750000003</v>
      </c>
      <c r="AI46" s="21">
        <v>84040.27</v>
      </c>
      <c r="AJ46" s="19">
        <v>43</v>
      </c>
      <c r="AK46" s="20" t="s">
        <v>78</v>
      </c>
      <c r="AL46" s="21">
        <v>11</v>
      </c>
      <c r="AM46" s="21">
        <f t="shared" si="7"/>
        <v>3167.9009090909094</v>
      </c>
      <c r="AN46" s="21">
        <v>34846.910000000003</v>
      </c>
      <c r="AO46" s="19">
        <v>43</v>
      </c>
      <c r="AP46" s="20" t="s">
        <v>86</v>
      </c>
      <c r="AQ46" s="21">
        <v>8</v>
      </c>
      <c r="AR46" s="21">
        <f t="shared" si="8"/>
        <v>2633.8187499999999</v>
      </c>
      <c r="AS46" s="21">
        <v>21070.55</v>
      </c>
      <c r="AT46" s="19">
        <v>43</v>
      </c>
      <c r="AU46" s="20" t="s">
        <v>67</v>
      </c>
      <c r="AV46" s="21">
        <v>11</v>
      </c>
      <c r="AW46" s="21">
        <f t="shared" si="9"/>
        <v>3317.1581818181817</v>
      </c>
      <c r="AX46" s="21">
        <v>36488.74</v>
      </c>
      <c r="AY46" s="19">
        <v>43</v>
      </c>
      <c r="AZ46" s="20" t="s">
        <v>51</v>
      </c>
      <c r="BA46" s="21">
        <v>24</v>
      </c>
      <c r="BB46" s="21">
        <f t="shared" si="10"/>
        <v>3823.1295833333334</v>
      </c>
      <c r="BC46" s="21">
        <v>91755.11</v>
      </c>
      <c r="BD46" s="19">
        <v>43</v>
      </c>
      <c r="BE46" s="20" t="s">
        <v>38</v>
      </c>
      <c r="BF46" s="21">
        <v>18</v>
      </c>
      <c r="BG46" s="21">
        <f t="shared" si="11"/>
        <v>5919.4477777777774</v>
      </c>
      <c r="BH46" s="21">
        <v>106550.06</v>
      </c>
      <c r="BI46" s="19">
        <v>43</v>
      </c>
      <c r="BJ46" s="20" t="s">
        <v>47</v>
      </c>
      <c r="BK46" s="21">
        <v>167</v>
      </c>
      <c r="BL46" s="21">
        <f t="shared" si="12"/>
        <v>3871.4177245508981</v>
      </c>
      <c r="BM46" s="21">
        <v>646526.76</v>
      </c>
      <c r="BN46" s="29">
        <f t="shared" si="13"/>
        <v>1.6382507014067373E-3</v>
      </c>
      <c r="BO46" s="29">
        <f t="shared" si="14"/>
        <v>1.7631392276020845E-3</v>
      </c>
    </row>
    <row r="47" spans="1:67" x14ac:dyDescent="0.3">
      <c r="A47" s="19">
        <v>44</v>
      </c>
      <c r="B47" s="20" t="s">
        <v>32</v>
      </c>
      <c r="C47" s="21">
        <v>16</v>
      </c>
      <c r="D47" s="21">
        <f t="shared" si="0"/>
        <v>4205.7562500000004</v>
      </c>
      <c r="E47" s="21">
        <v>67292.100000000006</v>
      </c>
      <c r="F47" s="19">
        <v>44</v>
      </c>
      <c r="G47" s="20" t="s">
        <v>38</v>
      </c>
      <c r="H47" s="21">
        <v>14</v>
      </c>
      <c r="I47" s="21">
        <f t="shared" si="1"/>
        <v>3793.272857142857</v>
      </c>
      <c r="J47" s="21">
        <v>53105.82</v>
      </c>
      <c r="K47" s="19">
        <v>44</v>
      </c>
      <c r="L47" s="20" t="s">
        <v>71</v>
      </c>
      <c r="M47" s="21">
        <v>9</v>
      </c>
      <c r="N47" s="21">
        <f t="shared" si="2"/>
        <v>4159.0555555555557</v>
      </c>
      <c r="O47" s="21">
        <v>37431.5</v>
      </c>
      <c r="P47" s="19">
        <v>44</v>
      </c>
      <c r="Q47" s="20" t="s">
        <v>78</v>
      </c>
      <c r="R47" s="21">
        <v>10</v>
      </c>
      <c r="S47" s="21">
        <f t="shared" si="3"/>
        <v>3942.665</v>
      </c>
      <c r="T47" s="21">
        <v>39426.65</v>
      </c>
      <c r="U47" s="19">
        <v>44</v>
      </c>
      <c r="V47" s="20" t="s">
        <v>56</v>
      </c>
      <c r="W47" s="21">
        <v>10</v>
      </c>
      <c r="X47" s="21">
        <f t="shared" si="4"/>
        <v>3557.5</v>
      </c>
      <c r="Y47" s="21">
        <v>35575</v>
      </c>
      <c r="Z47" s="19">
        <v>44</v>
      </c>
      <c r="AA47" s="20" t="s">
        <v>56</v>
      </c>
      <c r="AB47" s="21">
        <v>7</v>
      </c>
      <c r="AC47" s="21">
        <f t="shared" si="5"/>
        <v>1347.2528571428572</v>
      </c>
      <c r="AD47" s="21">
        <v>9430.77</v>
      </c>
      <c r="AE47" s="19">
        <v>44</v>
      </c>
      <c r="AF47" s="20" t="s">
        <v>62</v>
      </c>
      <c r="AG47" s="21">
        <v>16</v>
      </c>
      <c r="AH47" s="21">
        <v>4795.5862500000003</v>
      </c>
      <c r="AI47" s="21">
        <v>76729.38</v>
      </c>
      <c r="AJ47" s="19">
        <v>44</v>
      </c>
      <c r="AK47" s="20" t="s">
        <v>41</v>
      </c>
      <c r="AL47" s="21">
        <v>11</v>
      </c>
      <c r="AM47" s="21">
        <f t="shared" si="7"/>
        <v>3620.7763636363638</v>
      </c>
      <c r="AN47" s="21">
        <v>39828.54</v>
      </c>
      <c r="AO47" s="19">
        <v>44</v>
      </c>
      <c r="AP47" s="20" t="s">
        <v>47</v>
      </c>
      <c r="AQ47" s="21">
        <v>7</v>
      </c>
      <c r="AR47" s="21">
        <f t="shared" si="8"/>
        <v>3059.0642857142857</v>
      </c>
      <c r="AS47" s="21">
        <v>21413.45</v>
      </c>
      <c r="AT47" s="19">
        <v>44</v>
      </c>
      <c r="AU47" s="20" t="s">
        <v>59</v>
      </c>
      <c r="AV47" s="21">
        <v>10</v>
      </c>
      <c r="AW47" s="21">
        <f t="shared" si="9"/>
        <v>3173.3360000000002</v>
      </c>
      <c r="AX47" s="21">
        <v>31733.360000000001</v>
      </c>
      <c r="AY47" s="19">
        <v>44</v>
      </c>
      <c r="AZ47" s="20" t="s">
        <v>60</v>
      </c>
      <c r="BA47" s="21">
        <v>22</v>
      </c>
      <c r="BB47" s="21">
        <f t="shared" si="10"/>
        <v>4608.1972727272723</v>
      </c>
      <c r="BC47" s="21">
        <v>101380.34</v>
      </c>
      <c r="BD47" s="19">
        <v>44</v>
      </c>
      <c r="BE47" s="20" t="s">
        <v>28</v>
      </c>
      <c r="BF47" s="21">
        <v>17</v>
      </c>
      <c r="BG47" s="21">
        <f t="shared" si="11"/>
        <v>5662.9847058823534</v>
      </c>
      <c r="BH47" s="21">
        <v>96270.74</v>
      </c>
      <c r="BI47" s="19">
        <v>44</v>
      </c>
      <c r="BJ47" s="20" t="s">
        <v>35</v>
      </c>
      <c r="BK47" s="21">
        <v>160</v>
      </c>
      <c r="BL47" s="21">
        <f t="shared" si="12"/>
        <v>3741.4651250000002</v>
      </c>
      <c r="BM47" s="21">
        <v>598634.42000000004</v>
      </c>
      <c r="BN47" s="29">
        <f t="shared" si="13"/>
        <v>1.5695815103298084E-3</v>
      </c>
      <c r="BO47" s="29">
        <f t="shared" si="14"/>
        <v>1.6325323160557529E-3</v>
      </c>
    </row>
    <row r="48" spans="1:67" x14ac:dyDescent="0.3">
      <c r="A48" s="19">
        <v>45</v>
      </c>
      <c r="B48" s="20" t="s">
        <v>47</v>
      </c>
      <c r="C48" s="21">
        <v>16</v>
      </c>
      <c r="D48" s="21">
        <f t="shared" si="0"/>
        <v>4410.4893750000001</v>
      </c>
      <c r="E48" s="21">
        <v>70567.83</v>
      </c>
      <c r="F48" s="19">
        <v>45</v>
      </c>
      <c r="G48" s="20" t="s">
        <v>37</v>
      </c>
      <c r="H48" s="21">
        <v>14</v>
      </c>
      <c r="I48" s="21">
        <f t="shared" si="1"/>
        <v>3785.0728571428567</v>
      </c>
      <c r="J48" s="21">
        <v>52991.02</v>
      </c>
      <c r="K48" s="19">
        <v>45</v>
      </c>
      <c r="L48" s="20" t="s">
        <v>74</v>
      </c>
      <c r="M48" s="21">
        <v>8</v>
      </c>
      <c r="N48" s="21">
        <f t="shared" si="2"/>
        <v>3424.74</v>
      </c>
      <c r="O48" s="21">
        <v>27397.919999999998</v>
      </c>
      <c r="P48" s="19">
        <v>45</v>
      </c>
      <c r="Q48" s="20" t="s">
        <v>125</v>
      </c>
      <c r="R48" s="21">
        <v>9</v>
      </c>
      <c r="S48" s="21">
        <f t="shared" si="3"/>
        <v>4000</v>
      </c>
      <c r="T48" s="21">
        <v>36000</v>
      </c>
      <c r="U48" s="19">
        <v>45</v>
      </c>
      <c r="V48" s="20" t="s">
        <v>42</v>
      </c>
      <c r="W48" s="21">
        <v>10</v>
      </c>
      <c r="X48" s="21">
        <f t="shared" si="4"/>
        <v>3344.55</v>
      </c>
      <c r="Y48" s="21">
        <v>33445.5</v>
      </c>
      <c r="Z48" s="19">
        <v>45</v>
      </c>
      <c r="AA48" s="20" t="s">
        <v>49</v>
      </c>
      <c r="AB48" s="21">
        <v>7</v>
      </c>
      <c r="AC48" s="21">
        <f t="shared" si="5"/>
        <v>3365.4328571428568</v>
      </c>
      <c r="AD48" s="21">
        <v>23558.03</v>
      </c>
      <c r="AE48" s="19">
        <v>45</v>
      </c>
      <c r="AF48" s="20" t="s">
        <v>42</v>
      </c>
      <c r="AG48" s="21">
        <v>15</v>
      </c>
      <c r="AH48" s="21">
        <v>3503.4780000000001</v>
      </c>
      <c r="AI48" s="21">
        <v>52552.17</v>
      </c>
      <c r="AJ48" s="19">
        <v>45</v>
      </c>
      <c r="AK48" s="20" t="s">
        <v>65</v>
      </c>
      <c r="AL48" s="21">
        <v>11</v>
      </c>
      <c r="AM48" s="21">
        <f t="shared" si="7"/>
        <v>3916.7763636363638</v>
      </c>
      <c r="AN48" s="21">
        <v>43084.54</v>
      </c>
      <c r="AO48" s="19">
        <v>45</v>
      </c>
      <c r="AP48" s="20" t="s">
        <v>37</v>
      </c>
      <c r="AQ48" s="21">
        <v>7</v>
      </c>
      <c r="AR48" s="21">
        <f t="shared" si="8"/>
        <v>3016.0328571428572</v>
      </c>
      <c r="AS48" s="21">
        <v>21112.23</v>
      </c>
      <c r="AT48" s="19">
        <v>45</v>
      </c>
      <c r="AU48" s="20" t="s">
        <v>91</v>
      </c>
      <c r="AV48" s="21">
        <v>9</v>
      </c>
      <c r="AW48" s="21">
        <f t="shared" si="9"/>
        <v>3669.0988888888887</v>
      </c>
      <c r="AX48" s="21">
        <v>33021.89</v>
      </c>
      <c r="AY48" s="19">
        <v>45</v>
      </c>
      <c r="AZ48" s="20" t="s">
        <v>64</v>
      </c>
      <c r="BA48" s="21">
        <v>17</v>
      </c>
      <c r="BB48" s="21">
        <f t="shared" si="10"/>
        <v>4266.7011764705885</v>
      </c>
      <c r="BC48" s="21">
        <v>72533.919999999998</v>
      </c>
      <c r="BD48" s="19">
        <v>45</v>
      </c>
      <c r="BE48" s="20" t="s">
        <v>47</v>
      </c>
      <c r="BF48" s="21">
        <v>17</v>
      </c>
      <c r="BG48" s="21">
        <f t="shared" si="11"/>
        <v>4237.9611764705878</v>
      </c>
      <c r="BH48" s="21">
        <v>72045.34</v>
      </c>
      <c r="BI48" s="19">
        <v>45</v>
      </c>
      <c r="BJ48" s="20" t="s">
        <v>78</v>
      </c>
      <c r="BK48" s="21">
        <v>159</v>
      </c>
      <c r="BL48" s="21">
        <f t="shared" si="12"/>
        <v>2916.6998742138367</v>
      </c>
      <c r="BM48" s="21">
        <v>463755.28</v>
      </c>
      <c r="BN48" s="29">
        <f t="shared" si="13"/>
        <v>1.5597716258902469E-3</v>
      </c>
      <c r="BO48" s="29">
        <f t="shared" si="14"/>
        <v>1.2647042268994224E-3</v>
      </c>
    </row>
    <row r="49" spans="1:67" x14ac:dyDescent="0.3">
      <c r="A49" s="19">
        <v>46</v>
      </c>
      <c r="B49" s="20" t="s">
        <v>95</v>
      </c>
      <c r="C49" s="21">
        <v>16</v>
      </c>
      <c r="D49" s="21">
        <f t="shared" si="0"/>
        <v>3521.723125</v>
      </c>
      <c r="E49" s="21">
        <v>56347.57</v>
      </c>
      <c r="F49" s="19">
        <v>46</v>
      </c>
      <c r="G49" s="20" t="s">
        <v>7</v>
      </c>
      <c r="H49" s="21">
        <v>13</v>
      </c>
      <c r="I49" s="21">
        <f t="shared" si="1"/>
        <v>4900.0584615384614</v>
      </c>
      <c r="J49" s="21">
        <v>63700.76</v>
      </c>
      <c r="K49" s="19">
        <v>46</v>
      </c>
      <c r="L49" s="20" t="s">
        <v>51</v>
      </c>
      <c r="M49" s="21">
        <v>8</v>
      </c>
      <c r="N49" s="21">
        <f t="shared" si="2"/>
        <v>4509.6374999999998</v>
      </c>
      <c r="O49" s="21">
        <v>36077.1</v>
      </c>
      <c r="P49" s="19">
        <v>46</v>
      </c>
      <c r="Q49" s="20" t="s">
        <v>33</v>
      </c>
      <c r="R49" s="21">
        <v>9</v>
      </c>
      <c r="S49" s="21">
        <f t="shared" si="3"/>
        <v>4168.4466666666667</v>
      </c>
      <c r="T49" s="21">
        <v>37516.019999999997</v>
      </c>
      <c r="U49" s="19">
        <v>46</v>
      </c>
      <c r="V49" s="20" t="s">
        <v>61</v>
      </c>
      <c r="W49" s="21">
        <v>9</v>
      </c>
      <c r="X49" s="21">
        <f t="shared" si="4"/>
        <v>3930.4566666666669</v>
      </c>
      <c r="Y49" s="21">
        <v>35374.11</v>
      </c>
      <c r="Z49" s="19">
        <v>46</v>
      </c>
      <c r="AA49" s="20" t="s">
        <v>121</v>
      </c>
      <c r="AB49" s="21">
        <v>6</v>
      </c>
      <c r="AC49" s="21">
        <f t="shared" si="5"/>
        <v>3988.0866666666666</v>
      </c>
      <c r="AD49" s="21">
        <v>23928.52</v>
      </c>
      <c r="AE49" s="19">
        <v>46</v>
      </c>
      <c r="AF49" s="20" t="s">
        <v>47</v>
      </c>
      <c r="AG49" s="21">
        <v>8</v>
      </c>
      <c r="AH49" s="21">
        <v>3170.55375</v>
      </c>
      <c r="AI49" s="21">
        <v>25364.43</v>
      </c>
      <c r="AJ49" s="19">
        <v>46</v>
      </c>
      <c r="AK49" s="20" t="s">
        <v>33</v>
      </c>
      <c r="AL49" s="21">
        <v>8</v>
      </c>
      <c r="AM49" s="21">
        <f t="shared" si="7"/>
        <v>4785.1674999999996</v>
      </c>
      <c r="AN49" s="21">
        <v>38281.339999999997</v>
      </c>
      <c r="AO49" s="19">
        <v>46</v>
      </c>
      <c r="AP49" s="20" t="s">
        <v>52</v>
      </c>
      <c r="AQ49" s="21">
        <v>6</v>
      </c>
      <c r="AR49" s="21">
        <f t="shared" si="8"/>
        <v>3455.1133333333332</v>
      </c>
      <c r="AS49" s="21">
        <v>20730.68</v>
      </c>
      <c r="AT49" s="19">
        <v>46</v>
      </c>
      <c r="AU49" s="20" t="s">
        <v>44</v>
      </c>
      <c r="AV49" s="21">
        <v>8</v>
      </c>
      <c r="AW49" s="21">
        <f t="shared" si="9"/>
        <v>3118.4137500000002</v>
      </c>
      <c r="AX49" s="21">
        <v>24947.31</v>
      </c>
      <c r="AY49" s="19">
        <v>46</v>
      </c>
      <c r="AZ49" s="20" t="s">
        <v>30</v>
      </c>
      <c r="BA49" s="21">
        <v>16</v>
      </c>
      <c r="BB49" s="21">
        <f t="shared" si="10"/>
        <v>4918.3968750000004</v>
      </c>
      <c r="BC49" s="21">
        <v>78694.350000000006</v>
      </c>
      <c r="BD49" s="19">
        <v>46</v>
      </c>
      <c r="BE49" s="20" t="s">
        <v>106</v>
      </c>
      <c r="BF49" s="21">
        <v>14</v>
      </c>
      <c r="BG49" s="21">
        <f t="shared" si="11"/>
        <v>8729.3178571428562</v>
      </c>
      <c r="BH49" s="21">
        <v>122210.45</v>
      </c>
      <c r="BI49" s="19">
        <v>46</v>
      </c>
      <c r="BJ49" s="20" t="s">
        <v>52</v>
      </c>
      <c r="BK49" s="21">
        <v>158</v>
      </c>
      <c r="BL49" s="21">
        <f t="shared" si="12"/>
        <v>4020.5462658227852</v>
      </c>
      <c r="BM49" s="21">
        <v>635246.31000000006</v>
      </c>
      <c r="BN49" s="29">
        <f t="shared" si="13"/>
        <v>1.5499617414506857E-3</v>
      </c>
      <c r="BO49" s="29">
        <f t="shared" si="14"/>
        <v>1.7323763804463011E-3</v>
      </c>
    </row>
    <row r="50" spans="1:67" x14ac:dyDescent="0.3">
      <c r="A50" s="19">
        <v>47</v>
      </c>
      <c r="B50" s="20" t="s">
        <v>51</v>
      </c>
      <c r="C50" s="21">
        <v>16</v>
      </c>
      <c r="D50" s="21">
        <f t="shared" si="0"/>
        <v>5095.4981250000001</v>
      </c>
      <c r="E50" s="21">
        <v>81527.97</v>
      </c>
      <c r="F50" s="19">
        <v>47</v>
      </c>
      <c r="G50" s="20" t="s">
        <v>47</v>
      </c>
      <c r="H50" s="21">
        <v>11</v>
      </c>
      <c r="I50" s="21">
        <f t="shared" si="1"/>
        <v>3852.1827272727273</v>
      </c>
      <c r="J50" s="21">
        <v>42374.01</v>
      </c>
      <c r="K50" s="19">
        <v>47</v>
      </c>
      <c r="L50" s="20" t="s">
        <v>79</v>
      </c>
      <c r="M50" s="21">
        <v>7</v>
      </c>
      <c r="N50" s="21">
        <f t="shared" si="2"/>
        <v>4000</v>
      </c>
      <c r="O50" s="21">
        <v>28000</v>
      </c>
      <c r="P50" s="19">
        <v>47</v>
      </c>
      <c r="Q50" s="20" t="s">
        <v>31</v>
      </c>
      <c r="R50" s="21">
        <v>9</v>
      </c>
      <c r="S50" s="21">
        <f t="shared" si="3"/>
        <v>3733.9088888888891</v>
      </c>
      <c r="T50" s="21">
        <v>33605.18</v>
      </c>
      <c r="U50" s="19">
        <v>47</v>
      </c>
      <c r="V50" s="20" t="s">
        <v>66</v>
      </c>
      <c r="W50" s="21">
        <v>9</v>
      </c>
      <c r="X50" s="21">
        <f t="shared" si="4"/>
        <v>3863.8933333333334</v>
      </c>
      <c r="Y50" s="21">
        <v>34775.040000000001</v>
      </c>
      <c r="Z50" s="19">
        <v>47</v>
      </c>
      <c r="AA50" s="20" t="s">
        <v>86</v>
      </c>
      <c r="AB50" s="21">
        <v>6</v>
      </c>
      <c r="AC50" s="21">
        <f t="shared" si="5"/>
        <v>2633.81</v>
      </c>
      <c r="AD50" s="21">
        <v>15802.86</v>
      </c>
      <c r="AE50" s="19">
        <v>47</v>
      </c>
      <c r="AF50" s="20" t="s">
        <v>43</v>
      </c>
      <c r="AG50" s="21">
        <v>7</v>
      </c>
      <c r="AH50" s="21">
        <v>3452.5742857142859</v>
      </c>
      <c r="AI50" s="21">
        <v>24168.02</v>
      </c>
      <c r="AJ50" s="19">
        <v>47</v>
      </c>
      <c r="AK50" s="20" t="s">
        <v>31</v>
      </c>
      <c r="AL50" s="21">
        <v>8</v>
      </c>
      <c r="AM50" s="21">
        <f t="shared" si="7"/>
        <v>3309.26</v>
      </c>
      <c r="AN50" s="21">
        <v>26474.080000000002</v>
      </c>
      <c r="AO50" s="19">
        <v>47</v>
      </c>
      <c r="AP50" s="20" t="s">
        <v>56</v>
      </c>
      <c r="AQ50" s="21">
        <v>6</v>
      </c>
      <c r="AR50" s="21">
        <f t="shared" si="8"/>
        <v>4240.9266666666672</v>
      </c>
      <c r="AS50" s="21">
        <v>25445.56</v>
      </c>
      <c r="AT50" s="19">
        <v>47</v>
      </c>
      <c r="AU50" s="20" t="s">
        <v>76</v>
      </c>
      <c r="AV50" s="21">
        <v>7</v>
      </c>
      <c r="AW50" s="21">
        <f t="shared" si="9"/>
        <v>3974.511428571429</v>
      </c>
      <c r="AX50" s="21">
        <v>27821.58</v>
      </c>
      <c r="AY50" s="19">
        <v>47</v>
      </c>
      <c r="AZ50" s="20" t="s">
        <v>62</v>
      </c>
      <c r="BA50" s="21">
        <v>14</v>
      </c>
      <c r="BB50" s="21">
        <f t="shared" si="10"/>
        <v>3272.5</v>
      </c>
      <c r="BC50" s="21">
        <v>45815</v>
      </c>
      <c r="BD50" s="19">
        <v>47</v>
      </c>
      <c r="BE50" s="20" t="s">
        <v>58</v>
      </c>
      <c r="BF50" s="21">
        <v>13</v>
      </c>
      <c r="BG50" s="21">
        <f t="shared" si="11"/>
        <v>4739.7299999999996</v>
      </c>
      <c r="BH50" s="21">
        <v>61616.49</v>
      </c>
      <c r="BI50" s="19">
        <v>47</v>
      </c>
      <c r="BJ50" s="20" t="s">
        <v>33</v>
      </c>
      <c r="BK50" s="21">
        <v>148</v>
      </c>
      <c r="BL50" s="21">
        <f t="shared" si="12"/>
        <v>4524.1493918918914</v>
      </c>
      <c r="BM50" s="21">
        <v>669574.11</v>
      </c>
      <c r="BN50" s="29">
        <f t="shared" si="13"/>
        <v>1.4518628970550727E-3</v>
      </c>
      <c r="BO50" s="29">
        <f t="shared" si="14"/>
        <v>1.8259915167745772E-3</v>
      </c>
    </row>
    <row r="51" spans="1:67" x14ac:dyDescent="0.3">
      <c r="A51" s="19">
        <v>48</v>
      </c>
      <c r="B51" s="20" t="s">
        <v>62</v>
      </c>
      <c r="C51" s="21">
        <v>15</v>
      </c>
      <c r="D51" s="21">
        <f t="shared" si="0"/>
        <v>4919.3013333333338</v>
      </c>
      <c r="E51" s="21">
        <v>73789.52</v>
      </c>
      <c r="F51" s="19">
        <v>48</v>
      </c>
      <c r="G51" s="20" t="s">
        <v>67</v>
      </c>
      <c r="H51" s="21">
        <v>10</v>
      </c>
      <c r="I51" s="21">
        <f t="shared" si="1"/>
        <v>4558.2640000000001</v>
      </c>
      <c r="J51" s="21">
        <v>45582.64</v>
      </c>
      <c r="K51" s="19">
        <v>48</v>
      </c>
      <c r="L51" s="20" t="s">
        <v>73</v>
      </c>
      <c r="M51" s="21">
        <v>7</v>
      </c>
      <c r="N51" s="21">
        <f t="shared" si="2"/>
        <v>3600</v>
      </c>
      <c r="O51" s="21">
        <v>25200</v>
      </c>
      <c r="P51" s="19">
        <v>48</v>
      </c>
      <c r="Q51" s="20" t="s">
        <v>44</v>
      </c>
      <c r="R51" s="21">
        <v>8</v>
      </c>
      <c r="S51" s="21">
        <f t="shared" si="3"/>
        <v>4522.7737500000003</v>
      </c>
      <c r="T51" s="21">
        <v>36182.19</v>
      </c>
      <c r="U51" s="19">
        <v>48</v>
      </c>
      <c r="V51" s="20" t="s">
        <v>64</v>
      </c>
      <c r="W51" s="21">
        <v>8</v>
      </c>
      <c r="X51" s="21">
        <f t="shared" si="4"/>
        <v>3216.0149999999999</v>
      </c>
      <c r="Y51" s="21">
        <v>25728.12</v>
      </c>
      <c r="Z51" s="19">
        <v>48</v>
      </c>
      <c r="AA51" s="20" t="s">
        <v>63</v>
      </c>
      <c r="AB51" s="21">
        <v>5</v>
      </c>
      <c r="AC51" s="21">
        <f t="shared" si="5"/>
        <v>3600</v>
      </c>
      <c r="AD51" s="21">
        <v>18000</v>
      </c>
      <c r="AE51" s="19">
        <v>48</v>
      </c>
      <c r="AF51" s="20" t="s">
        <v>41</v>
      </c>
      <c r="AG51" s="21">
        <v>7</v>
      </c>
      <c r="AH51" s="21">
        <v>3244.68</v>
      </c>
      <c r="AI51" s="21">
        <v>22712.76</v>
      </c>
      <c r="AJ51" s="19">
        <v>48</v>
      </c>
      <c r="AK51" s="20" t="s">
        <v>58</v>
      </c>
      <c r="AL51" s="21">
        <v>7</v>
      </c>
      <c r="AM51" s="21">
        <f t="shared" si="7"/>
        <v>4554.28</v>
      </c>
      <c r="AN51" s="21">
        <v>31879.96</v>
      </c>
      <c r="AO51" s="19">
        <v>48</v>
      </c>
      <c r="AP51" s="20" t="s">
        <v>42</v>
      </c>
      <c r="AQ51" s="21">
        <v>6</v>
      </c>
      <c r="AR51" s="21">
        <f t="shared" si="8"/>
        <v>3164.7833333333333</v>
      </c>
      <c r="AS51" s="21">
        <v>18988.7</v>
      </c>
      <c r="AT51" s="19">
        <v>48</v>
      </c>
      <c r="AU51" s="20" t="s">
        <v>52</v>
      </c>
      <c r="AV51" s="21">
        <v>7</v>
      </c>
      <c r="AW51" s="21">
        <f t="shared" si="9"/>
        <v>3821.0485714285714</v>
      </c>
      <c r="AX51" s="21">
        <v>26747.34</v>
      </c>
      <c r="AY51" s="19">
        <v>48</v>
      </c>
      <c r="AZ51" s="20" t="s">
        <v>65</v>
      </c>
      <c r="BA51" s="21">
        <v>14</v>
      </c>
      <c r="BB51" s="21">
        <f t="shared" si="10"/>
        <v>4142.1350000000002</v>
      </c>
      <c r="BC51" s="21">
        <v>57989.89</v>
      </c>
      <c r="BD51" s="19">
        <v>48</v>
      </c>
      <c r="BE51" s="20" t="s">
        <v>69</v>
      </c>
      <c r="BF51" s="21">
        <v>12</v>
      </c>
      <c r="BG51" s="21">
        <f t="shared" si="11"/>
        <v>4918.9674999999997</v>
      </c>
      <c r="BH51" s="21">
        <v>59027.61</v>
      </c>
      <c r="BI51" s="19">
        <v>48</v>
      </c>
      <c r="BJ51" s="20" t="s">
        <v>75</v>
      </c>
      <c r="BK51" s="21">
        <v>130</v>
      </c>
      <c r="BL51" s="21">
        <f t="shared" si="12"/>
        <v>4003.248846153846</v>
      </c>
      <c r="BM51" s="21">
        <v>520422.35</v>
      </c>
      <c r="BN51" s="29">
        <f t="shared" si="13"/>
        <v>1.2752849771429692E-3</v>
      </c>
      <c r="BO51" s="29">
        <f t="shared" si="14"/>
        <v>1.4192406517030502E-3</v>
      </c>
    </row>
    <row r="52" spans="1:67" x14ac:dyDescent="0.3">
      <c r="A52" s="19">
        <v>49</v>
      </c>
      <c r="B52" s="20" t="s">
        <v>100</v>
      </c>
      <c r="C52" s="21">
        <v>14</v>
      </c>
      <c r="D52" s="21">
        <f t="shared" si="0"/>
        <v>4438.8735714285713</v>
      </c>
      <c r="E52" s="21">
        <v>62144.23</v>
      </c>
      <c r="F52" s="19">
        <v>49</v>
      </c>
      <c r="G52" s="20" t="s">
        <v>69</v>
      </c>
      <c r="H52" s="21">
        <v>10</v>
      </c>
      <c r="I52" s="21">
        <f t="shared" si="1"/>
        <v>6422.9970000000003</v>
      </c>
      <c r="J52" s="21">
        <v>64229.97</v>
      </c>
      <c r="K52" s="19">
        <v>49</v>
      </c>
      <c r="L52" s="20" t="s">
        <v>78</v>
      </c>
      <c r="M52" s="21">
        <v>6</v>
      </c>
      <c r="N52" s="21">
        <f t="shared" si="2"/>
        <v>3455.9566666666669</v>
      </c>
      <c r="O52" s="21">
        <v>20735.740000000002</v>
      </c>
      <c r="P52" s="19">
        <v>49</v>
      </c>
      <c r="Q52" s="20" t="s">
        <v>117</v>
      </c>
      <c r="R52" s="21">
        <v>8</v>
      </c>
      <c r="S52" s="21">
        <f t="shared" si="3"/>
        <v>2879.9974999999999</v>
      </c>
      <c r="T52" s="21">
        <v>23039.98</v>
      </c>
      <c r="U52" s="19">
        <v>49</v>
      </c>
      <c r="V52" s="20" t="s">
        <v>65</v>
      </c>
      <c r="W52" s="21">
        <v>8</v>
      </c>
      <c r="X52" s="21">
        <f t="shared" si="4"/>
        <v>3118.55375</v>
      </c>
      <c r="Y52" s="21">
        <v>24948.43</v>
      </c>
      <c r="Z52" s="19">
        <v>49</v>
      </c>
      <c r="AA52" s="20" t="s">
        <v>74</v>
      </c>
      <c r="AB52" s="21">
        <v>5</v>
      </c>
      <c r="AC52" s="21">
        <f t="shared" si="5"/>
        <v>3228.55</v>
      </c>
      <c r="AD52" s="21">
        <v>16142.75</v>
      </c>
      <c r="AE52" s="19">
        <v>49</v>
      </c>
      <c r="AF52" s="20" t="s">
        <v>78</v>
      </c>
      <c r="AG52" s="21">
        <v>6</v>
      </c>
      <c r="AH52" s="21">
        <v>2761.2549999999997</v>
      </c>
      <c r="AI52" s="21">
        <v>16567.53</v>
      </c>
      <c r="AJ52" s="19">
        <v>49</v>
      </c>
      <c r="AK52" s="20" t="s">
        <v>67</v>
      </c>
      <c r="AL52" s="21">
        <v>6</v>
      </c>
      <c r="AM52" s="21">
        <f t="shared" si="7"/>
        <v>4124.0466666666662</v>
      </c>
      <c r="AN52" s="21">
        <v>24744.28</v>
      </c>
      <c r="AO52" s="19">
        <v>49</v>
      </c>
      <c r="AP52" s="20" t="s">
        <v>82</v>
      </c>
      <c r="AQ52" s="21">
        <v>5</v>
      </c>
      <c r="AR52" s="21">
        <f t="shared" si="8"/>
        <v>3228.55</v>
      </c>
      <c r="AS52" s="21">
        <v>16142.75</v>
      </c>
      <c r="AT52" s="19">
        <v>49</v>
      </c>
      <c r="AU52" s="20" t="s">
        <v>45</v>
      </c>
      <c r="AV52" s="21">
        <v>7</v>
      </c>
      <c r="AW52" s="21">
        <f t="shared" si="9"/>
        <v>3974.7999999999997</v>
      </c>
      <c r="AX52" s="21">
        <v>27823.599999999999</v>
      </c>
      <c r="AY52" s="19">
        <v>49</v>
      </c>
      <c r="AZ52" s="20" t="s">
        <v>77</v>
      </c>
      <c r="BA52" s="21">
        <v>13</v>
      </c>
      <c r="BB52" s="21">
        <f t="shared" si="10"/>
        <v>5189.749230769231</v>
      </c>
      <c r="BC52" s="21">
        <v>67466.740000000005</v>
      </c>
      <c r="BD52" s="19">
        <v>49</v>
      </c>
      <c r="BE52" s="20" t="s">
        <v>85</v>
      </c>
      <c r="BF52" s="21">
        <v>12</v>
      </c>
      <c r="BG52" s="21">
        <f t="shared" si="11"/>
        <v>4001.7608333333333</v>
      </c>
      <c r="BH52" s="21">
        <v>48021.13</v>
      </c>
      <c r="BI52" s="19">
        <v>49</v>
      </c>
      <c r="BJ52" s="20" t="s">
        <v>62</v>
      </c>
      <c r="BK52" s="21">
        <v>126</v>
      </c>
      <c r="BL52" s="21">
        <f t="shared" si="12"/>
        <v>4899.5417460317458</v>
      </c>
      <c r="BM52" s="21">
        <v>617342.26</v>
      </c>
      <c r="BN52" s="29">
        <f t="shared" si="13"/>
        <v>1.236045439384724E-3</v>
      </c>
      <c r="BO52" s="29">
        <f t="shared" si="14"/>
        <v>1.683550353681455E-3</v>
      </c>
    </row>
    <row r="53" spans="1:67" x14ac:dyDescent="0.3">
      <c r="A53" s="19">
        <v>50</v>
      </c>
      <c r="B53" s="20" t="s">
        <v>33</v>
      </c>
      <c r="C53" s="21">
        <v>13</v>
      </c>
      <c r="D53" s="21">
        <f t="shared" si="0"/>
        <v>4450.2830769230768</v>
      </c>
      <c r="E53" s="21">
        <v>57853.68</v>
      </c>
      <c r="F53" s="19">
        <v>50</v>
      </c>
      <c r="G53" s="20" t="s">
        <v>117</v>
      </c>
      <c r="H53" s="21">
        <v>10</v>
      </c>
      <c r="I53" s="21">
        <f t="shared" si="1"/>
        <v>3574.8989999999999</v>
      </c>
      <c r="J53" s="21">
        <v>35748.99</v>
      </c>
      <c r="K53" s="19">
        <v>50</v>
      </c>
      <c r="L53" s="20" t="s">
        <v>69</v>
      </c>
      <c r="M53" s="21">
        <v>4</v>
      </c>
      <c r="N53" s="21">
        <f t="shared" si="2"/>
        <v>4865.4975000000004</v>
      </c>
      <c r="O53" s="21">
        <v>19461.990000000002</v>
      </c>
      <c r="P53" s="19">
        <v>50</v>
      </c>
      <c r="Q53" s="20" t="s">
        <v>51</v>
      </c>
      <c r="R53" s="21">
        <v>8</v>
      </c>
      <c r="S53" s="21">
        <f t="shared" si="3"/>
        <v>4621.7362499999999</v>
      </c>
      <c r="T53" s="21">
        <v>36973.89</v>
      </c>
      <c r="U53" s="19">
        <v>50</v>
      </c>
      <c r="V53" s="20" t="s">
        <v>49</v>
      </c>
      <c r="W53" s="21">
        <v>8</v>
      </c>
      <c r="X53" s="21">
        <f t="shared" si="4"/>
        <v>3190.03</v>
      </c>
      <c r="Y53" s="21">
        <v>25520.240000000002</v>
      </c>
      <c r="Z53" s="19">
        <v>50</v>
      </c>
      <c r="AA53" s="20" t="s">
        <v>100</v>
      </c>
      <c r="AB53" s="21">
        <v>5</v>
      </c>
      <c r="AC53" s="21">
        <f t="shared" si="5"/>
        <v>4244.8999999999996</v>
      </c>
      <c r="AD53" s="21">
        <v>21224.5</v>
      </c>
      <c r="AE53" s="19">
        <v>50</v>
      </c>
      <c r="AF53" s="20" t="s">
        <v>118</v>
      </c>
      <c r="AG53" s="21">
        <v>6</v>
      </c>
      <c r="AH53" s="21">
        <v>3228.5499999999997</v>
      </c>
      <c r="AI53" s="21">
        <v>19371.3</v>
      </c>
      <c r="AJ53" s="19">
        <v>50</v>
      </c>
      <c r="AK53" s="20" t="s">
        <v>70</v>
      </c>
      <c r="AL53" s="21">
        <v>6</v>
      </c>
      <c r="AM53" s="21">
        <f t="shared" si="7"/>
        <v>4685.2766666666666</v>
      </c>
      <c r="AN53" s="21">
        <v>28111.66</v>
      </c>
      <c r="AO53" s="19">
        <v>50</v>
      </c>
      <c r="AP53" s="20" t="s">
        <v>105</v>
      </c>
      <c r="AQ53" s="21">
        <v>5</v>
      </c>
      <c r="AR53" s="21">
        <f t="shared" si="8"/>
        <v>3779.95</v>
      </c>
      <c r="AS53" s="21">
        <v>18899.75</v>
      </c>
      <c r="AT53" s="19">
        <v>50</v>
      </c>
      <c r="AU53" s="20" t="s">
        <v>68</v>
      </c>
      <c r="AV53" s="21">
        <v>7</v>
      </c>
      <c r="AW53" s="21">
        <f t="shared" si="9"/>
        <v>10866.644285714285</v>
      </c>
      <c r="AX53" s="21">
        <v>76066.509999999995</v>
      </c>
      <c r="AY53" s="19">
        <v>50</v>
      </c>
      <c r="AZ53" s="20" t="s">
        <v>78</v>
      </c>
      <c r="BA53" s="21">
        <v>13</v>
      </c>
      <c r="BB53" s="21">
        <f t="shared" si="10"/>
        <v>5334.499230769231</v>
      </c>
      <c r="BC53" s="21">
        <v>69348.490000000005</v>
      </c>
      <c r="BD53" s="19">
        <v>50</v>
      </c>
      <c r="BE53" s="20" t="s">
        <v>56</v>
      </c>
      <c r="BF53" s="21">
        <v>12</v>
      </c>
      <c r="BG53" s="21">
        <f t="shared" si="11"/>
        <v>3576.3924999999999</v>
      </c>
      <c r="BH53" s="21">
        <v>42916.71</v>
      </c>
      <c r="BI53" s="19">
        <v>50</v>
      </c>
      <c r="BJ53" s="20" t="s">
        <v>45</v>
      </c>
      <c r="BK53" s="21">
        <v>120</v>
      </c>
      <c r="BL53" s="21">
        <f t="shared" si="12"/>
        <v>2280.0056666666665</v>
      </c>
      <c r="BM53" s="21">
        <v>273600.68</v>
      </c>
      <c r="BN53" s="29">
        <f t="shared" si="13"/>
        <v>1.1771861327473563E-3</v>
      </c>
      <c r="BO53" s="29">
        <f t="shared" si="14"/>
        <v>7.4613476417682238E-4</v>
      </c>
    </row>
    <row r="54" spans="1:67" x14ac:dyDescent="0.3">
      <c r="A54" s="19">
        <v>51</v>
      </c>
      <c r="B54" s="20" t="s">
        <v>35</v>
      </c>
      <c r="C54" s="21">
        <v>13</v>
      </c>
      <c r="D54" s="21">
        <f t="shared" si="0"/>
        <v>4147.5076923076922</v>
      </c>
      <c r="E54" s="21">
        <v>53917.599999999999</v>
      </c>
      <c r="F54" s="19">
        <v>51</v>
      </c>
      <c r="G54" s="20" t="s">
        <v>52</v>
      </c>
      <c r="H54" s="21">
        <v>9</v>
      </c>
      <c r="I54" s="21">
        <f t="shared" si="1"/>
        <v>3424.4066666666668</v>
      </c>
      <c r="J54" s="21">
        <v>30819.66</v>
      </c>
      <c r="K54" s="19">
        <v>51</v>
      </c>
      <c r="L54" s="20" t="s">
        <v>29</v>
      </c>
      <c r="M54" s="21">
        <v>4</v>
      </c>
      <c r="N54" s="21">
        <f t="shared" si="2"/>
        <v>5808.1975000000002</v>
      </c>
      <c r="O54" s="21">
        <v>23232.79</v>
      </c>
      <c r="P54" s="19">
        <v>51</v>
      </c>
      <c r="Q54" s="20" t="s">
        <v>76</v>
      </c>
      <c r="R54" s="21">
        <v>7</v>
      </c>
      <c r="S54" s="21">
        <f t="shared" si="3"/>
        <v>3377.1699999999996</v>
      </c>
      <c r="T54" s="21">
        <v>23640.19</v>
      </c>
      <c r="U54" s="19">
        <v>51</v>
      </c>
      <c r="V54" s="20" t="s">
        <v>67</v>
      </c>
      <c r="W54" s="21">
        <v>7</v>
      </c>
      <c r="X54" s="21">
        <f t="shared" si="4"/>
        <v>3080</v>
      </c>
      <c r="Y54" s="21">
        <v>21560</v>
      </c>
      <c r="Z54" s="19">
        <v>51</v>
      </c>
      <c r="AA54" s="20" t="s">
        <v>76</v>
      </c>
      <c r="AB54" s="21">
        <v>4</v>
      </c>
      <c r="AC54" s="21">
        <f t="shared" si="5"/>
        <v>0</v>
      </c>
      <c r="AD54" s="21">
        <v>0</v>
      </c>
      <c r="AE54" s="19">
        <v>51</v>
      </c>
      <c r="AF54" s="20" t="s">
        <v>75</v>
      </c>
      <c r="AG54" s="21">
        <v>6</v>
      </c>
      <c r="AH54" s="21">
        <v>3492.76</v>
      </c>
      <c r="AI54" s="21">
        <v>20956.560000000001</v>
      </c>
      <c r="AJ54" s="19">
        <v>51</v>
      </c>
      <c r="AK54" s="20" t="s">
        <v>57</v>
      </c>
      <c r="AL54" s="21">
        <v>5</v>
      </c>
      <c r="AM54" s="21">
        <f t="shared" si="7"/>
        <v>11257.433999999999</v>
      </c>
      <c r="AN54" s="21">
        <v>56287.17</v>
      </c>
      <c r="AO54" s="19">
        <v>51</v>
      </c>
      <c r="AP54" s="20" t="s">
        <v>54</v>
      </c>
      <c r="AQ54" s="21">
        <v>4</v>
      </c>
      <c r="AR54" s="21">
        <f t="shared" si="8"/>
        <v>8085</v>
      </c>
      <c r="AS54" s="21">
        <v>32340</v>
      </c>
      <c r="AT54" s="19">
        <v>51</v>
      </c>
      <c r="AU54" s="20" t="s">
        <v>61</v>
      </c>
      <c r="AV54" s="21">
        <v>6</v>
      </c>
      <c r="AW54" s="21">
        <f t="shared" si="9"/>
        <v>3228.5400000000004</v>
      </c>
      <c r="AX54" s="21">
        <v>19371.240000000002</v>
      </c>
      <c r="AY54" s="19">
        <v>51</v>
      </c>
      <c r="AZ54" s="20" t="s">
        <v>58</v>
      </c>
      <c r="BA54" s="21">
        <v>13</v>
      </c>
      <c r="BB54" s="21">
        <f t="shared" si="10"/>
        <v>3554.0038461538466</v>
      </c>
      <c r="BC54" s="21">
        <v>46202.05</v>
      </c>
      <c r="BD54" s="19">
        <v>51</v>
      </c>
      <c r="BE54" s="20" t="s">
        <v>67</v>
      </c>
      <c r="BF54" s="21">
        <v>11</v>
      </c>
      <c r="BG54" s="21">
        <f t="shared" si="11"/>
        <v>8318.7745454545457</v>
      </c>
      <c r="BH54" s="21">
        <v>91506.52</v>
      </c>
      <c r="BI54" s="19">
        <v>51</v>
      </c>
      <c r="BJ54" s="20" t="s">
        <v>86</v>
      </c>
      <c r="BK54" s="21">
        <v>118</v>
      </c>
      <c r="BL54" s="21">
        <f t="shared" si="12"/>
        <v>3323.5775423728815</v>
      </c>
      <c r="BM54" s="21">
        <v>392182.15</v>
      </c>
      <c r="BN54" s="29">
        <f t="shared" si="13"/>
        <v>1.1575663638682336E-3</v>
      </c>
      <c r="BO54" s="29">
        <f t="shared" si="14"/>
        <v>1.0695175757772575E-3</v>
      </c>
    </row>
    <row r="55" spans="1:67" x14ac:dyDescent="0.3">
      <c r="A55" s="19">
        <v>52</v>
      </c>
      <c r="B55" s="20" t="s">
        <v>29</v>
      </c>
      <c r="C55" s="21">
        <v>12</v>
      </c>
      <c r="D55" s="21">
        <f t="shared" si="0"/>
        <v>5092.0349999999999</v>
      </c>
      <c r="E55" s="21">
        <v>61104.42</v>
      </c>
      <c r="F55" s="19">
        <v>52</v>
      </c>
      <c r="G55" s="20" t="s">
        <v>41</v>
      </c>
      <c r="H55" s="21">
        <v>9</v>
      </c>
      <c r="I55" s="21">
        <f t="shared" si="1"/>
        <v>3999.3077777777776</v>
      </c>
      <c r="J55" s="21">
        <v>35993.769999999997</v>
      </c>
      <c r="K55" s="19">
        <v>52</v>
      </c>
      <c r="L55" s="20" t="s">
        <v>97</v>
      </c>
      <c r="M55" s="21">
        <v>4</v>
      </c>
      <c r="N55" s="21">
        <f t="shared" si="2"/>
        <v>3861.3249999999998</v>
      </c>
      <c r="O55" s="21">
        <v>15445.3</v>
      </c>
      <c r="P55" s="19">
        <v>52</v>
      </c>
      <c r="Q55" s="20" t="s">
        <v>103</v>
      </c>
      <c r="R55" s="21">
        <v>7</v>
      </c>
      <c r="S55" s="21">
        <f t="shared" si="3"/>
        <v>3490.5</v>
      </c>
      <c r="T55" s="21">
        <v>24433.5</v>
      </c>
      <c r="U55" s="19">
        <v>52</v>
      </c>
      <c r="V55" s="20" t="s">
        <v>72</v>
      </c>
      <c r="W55" s="21">
        <v>6</v>
      </c>
      <c r="X55" s="21">
        <f t="shared" si="4"/>
        <v>7067.9133333333339</v>
      </c>
      <c r="Y55" s="21">
        <v>42407.48</v>
      </c>
      <c r="Z55" s="19">
        <v>52</v>
      </c>
      <c r="AA55" s="20" t="s">
        <v>52</v>
      </c>
      <c r="AB55" s="21">
        <v>4</v>
      </c>
      <c r="AC55" s="21">
        <f t="shared" si="5"/>
        <v>3483.44</v>
      </c>
      <c r="AD55" s="21">
        <v>13933.76</v>
      </c>
      <c r="AE55" s="19">
        <v>52</v>
      </c>
      <c r="AF55" s="20" t="s">
        <v>117</v>
      </c>
      <c r="AG55" s="21">
        <v>6</v>
      </c>
      <c r="AH55" s="21">
        <v>3750</v>
      </c>
      <c r="AI55" s="21">
        <v>22500</v>
      </c>
      <c r="AJ55" s="19">
        <v>52</v>
      </c>
      <c r="AK55" s="20" t="s">
        <v>28</v>
      </c>
      <c r="AL55" s="21">
        <v>4</v>
      </c>
      <c r="AM55" s="21">
        <f t="shared" si="7"/>
        <v>3987.3</v>
      </c>
      <c r="AN55" s="21">
        <v>15949.2</v>
      </c>
      <c r="AO55" s="19">
        <v>52</v>
      </c>
      <c r="AP55" s="20" t="s">
        <v>33</v>
      </c>
      <c r="AQ55" s="21">
        <v>4</v>
      </c>
      <c r="AR55" s="21">
        <f t="shared" si="8"/>
        <v>3150</v>
      </c>
      <c r="AS55" s="21">
        <v>12600</v>
      </c>
      <c r="AT55" s="19">
        <v>52</v>
      </c>
      <c r="AU55" s="20" t="s">
        <v>136</v>
      </c>
      <c r="AV55" s="21">
        <v>5</v>
      </c>
      <c r="AW55" s="21">
        <f t="shared" si="9"/>
        <v>3558.71</v>
      </c>
      <c r="AX55" s="21">
        <v>17793.55</v>
      </c>
      <c r="AY55" s="19">
        <v>52</v>
      </c>
      <c r="AZ55" s="20" t="s">
        <v>52</v>
      </c>
      <c r="BA55" s="21">
        <v>12</v>
      </c>
      <c r="BB55" s="21">
        <f t="shared" si="10"/>
        <v>3992.5974999999999</v>
      </c>
      <c r="BC55" s="21">
        <v>47911.17</v>
      </c>
      <c r="BD55" s="19">
        <v>52</v>
      </c>
      <c r="BE55" s="20" t="s">
        <v>71</v>
      </c>
      <c r="BF55" s="21">
        <v>11</v>
      </c>
      <c r="BG55" s="21">
        <f t="shared" si="11"/>
        <v>3409.7463636363636</v>
      </c>
      <c r="BH55" s="21">
        <v>37507.21</v>
      </c>
      <c r="BI55" s="19">
        <v>52</v>
      </c>
      <c r="BJ55" s="20" t="s">
        <v>64</v>
      </c>
      <c r="BK55" s="21">
        <v>115</v>
      </c>
      <c r="BL55" s="21">
        <f t="shared" si="12"/>
        <v>4725.4874782608704</v>
      </c>
      <c r="BM55" s="21">
        <v>543431.06000000006</v>
      </c>
      <c r="BN55" s="29">
        <f t="shared" si="13"/>
        <v>1.1281367105495498E-3</v>
      </c>
      <c r="BO55" s="29">
        <f t="shared" si="14"/>
        <v>1.4819875659646045E-3</v>
      </c>
    </row>
    <row r="56" spans="1:67" x14ac:dyDescent="0.3">
      <c r="A56" s="19">
        <v>53</v>
      </c>
      <c r="B56" s="20" t="s">
        <v>56</v>
      </c>
      <c r="C56" s="21">
        <v>12</v>
      </c>
      <c r="D56" s="21">
        <f t="shared" si="0"/>
        <v>5194.6533333333327</v>
      </c>
      <c r="E56" s="21">
        <v>62335.839999999997</v>
      </c>
      <c r="F56" s="19">
        <v>53</v>
      </c>
      <c r="G56" s="20" t="s">
        <v>95</v>
      </c>
      <c r="H56" s="21">
        <v>9</v>
      </c>
      <c r="I56" s="21">
        <f t="shared" si="1"/>
        <v>3561.557777777778</v>
      </c>
      <c r="J56" s="21">
        <v>32054.02</v>
      </c>
      <c r="K56" s="19">
        <v>53</v>
      </c>
      <c r="L56" s="20" t="s">
        <v>117</v>
      </c>
      <c r="M56" s="21">
        <v>4</v>
      </c>
      <c r="N56" s="21">
        <f t="shared" si="2"/>
        <v>4253.18</v>
      </c>
      <c r="O56" s="21">
        <v>17012.72</v>
      </c>
      <c r="P56" s="19">
        <v>53</v>
      </c>
      <c r="Q56" s="20" t="s">
        <v>7</v>
      </c>
      <c r="R56" s="21">
        <v>6</v>
      </c>
      <c r="S56" s="21">
        <f t="shared" si="3"/>
        <v>3619.3716666666664</v>
      </c>
      <c r="T56" s="21">
        <v>21716.23</v>
      </c>
      <c r="U56" s="19">
        <v>53</v>
      </c>
      <c r="V56" s="20" t="s">
        <v>41</v>
      </c>
      <c r="W56" s="21">
        <v>6</v>
      </c>
      <c r="X56" s="21">
        <f t="shared" si="4"/>
        <v>4871.1083333333336</v>
      </c>
      <c r="Y56" s="21">
        <v>29226.65</v>
      </c>
      <c r="Z56" s="19">
        <v>53</v>
      </c>
      <c r="AA56" s="20" t="s">
        <v>53</v>
      </c>
      <c r="AB56" s="21">
        <v>4</v>
      </c>
      <c r="AC56" s="21">
        <f t="shared" si="5"/>
        <v>4384.63</v>
      </c>
      <c r="AD56" s="21">
        <v>17538.52</v>
      </c>
      <c r="AE56" s="19">
        <v>53</v>
      </c>
      <c r="AF56" s="20" t="s">
        <v>64</v>
      </c>
      <c r="AG56" s="21">
        <v>5</v>
      </c>
      <c r="AH56" s="21">
        <v>2955.7439999999997</v>
      </c>
      <c r="AI56" s="21">
        <v>14778.72</v>
      </c>
      <c r="AJ56" s="19">
        <v>53</v>
      </c>
      <c r="AK56" s="20" t="s">
        <v>52</v>
      </c>
      <c r="AL56" s="21">
        <v>4</v>
      </c>
      <c r="AM56" s="21">
        <f t="shared" si="7"/>
        <v>3908.8</v>
      </c>
      <c r="AN56" s="21">
        <v>15635.2</v>
      </c>
      <c r="AO56" s="19">
        <v>53</v>
      </c>
      <c r="AP56" s="20" t="s">
        <v>28</v>
      </c>
      <c r="AQ56" s="21">
        <v>3</v>
      </c>
      <c r="AR56" s="21">
        <f t="shared" si="8"/>
        <v>2888.7033333333334</v>
      </c>
      <c r="AS56" s="21">
        <v>8666.11</v>
      </c>
      <c r="AT56" s="19">
        <v>53</v>
      </c>
      <c r="AU56" s="20" t="s">
        <v>85</v>
      </c>
      <c r="AV56" s="21">
        <v>4</v>
      </c>
      <c r="AW56" s="21">
        <f t="shared" si="9"/>
        <v>3633.65</v>
      </c>
      <c r="AX56" s="21">
        <v>14534.6</v>
      </c>
      <c r="AY56" s="19">
        <v>53</v>
      </c>
      <c r="AZ56" s="20" t="s">
        <v>74</v>
      </c>
      <c r="BA56" s="21">
        <v>12</v>
      </c>
      <c r="BB56" s="21">
        <f t="shared" si="10"/>
        <v>3820.7391666666667</v>
      </c>
      <c r="BC56" s="21">
        <v>45848.87</v>
      </c>
      <c r="BD56" s="19">
        <v>53</v>
      </c>
      <c r="BE56" s="20" t="s">
        <v>50</v>
      </c>
      <c r="BF56" s="21">
        <v>11</v>
      </c>
      <c r="BG56" s="21">
        <f t="shared" si="11"/>
        <v>5119.7890909090911</v>
      </c>
      <c r="BH56" s="21">
        <v>56317.68</v>
      </c>
      <c r="BI56" s="19">
        <v>53</v>
      </c>
      <c r="BJ56" s="20" t="s">
        <v>63</v>
      </c>
      <c r="BK56" s="21">
        <v>114</v>
      </c>
      <c r="BL56" s="21">
        <f t="shared" si="12"/>
        <v>2859.9393859649126</v>
      </c>
      <c r="BM56" s="21">
        <v>326033.09000000003</v>
      </c>
      <c r="BN56" s="29">
        <f t="shared" si="13"/>
        <v>1.1183268261099884E-3</v>
      </c>
      <c r="BO56" s="29">
        <f t="shared" si="14"/>
        <v>8.8912287323624612E-4</v>
      </c>
    </row>
    <row r="57" spans="1:67" x14ac:dyDescent="0.3">
      <c r="A57" s="19">
        <v>54</v>
      </c>
      <c r="B57" s="20" t="s">
        <v>30</v>
      </c>
      <c r="C57" s="21">
        <v>12</v>
      </c>
      <c r="D57" s="21">
        <f t="shared" si="0"/>
        <v>4981.9925000000003</v>
      </c>
      <c r="E57" s="21">
        <v>59783.91</v>
      </c>
      <c r="F57" s="19">
        <v>54</v>
      </c>
      <c r="G57" s="20" t="s">
        <v>105</v>
      </c>
      <c r="H57" s="21">
        <v>8</v>
      </c>
      <c r="I57" s="21">
        <f t="shared" si="1"/>
        <v>5169.7062500000002</v>
      </c>
      <c r="J57" s="21">
        <v>41357.65</v>
      </c>
      <c r="K57" s="19">
        <v>54</v>
      </c>
      <c r="L57" s="20" t="s">
        <v>95</v>
      </c>
      <c r="M57" s="21">
        <v>4</v>
      </c>
      <c r="N57" s="21">
        <f t="shared" si="2"/>
        <v>3690.0324999999998</v>
      </c>
      <c r="O57" s="21">
        <v>14760.13</v>
      </c>
      <c r="P57" s="19">
        <v>54</v>
      </c>
      <c r="Q57" s="20" t="s">
        <v>69</v>
      </c>
      <c r="R57" s="21">
        <v>6</v>
      </c>
      <c r="S57" s="21">
        <f t="shared" si="3"/>
        <v>4035.9883333333332</v>
      </c>
      <c r="T57" s="21">
        <v>24215.93</v>
      </c>
      <c r="U57" s="19">
        <v>54</v>
      </c>
      <c r="V57" s="20" t="s">
        <v>117</v>
      </c>
      <c r="W57" s="21">
        <v>6</v>
      </c>
      <c r="X57" s="21">
        <f t="shared" si="4"/>
        <v>3278.36</v>
      </c>
      <c r="Y57" s="21">
        <v>19670.16</v>
      </c>
      <c r="Z57" s="19">
        <v>54</v>
      </c>
      <c r="AA57" s="20" t="s">
        <v>91</v>
      </c>
      <c r="AB57" s="21">
        <v>4</v>
      </c>
      <c r="AC57" s="21">
        <f t="shared" si="5"/>
        <v>5145.9224999999997</v>
      </c>
      <c r="AD57" s="21">
        <v>20583.689999999999</v>
      </c>
      <c r="AE57" s="19">
        <v>54</v>
      </c>
      <c r="AF57" s="20" t="s">
        <v>95</v>
      </c>
      <c r="AG57" s="21">
        <v>5</v>
      </c>
      <c r="AH57" s="21">
        <v>3306.596</v>
      </c>
      <c r="AI57" s="21">
        <v>16532.98</v>
      </c>
      <c r="AJ57" s="19">
        <v>54</v>
      </c>
      <c r="AK57" s="20" t="s">
        <v>62</v>
      </c>
      <c r="AL57" s="21">
        <v>4</v>
      </c>
      <c r="AM57" s="21">
        <f t="shared" si="7"/>
        <v>4781.25</v>
      </c>
      <c r="AN57" s="21">
        <v>19125</v>
      </c>
      <c r="AO57" s="19">
        <v>54</v>
      </c>
      <c r="AP57" s="20" t="s">
        <v>102</v>
      </c>
      <c r="AQ57" s="21">
        <v>3</v>
      </c>
      <c r="AR57" s="21">
        <f t="shared" si="8"/>
        <v>3420.0566666666668</v>
      </c>
      <c r="AS57" s="21">
        <v>10260.17</v>
      </c>
      <c r="AT57" s="19">
        <v>54</v>
      </c>
      <c r="AU57" s="20" t="s">
        <v>35</v>
      </c>
      <c r="AV57" s="21">
        <v>4</v>
      </c>
      <c r="AW57" s="21">
        <f t="shared" si="9"/>
        <v>2676.3</v>
      </c>
      <c r="AX57" s="21">
        <v>10705.2</v>
      </c>
      <c r="AY57" s="19">
        <v>54</v>
      </c>
      <c r="AZ57" s="20" t="s">
        <v>35</v>
      </c>
      <c r="BA57" s="21">
        <v>12</v>
      </c>
      <c r="BB57" s="21">
        <f t="shared" si="10"/>
        <v>3583.0516666666667</v>
      </c>
      <c r="BC57" s="21">
        <v>42996.62</v>
      </c>
      <c r="BD57" s="19">
        <v>54</v>
      </c>
      <c r="BE57" s="20" t="s">
        <v>60</v>
      </c>
      <c r="BF57" s="21">
        <v>11</v>
      </c>
      <c r="BG57" s="21">
        <f t="shared" si="11"/>
        <v>4748.5200000000004</v>
      </c>
      <c r="BH57" s="21">
        <v>52233.72</v>
      </c>
      <c r="BI57" s="19">
        <v>54</v>
      </c>
      <c r="BJ57" s="20" t="s">
        <v>60</v>
      </c>
      <c r="BK57" s="21">
        <v>101</v>
      </c>
      <c r="BL57" s="21">
        <f t="shared" si="12"/>
        <v>4159.4282178217818</v>
      </c>
      <c r="BM57" s="21">
        <v>420102.25</v>
      </c>
      <c r="BN57" s="29">
        <f t="shared" si="13"/>
        <v>9.9079832839569148E-4</v>
      </c>
      <c r="BO57" s="29">
        <f t="shared" si="14"/>
        <v>1.1456583120842481E-3</v>
      </c>
    </row>
    <row r="58" spans="1:67" x14ac:dyDescent="0.3">
      <c r="A58" s="19">
        <v>55</v>
      </c>
      <c r="B58" s="20" t="s">
        <v>42</v>
      </c>
      <c r="C58" s="21">
        <v>12</v>
      </c>
      <c r="D58" s="21">
        <f t="shared" si="0"/>
        <v>5917.8574999999992</v>
      </c>
      <c r="E58" s="21">
        <v>71014.289999999994</v>
      </c>
      <c r="F58" s="19">
        <v>55</v>
      </c>
      <c r="G58" s="20" t="s">
        <v>65</v>
      </c>
      <c r="H58" s="21">
        <v>8</v>
      </c>
      <c r="I58" s="21">
        <f t="shared" si="1"/>
        <v>3083.05375</v>
      </c>
      <c r="J58" s="21">
        <v>24664.43</v>
      </c>
      <c r="K58" s="19">
        <v>55</v>
      </c>
      <c r="L58" s="20" t="s">
        <v>76</v>
      </c>
      <c r="M58" s="21">
        <v>3</v>
      </c>
      <c r="N58" s="21">
        <f t="shared" si="2"/>
        <v>3854.2900000000004</v>
      </c>
      <c r="O58" s="21">
        <v>11562.87</v>
      </c>
      <c r="P58" s="19">
        <v>55</v>
      </c>
      <c r="Q58" s="20" t="s">
        <v>97</v>
      </c>
      <c r="R58" s="21">
        <v>6</v>
      </c>
      <c r="S58" s="21">
        <f t="shared" si="3"/>
        <v>4314.7699999999995</v>
      </c>
      <c r="T58" s="21">
        <v>25888.62</v>
      </c>
      <c r="U58" s="19">
        <v>55</v>
      </c>
      <c r="V58" s="20" t="s">
        <v>7</v>
      </c>
      <c r="W58" s="21">
        <v>4</v>
      </c>
      <c r="X58" s="21">
        <f t="shared" si="4"/>
        <v>3926.5149999999999</v>
      </c>
      <c r="Y58" s="21">
        <v>15706.06</v>
      </c>
      <c r="Z58" s="19">
        <v>55</v>
      </c>
      <c r="AA58" s="20" t="s">
        <v>128</v>
      </c>
      <c r="AB58" s="21">
        <v>4</v>
      </c>
      <c r="AC58" s="21">
        <f t="shared" si="5"/>
        <v>3899.75</v>
      </c>
      <c r="AD58" s="21">
        <v>15599</v>
      </c>
      <c r="AE58" s="19">
        <v>55</v>
      </c>
      <c r="AF58" s="20" t="s">
        <v>52</v>
      </c>
      <c r="AG58" s="21">
        <v>4</v>
      </c>
      <c r="AH58" s="21">
        <v>3228.55</v>
      </c>
      <c r="AI58" s="21">
        <v>12914.2</v>
      </c>
      <c r="AJ58" s="19">
        <v>55</v>
      </c>
      <c r="AK58" s="20" t="s">
        <v>131</v>
      </c>
      <c r="AL58" s="21">
        <v>3</v>
      </c>
      <c r="AM58" s="21">
        <f t="shared" si="7"/>
        <v>3172</v>
      </c>
      <c r="AN58" s="21">
        <v>9516</v>
      </c>
      <c r="AO58" s="19">
        <v>55</v>
      </c>
      <c r="AP58" s="20" t="s">
        <v>58</v>
      </c>
      <c r="AQ58" s="21">
        <v>3</v>
      </c>
      <c r="AR58" s="21">
        <f t="shared" si="8"/>
        <v>4533.9033333333327</v>
      </c>
      <c r="AS58" s="21">
        <v>13601.71</v>
      </c>
      <c r="AT58" s="19">
        <v>55</v>
      </c>
      <c r="AU58" s="20" t="s">
        <v>58</v>
      </c>
      <c r="AV58" s="21">
        <v>4</v>
      </c>
      <c r="AW58" s="21">
        <f t="shared" si="9"/>
        <v>4481.03</v>
      </c>
      <c r="AX58" s="21">
        <v>17924.12</v>
      </c>
      <c r="AY58" s="19">
        <v>55</v>
      </c>
      <c r="AZ58" s="20" t="s">
        <v>61</v>
      </c>
      <c r="BA58" s="21">
        <v>12</v>
      </c>
      <c r="BB58" s="21">
        <f t="shared" si="10"/>
        <v>3673.0400000000004</v>
      </c>
      <c r="BC58" s="21">
        <v>44076.480000000003</v>
      </c>
      <c r="BD58" s="19">
        <v>55</v>
      </c>
      <c r="BE58" s="20" t="s">
        <v>143</v>
      </c>
      <c r="BF58" s="21">
        <v>10</v>
      </c>
      <c r="BG58" s="21">
        <f t="shared" si="11"/>
        <v>4169.7550000000001</v>
      </c>
      <c r="BH58" s="21">
        <v>41697.550000000003</v>
      </c>
      <c r="BI58" s="19">
        <v>55</v>
      </c>
      <c r="BJ58" s="20" t="s">
        <v>65</v>
      </c>
      <c r="BK58" s="21">
        <v>86</v>
      </c>
      <c r="BL58" s="21">
        <f t="shared" si="12"/>
        <v>3743.2073255813957</v>
      </c>
      <c r="BM58" s="21">
        <v>321915.83</v>
      </c>
      <c r="BN58" s="29">
        <f t="shared" si="13"/>
        <v>8.43650061802272E-4</v>
      </c>
      <c r="BO58" s="29">
        <f t="shared" si="14"/>
        <v>8.7789471832393131E-4</v>
      </c>
    </row>
    <row r="59" spans="1:67" x14ac:dyDescent="0.3">
      <c r="A59" s="19">
        <v>56</v>
      </c>
      <c r="B59" s="20" t="s">
        <v>86</v>
      </c>
      <c r="C59" s="21">
        <v>12</v>
      </c>
      <c r="D59" s="21">
        <f t="shared" si="0"/>
        <v>4096.5124999999998</v>
      </c>
      <c r="E59" s="21">
        <v>49158.15</v>
      </c>
      <c r="F59" s="19">
        <v>56</v>
      </c>
      <c r="G59" s="20" t="s">
        <v>76</v>
      </c>
      <c r="H59" s="21">
        <v>7</v>
      </c>
      <c r="I59" s="21">
        <f t="shared" si="1"/>
        <v>3813.3957142857143</v>
      </c>
      <c r="J59" s="21">
        <v>26693.77</v>
      </c>
      <c r="K59" s="19">
        <v>56</v>
      </c>
      <c r="L59" s="20" t="s">
        <v>102</v>
      </c>
      <c r="M59" s="21">
        <v>3</v>
      </c>
      <c r="N59" s="21">
        <f t="shared" si="2"/>
        <v>4864.6500000000005</v>
      </c>
      <c r="O59" s="21">
        <v>14593.95</v>
      </c>
      <c r="P59" s="19">
        <v>56</v>
      </c>
      <c r="Q59" s="20" t="s">
        <v>83</v>
      </c>
      <c r="R59" s="21">
        <v>6</v>
      </c>
      <c r="S59" s="21">
        <f t="shared" si="3"/>
        <v>2718.77</v>
      </c>
      <c r="T59" s="21">
        <v>16312.62</v>
      </c>
      <c r="U59" s="19">
        <v>56</v>
      </c>
      <c r="V59" s="20" t="s">
        <v>91</v>
      </c>
      <c r="W59" s="21">
        <v>4</v>
      </c>
      <c r="X59" s="21">
        <f t="shared" si="4"/>
        <v>5382.33</v>
      </c>
      <c r="Y59" s="21">
        <v>21529.32</v>
      </c>
      <c r="Z59" s="19">
        <v>56</v>
      </c>
      <c r="AA59" s="20" t="s">
        <v>104</v>
      </c>
      <c r="AB59" s="21">
        <v>4</v>
      </c>
      <c r="AC59" s="21">
        <f t="shared" si="5"/>
        <v>2888.7</v>
      </c>
      <c r="AD59" s="21">
        <v>11554.8</v>
      </c>
      <c r="AE59" s="19">
        <v>56</v>
      </c>
      <c r="AF59" s="20" t="s">
        <v>129</v>
      </c>
      <c r="AG59" s="21">
        <v>4</v>
      </c>
      <c r="AH59" s="21">
        <v>7816.48</v>
      </c>
      <c r="AI59" s="21">
        <v>31265.919999999998</v>
      </c>
      <c r="AJ59" s="19">
        <v>56</v>
      </c>
      <c r="AK59" s="20" t="s">
        <v>132</v>
      </c>
      <c r="AL59" s="21">
        <v>3</v>
      </c>
      <c r="AM59" s="21">
        <f t="shared" si="7"/>
        <v>3806.0066666666667</v>
      </c>
      <c r="AN59" s="21">
        <v>11418.02</v>
      </c>
      <c r="AO59" s="19">
        <v>56</v>
      </c>
      <c r="AP59" s="20" t="s">
        <v>79</v>
      </c>
      <c r="AQ59" s="21">
        <v>2</v>
      </c>
      <c r="AR59" s="21">
        <f t="shared" si="8"/>
        <v>3664.23</v>
      </c>
      <c r="AS59" s="21">
        <v>7328.46</v>
      </c>
      <c r="AT59" s="19">
        <v>56</v>
      </c>
      <c r="AU59" s="20" t="s">
        <v>63</v>
      </c>
      <c r="AV59" s="21">
        <v>3</v>
      </c>
      <c r="AW59" s="21">
        <f t="shared" si="9"/>
        <v>4065.2966666666666</v>
      </c>
      <c r="AX59" s="21">
        <v>12195.89</v>
      </c>
      <c r="AY59" s="19">
        <v>56</v>
      </c>
      <c r="AZ59" s="20" t="s">
        <v>71</v>
      </c>
      <c r="BA59" s="21">
        <v>11</v>
      </c>
      <c r="BB59" s="21">
        <f t="shared" si="10"/>
        <v>3739.4072727272728</v>
      </c>
      <c r="BC59" s="21">
        <v>41133.480000000003</v>
      </c>
      <c r="BD59" s="19">
        <v>56</v>
      </c>
      <c r="BE59" s="20" t="s">
        <v>78</v>
      </c>
      <c r="BF59" s="21">
        <v>10</v>
      </c>
      <c r="BG59" s="21">
        <f t="shared" si="11"/>
        <v>3531.0440000000003</v>
      </c>
      <c r="BH59" s="21">
        <v>35310.44</v>
      </c>
      <c r="BI59" s="19">
        <v>56</v>
      </c>
      <c r="BJ59" s="20" t="s">
        <v>77</v>
      </c>
      <c r="BK59" s="21">
        <v>85</v>
      </c>
      <c r="BL59" s="21">
        <f t="shared" si="12"/>
        <v>4059.3029411764705</v>
      </c>
      <c r="BM59" s="21">
        <v>345040.75</v>
      </c>
      <c r="BN59" s="29">
        <f t="shared" si="13"/>
        <v>8.3384017736271064E-4</v>
      </c>
      <c r="BO59" s="29">
        <f t="shared" si="14"/>
        <v>9.4095854817555257E-4</v>
      </c>
    </row>
    <row r="60" spans="1:67" x14ac:dyDescent="0.3">
      <c r="A60" s="19">
        <v>57</v>
      </c>
      <c r="B60" s="20" t="s">
        <v>55</v>
      </c>
      <c r="C60" s="21">
        <v>11</v>
      </c>
      <c r="D60" s="21">
        <f t="shared" si="0"/>
        <v>6964.5309090909086</v>
      </c>
      <c r="E60" s="21">
        <v>76609.84</v>
      </c>
      <c r="F60" s="19">
        <v>57</v>
      </c>
      <c r="G60" s="20" t="s">
        <v>89</v>
      </c>
      <c r="H60" s="21">
        <v>7</v>
      </c>
      <c r="I60" s="21">
        <f t="shared" si="1"/>
        <v>4358.5385714285712</v>
      </c>
      <c r="J60" s="21">
        <v>30509.77</v>
      </c>
      <c r="K60" s="19">
        <v>57</v>
      </c>
      <c r="L60" s="20" t="s">
        <v>91</v>
      </c>
      <c r="M60" s="21">
        <v>3</v>
      </c>
      <c r="N60" s="21">
        <f t="shared" si="2"/>
        <v>4822.7133333333331</v>
      </c>
      <c r="O60" s="21">
        <v>14468.14</v>
      </c>
      <c r="P60" s="19">
        <v>57</v>
      </c>
      <c r="Q60" s="20" t="s">
        <v>86</v>
      </c>
      <c r="R60" s="21">
        <v>6</v>
      </c>
      <c r="S60" s="21">
        <f t="shared" si="3"/>
        <v>2633.81</v>
      </c>
      <c r="T60" s="21">
        <v>15802.86</v>
      </c>
      <c r="U60" s="19">
        <v>57</v>
      </c>
      <c r="V60" s="20" t="s">
        <v>126</v>
      </c>
      <c r="W60" s="21">
        <v>4</v>
      </c>
      <c r="X60" s="21">
        <f t="shared" si="4"/>
        <v>5997.58</v>
      </c>
      <c r="Y60" s="21">
        <v>23990.32</v>
      </c>
      <c r="Z60" s="19">
        <v>57</v>
      </c>
      <c r="AA60" s="20" t="s">
        <v>43</v>
      </c>
      <c r="AB60" s="21">
        <v>3</v>
      </c>
      <c r="AC60" s="21">
        <f t="shared" si="5"/>
        <v>4058.6299999999997</v>
      </c>
      <c r="AD60" s="21">
        <v>12175.89</v>
      </c>
      <c r="AE60" s="19">
        <v>57</v>
      </c>
      <c r="AF60" s="20" t="s">
        <v>130</v>
      </c>
      <c r="AG60" s="21">
        <v>3</v>
      </c>
      <c r="AH60" s="21">
        <v>4551.75</v>
      </c>
      <c r="AI60" s="21">
        <v>13655.25</v>
      </c>
      <c r="AJ60" s="19">
        <v>57</v>
      </c>
      <c r="AK60" s="20" t="s">
        <v>133</v>
      </c>
      <c r="AL60" s="21">
        <v>3</v>
      </c>
      <c r="AM60" s="21">
        <f t="shared" si="7"/>
        <v>3143.59</v>
      </c>
      <c r="AN60" s="21">
        <v>9430.77</v>
      </c>
      <c r="AO60" s="19">
        <v>57</v>
      </c>
      <c r="AP60" s="20" t="s">
        <v>99</v>
      </c>
      <c r="AQ60" s="21">
        <v>2</v>
      </c>
      <c r="AR60" s="21">
        <f t="shared" si="8"/>
        <v>4611.72</v>
      </c>
      <c r="AS60" s="21">
        <v>9223.44</v>
      </c>
      <c r="AT60" s="19">
        <v>57</v>
      </c>
      <c r="AU60" s="20" t="s">
        <v>65</v>
      </c>
      <c r="AV60" s="21">
        <v>3</v>
      </c>
      <c r="AW60" s="21">
        <f t="shared" si="9"/>
        <v>4181.68</v>
      </c>
      <c r="AX60" s="21">
        <v>12545.04</v>
      </c>
      <c r="AY60" s="19">
        <v>57</v>
      </c>
      <c r="AZ60" s="20" t="s">
        <v>133</v>
      </c>
      <c r="BA60" s="21">
        <v>11</v>
      </c>
      <c r="BB60" s="21">
        <f t="shared" si="10"/>
        <v>3901.2918181818181</v>
      </c>
      <c r="BC60" s="21">
        <v>42914.21</v>
      </c>
      <c r="BD60" s="19">
        <v>57</v>
      </c>
      <c r="BE60" s="20" t="s">
        <v>133</v>
      </c>
      <c r="BF60" s="21">
        <v>9</v>
      </c>
      <c r="BG60" s="21">
        <f t="shared" si="11"/>
        <v>5627.4500000000007</v>
      </c>
      <c r="BH60" s="21">
        <v>50647.05</v>
      </c>
      <c r="BI60" s="19">
        <v>57</v>
      </c>
      <c r="BJ60" s="20" t="s">
        <v>54</v>
      </c>
      <c r="BK60" s="21">
        <v>81</v>
      </c>
      <c r="BL60" s="21">
        <f t="shared" si="12"/>
        <v>5321.1159259259257</v>
      </c>
      <c r="BM60" s="21">
        <v>431010.39</v>
      </c>
      <c r="BN60" s="29">
        <f t="shared" si="13"/>
        <v>7.9460063960446544E-4</v>
      </c>
      <c r="BO60" s="29">
        <f t="shared" si="14"/>
        <v>1.1754058348846584E-3</v>
      </c>
    </row>
    <row r="61" spans="1:67" x14ac:dyDescent="0.3">
      <c r="A61" s="19">
        <v>58</v>
      </c>
      <c r="B61" s="20" t="s">
        <v>98</v>
      </c>
      <c r="C61" s="21">
        <v>10</v>
      </c>
      <c r="D61" s="21">
        <f t="shared" si="0"/>
        <v>4432.2460000000001</v>
      </c>
      <c r="E61" s="21">
        <v>44322.46</v>
      </c>
      <c r="F61" s="19">
        <v>58</v>
      </c>
      <c r="G61" s="20" t="s">
        <v>86</v>
      </c>
      <c r="H61" s="21">
        <v>7</v>
      </c>
      <c r="I61" s="21">
        <f t="shared" si="1"/>
        <v>3863.31</v>
      </c>
      <c r="J61" s="21">
        <v>27043.17</v>
      </c>
      <c r="K61" s="19">
        <v>58</v>
      </c>
      <c r="L61" s="20" t="s">
        <v>118</v>
      </c>
      <c r="M61" s="21">
        <v>3</v>
      </c>
      <c r="N61" s="21">
        <f t="shared" si="2"/>
        <v>3331.61</v>
      </c>
      <c r="O61" s="21">
        <v>9994.83</v>
      </c>
      <c r="P61" s="19">
        <v>58</v>
      </c>
      <c r="Q61" s="20" t="s">
        <v>65</v>
      </c>
      <c r="R61" s="21">
        <v>6</v>
      </c>
      <c r="S61" s="21">
        <f t="shared" si="3"/>
        <v>2759.67</v>
      </c>
      <c r="T61" s="21">
        <v>16558.02</v>
      </c>
      <c r="U61" s="19">
        <v>58</v>
      </c>
      <c r="V61" s="20" t="s">
        <v>102</v>
      </c>
      <c r="W61" s="21">
        <v>3</v>
      </c>
      <c r="X61" s="21">
        <f t="shared" si="4"/>
        <v>3286.75</v>
      </c>
      <c r="Y61" s="21">
        <v>9860.25</v>
      </c>
      <c r="Z61" s="19">
        <v>58</v>
      </c>
      <c r="AA61" s="20" t="s">
        <v>78</v>
      </c>
      <c r="AB61" s="21">
        <v>3</v>
      </c>
      <c r="AC61" s="21">
        <f t="shared" si="5"/>
        <v>3590.7099999999996</v>
      </c>
      <c r="AD61" s="21">
        <v>10772.13</v>
      </c>
      <c r="AE61" s="19">
        <v>58</v>
      </c>
      <c r="AF61" s="20" t="s">
        <v>46</v>
      </c>
      <c r="AG61" s="21">
        <v>3</v>
      </c>
      <c r="AH61" s="21">
        <v>5853.7266666666665</v>
      </c>
      <c r="AI61" s="21">
        <v>17561.18</v>
      </c>
      <c r="AJ61" s="19">
        <v>58</v>
      </c>
      <c r="AK61" s="20" t="s">
        <v>32</v>
      </c>
      <c r="AL61" s="21">
        <v>3</v>
      </c>
      <c r="AM61" s="21">
        <f t="shared" si="7"/>
        <v>2986.2000000000003</v>
      </c>
      <c r="AN61" s="21">
        <v>8958.6</v>
      </c>
      <c r="AO61" s="19">
        <v>58</v>
      </c>
      <c r="AP61" s="20" t="s">
        <v>46</v>
      </c>
      <c r="AQ61" s="21">
        <v>2</v>
      </c>
      <c r="AR61" s="21">
        <f t="shared" si="8"/>
        <v>6002.54</v>
      </c>
      <c r="AS61" s="21">
        <v>12005.08</v>
      </c>
      <c r="AT61" s="19">
        <v>58</v>
      </c>
      <c r="AU61" s="20" t="s">
        <v>130</v>
      </c>
      <c r="AV61" s="21">
        <v>2</v>
      </c>
      <c r="AW61" s="21">
        <f t="shared" si="9"/>
        <v>4410</v>
      </c>
      <c r="AX61" s="21">
        <v>8820</v>
      </c>
      <c r="AY61" s="19">
        <v>58</v>
      </c>
      <c r="AZ61" s="20" t="s">
        <v>86</v>
      </c>
      <c r="BA61" s="21">
        <v>10</v>
      </c>
      <c r="BB61" s="21">
        <f t="shared" si="10"/>
        <v>4199.5110000000004</v>
      </c>
      <c r="BC61" s="21">
        <v>41995.11</v>
      </c>
      <c r="BD61" s="19">
        <v>58</v>
      </c>
      <c r="BE61" s="20" t="s">
        <v>100</v>
      </c>
      <c r="BF61" s="21">
        <v>8</v>
      </c>
      <c r="BG61" s="21">
        <f t="shared" si="11"/>
        <v>3476.83</v>
      </c>
      <c r="BH61" s="21">
        <v>27814.639999999999</v>
      </c>
      <c r="BI61" s="19">
        <v>58</v>
      </c>
      <c r="BJ61" s="20" t="s">
        <v>121</v>
      </c>
      <c r="BK61" s="21">
        <v>73</v>
      </c>
      <c r="BL61" s="21">
        <f t="shared" si="12"/>
        <v>4085.7721917808217</v>
      </c>
      <c r="BM61" s="21">
        <v>298261.37</v>
      </c>
      <c r="BN61" s="29">
        <f t="shared" si="13"/>
        <v>7.1612156408797502E-4</v>
      </c>
      <c r="BO61" s="29">
        <f t="shared" si="14"/>
        <v>8.1338678313228594E-4</v>
      </c>
    </row>
    <row r="62" spans="1:67" x14ac:dyDescent="0.3">
      <c r="A62" s="19">
        <v>59</v>
      </c>
      <c r="B62" s="20" t="s">
        <v>50</v>
      </c>
      <c r="C62" s="21">
        <v>10</v>
      </c>
      <c r="D62" s="21">
        <f t="shared" si="0"/>
        <v>3303.3139999999999</v>
      </c>
      <c r="E62" s="21">
        <v>33033.14</v>
      </c>
      <c r="F62" s="19">
        <v>59</v>
      </c>
      <c r="G62" s="20" t="s">
        <v>54</v>
      </c>
      <c r="H62" s="21">
        <v>6</v>
      </c>
      <c r="I62" s="21">
        <f t="shared" si="1"/>
        <v>3899.75</v>
      </c>
      <c r="J62" s="21">
        <v>23398.5</v>
      </c>
      <c r="K62" s="19">
        <v>59</v>
      </c>
      <c r="L62" s="20" t="s">
        <v>65</v>
      </c>
      <c r="M62" s="21">
        <v>3</v>
      </c>
      <c r="N62" s="21">
        <f t="shared" si="2"/>
        <v>4199.66</v>
      </c>
      <c r="O62" s="21">
        <v>12598.98</v>
      </c>
      <c r="P62" s="19">
        <v>59</v>
      </c>
      <c r="Q62" s="20" t="s">
        <v>120</v>
      </c>
      <c r="R62" s="21">
        <v>5</v>
      </c>
      <c r="S62" s="21">
        <f t="shared" si="3"/>
        <v>3474.3879999999999</v>
      </c>
      <c r="T62" s="21">
        <v>17371.939999999999</v>
      </c>
      <c r="U62" s="19">
        <v>59</v>
      </c>
      <c r="V62" s="20" t="s">
        <v>32</v>
      </c>
      <c r="W62" s="21">
        <v>3</v>
      </c>
      <c r="X62" s="21">
        <f t="shared" si="4"/>
        <v>3573.49</v>
      </c>
      <c r="Y62" s="21">
        <v>10720.47</v>
      </c>
      <c r="Z62" s="19">
        <v>59</v>
      </c>
      <c r="AA62" s="20" t="s">
        <v>36</v>
      </c>
      <c r="AB62" s="21">
        <v>3</v>
      </c>
      <c r="AC62" s="21">
        <f t="shared" si="5"/>
        <v>5456.2433333333329</v>
      </c>
      <c r="AD62" s="21">
        <v>16368.73</v>
      </c>
      <c r="AE62" s="19">
        <v>59</v>
      </c>
      <c r="AF62" s="20" t="s">
        <v>69</v>
      </c>
      <c r="AG62" s="21">
        <v>2</v>
      </c>
      <c r="AH62" s="21">
        <v>5167.8</v>
      </c>
      <c r="AI62" s="21">
        <v>10335.6</v>
      </c>
      <c r="AJ62" s="19">
        <v>59</v>
      </c>
      <c r="AK62" s="20" t="s">
        <v>45</v>
      </c>
      <c r="AL62" s="21">
        <v>3</v>
      </c>
      <c r="AM62" s="21">
        <f t="shared" si="7"/>
        <v>3143.59</v>
      </c>
      <c r="AN62" s="21">
        <v>9430.77</v>
      </c>
      <c r="AO62" s="19">
        <v>59</v>
      </c>
      <c r="AP62" s="20" t="s">
        <v>43</v>
      </c>
      <c r="AQ62" s="21">
        <v>1</v>
      </c>
      <c r="AR62" s="21">
        <f t="shared" si="8"/>
        <v>3143.59</v>
      </c>
      <c r="AS62" s="21">
        <v>3143.59</v>
      </c>
      <c r="AT62" s="19">
        <v>59</v>
      </c>
      <c r="AU62" s="20" t="s">
        <v>54</v>
      </c>
      <c r="AV62" s="21">
        <v>2</v>
      </c>
      <c r="AW62" s="21">
        <f t="shared" si="9"/>
        <v>2940.0549999999998</v>
      </c>
      <c r="AX62" s="21">
        <v>5880.11</v>
      </c>
      <c r="AY62" s="19">
        <v>59</v>
      </c>
      <c r="AZ62" s="20" t="s">
        <v>138</v>
      </c>
      <c r="BA62" s="21">
        <v>9</v>
      </c>
      <c r="BB62" s="21">
        <f t="shared" si="10"/>
        <v>4542.0211111111112</v>
      </c>
      <c r="BC62" s="21">
        <v>40878.19</v>
      </c>
      <c r="BD62" s="19">
        <v>59</v>
      </c>
      <c r="BE62" s="20" t="s">
        <v>74</v>
      </c>
      <c r="BF62" s="21">
        <v>7</v>
      </c>
      <c r="BG62" s="21">
        <f t="shared" si="11"/>
        <v>6818.9214285714279</v>
      </c>
      <c r="BH62" s="21">
        <v>47732.45</v>
      </c>
      <c r="BI62" s="19">
        <v>59</v>
      </c>
      <c r="BJ62" s="20" t="s">
        <v>61</v>
      </c>
      <c r="BK62" s="21">
        <v>72</v>
      </c>
      <c r="BL62" s="21">
        <f t="shared" si="12"/>
        <v>3668.7202777777775</v>
      </c>
      <c r="BM62" s="21">
        <v>264147.86</v>
      </c>
      <c r="BN62" s="29">
        <f t="shared" si="13"/>
        <v>7.0631167964841377E-4</v>
      </c>
      <c r="BO62" s="29">
        <f t="shared" si="14"/>
        <v>7.2035603577049693E-4</v>
      </c>
    </row>
    <row r="63" spans="1:67" x14ac:dyDescent="0.3">
      <c r="A63" s="19">
        <v>60</v>
      </c>
      <c r="B63" s="20" t="s">
        <v>45</v>
      </c>
      <c r="C63" s="21">
        <v>8</v>
      </c>
      <c r="D63" s="21">
        <f t="shared" si="0"/>
        <v>4068.7987499999999</v>
      </c>
      <c r="E63" s="21">
        <v>32550.39</v>
      </c>
      <c r="F63" s="19">
        <v>60</v>
      </c>
      <c r="G63" s="20" t="s">
        <v>120</v>
      </c>
      <c r="H63" s="21">
        <v>6</v>
      </c>
      <c r="I63" s="21">
        <f t="shared" si="1"/>
        <v>4768.9000000000005</v>
      </c>
      <c r="J63" s="21">
        <v>28613.4</v>
      </c>
      <c r="K63" s="19">
        <v>60</v>
      </c>
      <c r="L63" s="20" t="s">
        <v>61</v>
      </c>
      <c r="M63" s="21">
        <v>3</v>
      </c>
      <c r="N63" s="21">
        <f t="shared" si="2"/>
        <v>3149.8166666666671</v>
      </c>
      <c r="O63" s="21">
        <v>9449.4500000000007</v>
      </c>
      <c r="P63" s="19">
        <v>60</v>
      </c>
      <c r="Q63" s="20" t="s">
        <v>102</v>
      </c>
      <c r="R63" s="21">
        <v>4</v>
      </c>
      <c r="S63" s="21">
        <f t="shared" si="3"/>
        <v>3122.3474999999999</v>
      </c>
      <c r="T63" s="21">
        <v>12489.39</v>
      </c>
      <c r="U63" s="19">
        <v>60</v>
      </c>
      <c r="V63" s="20" t="s">
        <v>35</v>
      </c>
      <c r="W63" s="21">
        <v>3</v>
      </c>
      <c r="X63" s="21">
        <f t="shared" si="4"/>
        <v>2917.02</v>
      </c>
      <c r="Y63" s="21">
        <v>8751.06</v>
      </c>
      <c r="Z63" s="19">
        <v>60</v>
      </c>
      <c r="AA63" s="20" t="s">
        <v>124</v>
      </c>
      <c r="AB63" s="21">
        <v>3</v>
      </c>
      <c r="AC63" s="21">
        <f t="shared" si="5"/>
        <v>4914.25</v>
      </c>
      <c r="AD63" s="21">
        <v>14742.75</v>
      </c>
      <c r="AE63" s="19">
        <v>60</v>
      </c>
      <c r="AF63" s="20" t="s">
        <v>33</v>
      </c>
      <c r="AG63" s="21">
        <v>2</v>
      </c>
      <c r="AH63" s="21">
        <v>2973.66</v>
      </c>
      <c r="AI63" s="21">
        <v>5947.32</v>
      </c>
      <c r="AJ63" s="19">
        <v>60</v>
      </c>
      <c r="AK63" s="20" t="s">
        <v>56</v>
      </c>
      <c r="AL63" s="21">
        <v>3</v>
      </c>
      <c r="AM63" s="21">
        <f t="shared" si="7"/>
        <v>3143.59</v>
      </c>
      <c r="AN63" s="21">
        <v>9430.77</v>
      </c>
      <c r="AO63" s="19">
        <v>60</v>
      </c>
      <c r="AP63" s="20" t="s">
        <v>121</v>
      </c>
      <c r="AQ63" s="21">
        <v>1</v>
      </c>
      <c r="AR63" s="21">
        <f t="shared" si="8"/>
        <v>4139.8500000000004</v>
      </c>
      <c r="AS63" s="21">
        <v>4139.8500000000004</v>
      </c>
      <c r="AT63" s="19">
        <v>60</v>
      </c>
      <c r="AU63" s="20" t="s">
        <v>64</v>
      </c>
      <c r="AV63" s="21">
        <v>2</v>
      </c>
      <c r="AW63" s="21">
        <f t="shared" si="9"/>
        <v>3825.19</v>
      </c>
      <c r="AX63" s="21">
        <v>7650.38</v>
      </c>
      <c r="AY63" s="19">
        <v>60</v>
      </c>
      <c r="AZ63" s="20" t="s">
        <v>50</v>
      </c>
      <c r="BA63" s="21">
        <v>9</v>
      </c>
      <c r="BB63" s="21">
        <f t="shared" si="10"/>
        <v>8042.5588888888888</v>
      </c>
      <c r="BC63" s="21">
        <v>72383.03</v>
      </c>
      <c r="BD63" s="19">
        <v>60</v>
      </c>
      <c r="BE63" s="20" t="s">
        <v>97</v>
      </c>
      <c r="BF63" s="21">
        <v>7</v>
      </c>
      <c r="BG63" s="21">
        <f t="shared" si="11"/>
        <v>4273.4471428571433</v>
      </c>
      <c r="BH63" s="21">
        <v>29914.13</v>
      </c>
      <c r="BI63" s="19">
        <v>60</v>
      </c>
      <c r="BJ63" s="20" t="s">
        <v>95</v>
      </c>
      <c r="BK63" s="21">
        <v>71</v>
      </c>
      <c r="BL63" s="21">
        <f t="shared" si="12"/>
        <v>4515.0685915492959</v>
      </c>
      <c r="BM63" s="21">
        <v>320569.87</v>
      </c>
      <c r="BN63" s="29">
        <f t="shared" si="13"/>
        <v>6.9650179520885241E-4</v>
      </c>
      <c r="BO63" s="29">
        <f t="shared" si="14"/>
        <v>8.7422415892623008E-4</v>
      </c>
    </row>
    <row r="64" spans="1:67" x14ac:dyDescent="0.3">
      <c r="A64" s="19">
        <v>61</v>
      </c>
      <c r="B64" s="20" t="s">
        <v>57</v>
      </c>
      <c r="C64" s="21">
        <v>8</v>
      </c>
      <c r="D64" s="21">
        <f t="shared" si="0"/>
        <v>5750.03</v>
      </c>
      <c r="E64" s="21">
        <v>46000.24</v>
      </c>
      <c r="F64" s="19">
        <v>61</v>
      </c>
      <c r="G64" s="20" t="s">
        <v>45</v>
      </c>
      <c r="H64" s="21">
        <v>6</v>
      </c>
      <c r="I64" s="21">
        <f t="shared" si="1"/>
        <v>5264.7866666666669</v>
      </c>
      <c r="J64" s="21">
        <v>31588.720000000001</v>
      </c>
      <c r="K64" s="19">
        <v>61</v>
      </c>
      <c r="L64" s="20" t="s">
        <v>77</v>
      </c>
      <c r="M64" s="21">
        <v>2</v>
      </c>
      <c r="N64" s="21">
        <f t="shared" si="2"/>
        <v>3320.9</v>
      </c>
      <c r="O64" s="21">
        <v>6641.8</v>
      </c>
      <c r="P64" s="19">
        <v>61</v>
      </c>
      <c r="Q64" s="20" t="s">
        <v>64</v>
      </c>
      <c r="R64" s="21">
        <v>4</v>
      </c>
      <c r="S64" s="21">
        <f t="shared" si="3"/>
        <v>3877.2525000000001</v>
      </c>
      <c r="T64" s="21">
        <v>15509.01</v>
      </c>
      <c r="U64" s="19">
        <v>61</v>
      </c>
      <c r="V64" s="20" t="s">
        <v>55</v>
      </c>
      <c r="W64" s="21">
        <v>2</v>
      </c>
      <c r="X64" s="21">
        <f t="shared" si="4"/>
        <v>3873.49</v>
      </c>
      <c r="Y64" s="21">
        <v>7746.98</v>
      </c>
      <c r="Z64" s="19">
        <v>61</v>
      </c>
      <c r="AA64" s="20" t="s">
        <v>105</v>
      </c>
      <c r="AB64" s="21">
        <v>2</v>
      </c>
      <c r="AC64" s="21">
        <f t="shared" si="5"/>
        <v>4448.76</v>
      </c>
      <c r="AD64" s="21">
        <v>8897.52</v>
      </c>
      <c r="AE64" s="19">
        <v>61</v>
      </c>
      <c r="AF64" s="20" t="s">
        <v>84</v>
      </c>
      <c r="AG64" s="21">
        <v>2</v>
      </c>
      <c r="AH64" s="21">
        <v>5201.71</v>
      </c>
      <c r="AI64" s="21">
        <v>10403.42</v>
      </c>
      <c r="AJ64" s="19">
        <v>61</v>
      </c>
      <c r="AK64" s="20" t="s">
        <v>124</v>
      </c>
      <c r="AL64" s="21">
        <v>3</v>
      </c>
      <c r="AM64" s="21">
        <f t="shared" si="7"/>
        <v>8448.3000000000011</v>
      </c>
      <c r="AN64" s="21">
        <v>25344.9</v>
      </c>
      <c r="AO64" s="19">
        <v>61</v>
      </c>
      <c r="AP64" s="20" t="s">
        <v>71</v>
      </c>
      <c r="AQ64" s="21">
        <v>1</v>
      </c>
      <c r="AR64" s="21">
        <f t="shared" si="8"/>
        <v>4694.74</v>
      </c>
      <c r="AS64" s="21">
        <v>4694.74</v>
      </c>
      <c r="AT64" s="19">
        <v>61</v>
      </c>
      <c r="AU64" s="20" t="s">
        <v>71</v>
      </c>
      <c r="AV64" s="21">
        <v>2</v>
      </c>
      <c r="AW64" s="21">
        <f t="shared" si="9"/>
        <v>3846.22</v>
      </c>
      <c r="AX64" s="21">
        <v>7692.44</v>
      </c>
      <c r="AY64" s="19">
        <v>61</v>
      </c>
      <c r="AZ64" s="20" t="s">
        <v>55</v>
      </c>
      <c r="BA64" s="21">
        <v>8</v>
      </c>
      <c r="BB64" s="21">
        <f t="shared" si="10"/>
        <v>4388.6374999999998</v>
      </c>
      <c r="BC64" s="21">
        <v>35109.1</v>
      </c>
      <c r="BD64" s="19">
        <v>61</v>
      </c>
      <c r="BE64" s="20" t="s">
        <v>55</v>
      </c>
      <c r="BF64" s="21">
        <v>6</v>
      </c>
      <c r="BG64" s="21">
        <f t="shared" si="11"/>
        <v>4011.94</v>
      </c>
      <c r="BH64" s="21">
        <v>24071.64</v>
      </c>
      <c r="BI64" s="19">
        <v>61</v>
      </c>
      <c r="BJ64" s="20" t="s">
        <v>66</v>
      </c>
      <c r="BK64" s="21">
        <v>69</v>
      </c>
      <c r="BL64" s="21">
        <f t="shared" si="12"/>
        <v>4059.8046376811599</v>
      </c>
      <c r="BM64" s="21">
        <v>280126.52</v>
      </c>
      <c r="BN64" s="29">
        <f t="shared" si="13"/>
        <v>6.7688202632972981E-4</v>
      </c>
      <c r="BO64" s="29">
        <f t="shared" si="14"/>
        <v>7.6393134307953454E-4</v>
      </c>
    </row>
    <row r="65" spans="1:67" x14ac:dyDescent="0.3">
      <c r="A65" s="19">
        <v>62</v>
      </c>
      <c r="B65" s="20" t="s">
        <v>103</v>
      </c>
      <c r="C65" s="21">
        <v>8</v>
      </c>
      <c r="D65" s="21">
        <f t="shared" si="0"/>
        <v>3991.49125</v>
      </c>
      <c r="E65" s="21">
        <v>31931.93</v>
      </c>
      <c r="F65" s="19">
        <v>62</v>
      </c>
      <c r="G65" s="20" t="s">
        <v>121</v>
      </c>
      <c r="H65" s="21">
        <v>4</v>
      </c>
      <c r="I65" s="21">
        <f t="shared" si="1"/>
        <v>7395.07</v>
      </c>
      <c r="J65" s="21">
        <v>29580.28</v>
      </c>
      <c r="K65" s="19">
        <v>62</v>
      </c>
      <c r="L65" s="20" t="s">
        <v>72</v>
      </c>
      <c r="M65" s="21">
        <v>2</v>
      </c>
      <c r="N65" s="21">
        <f t="shared" si="2"/>
        <v>3895.07</v>
      </c>
      <c r="O65" s="21">
        <v>7790.14</v>
      </c>
      <c r="P65" s="19">
        <v>62</v>
      </c>
      <c r="Q65" s="20" t="s">
        <v>32</v>
      </c>
      <c r="R65" s="21">
        <v>4</v>
      </c>
      <c r="S65" s="21">
        <f t="shared" si="3"/>
        <v>4628.0375000000004</v>
      </c>
      <c r="T65" s="21">
        <v>18512.150000000001</v>
      </c>
      <c r="U65" s="19">
        <v>62</v>
      </c>
      <c r="V65" s="20" t="s">
        <v>99</v>
      </c>
      <c r="W65" s="21">
        <v>2</v>
      </c>
      <c r="X65" s="21">
        <f t="shared" si="4"/>
        <v>4288.1899999999996</v>
      </c>
      <c r="Y65" s="21">
        <v>8576.3799999999992</v>
      </c>
      <c r="Z65" s="19">
        <v>62</v>
      </c>
      <c r="AA65" s="20" t="s">
        <v>72</v>
      </c>
      <c r="AB65" s="21">
        <v>2</v>
      </c>
      <c r="AC65" s="21">
        <f t="shared" si="5"/>
        <v>2888.7</v>
      </c>
      <c r="AD65" s="21">
        <v>5777.4</v>
      </c>
      <c r="AE65" s="19">
        <v>62</v>
      </c>
      <c r="AF65" s="20" t="s">
        <v>92</v>
      </c>
      <c r="AG65" s="21">
        <v>2</v>
      </c>
      <c r="AH65" s="21">
        <v>5760.15</v>
      </c>
      <c r="AI65" s="21">
        <v>11520.3</v>
      </c>
      <c r="AJ65" s="19">
        <v>62</v>
      </c>
      <c r="AK65" s="20" t="s">
        <v>44</v>
      </c>
      <c r="AL65" s="21">
        <v>2</v>
      </c>
      <c r="AM65" s="21">
        <f t="shared" si="7"/>
        <v>4744.3900000000003</v>
      </c>
      <c r="AN65" s="21">
        <v>9488.7800000000007</v>
      </c>
      <c r="AO65" s="19">
        <v>62</v>
      </c>
      <c r="AP65" s="20" t="s">
        <v>69</v>
      </c>
      <c r="AQ65" s="21">
        <v>1</v>
      </c>
      <c r="AR65" s="21">
        <f t="shared" si="8"/>
        <v>2888.7</v>
      </c>
      <c r="AS65" s="21">
        <v>2888.7</v>
      </c>
      <c r="AT65" s="19">
        <v>62</v>
      </c>
      <c r="AU65" s="20" t="s">
        <v>78</v>
      </c>
      <c r="AV65" s="21">
        <v>2</v>
      </c>
      <c r="AW65" s="21">
        <f t="shared" si="9"/>
        <v>3126.9</v>
      </c>
      <c r="AX65" s="21">
        <v>6253.8</v>
      </c>
      <c r="AY65" s="19">
        <v>62</v>
      </c>
      <c r="AZ65" s="20" t="s">
        <v>38</v>
      </c>
      <c r="BA65" s="21">
        <v>8</v>
      </c>
      <c r="BB65" s="21">
        <f t="shared" si="10"/>
        <v>4452.59</v>
      </c>
      <c r="BC65" s="21">
        <v>35620.720000000001</v>
      </c>
      <c r="BD65" s="19">
        <v>62</v>
      </c>
      <c r="BE65" s="20" t="s">
        <v>72</v>
      </c>
      <c r="BF65" s="21">
        <v>6</v>
      </c>
      <c r="BG65" s="21">
        <f t="shared" si="11"/>
        <v>3312.2133333333331</v>
      </c>
      <c r="BH65" s="21">
        <v>19873.28</v>
      </c>
      <c r="BI65" s="19">
        <v>62</v>
      </c>
      <c r="BJ65" s="20" t="s">
        <v>67</v>
      </c>
      <c r="BK65" s="21">
        <v>68</v>
      </c>
      <c r="BL65" s="21">
        <f t="shared" si="12"/>
        <v>4409.4280882352941</v>
      </c>
      <c r="BM65" s="21">
        <v>299841.11</v>
      </c>
      <c r="BN65" s="29">
        <f t="shared" si="13"/>
        <v>6.6707214189016856E-4</v>
      </c>
      <c r="BO65" s="29">
        <f t="shared" si="14"/>
        <v>8.1769488255791856E-4</v>
      </c>
    </row>
    <row r="66" spans="1:67" x14ac:dyDescent="0.3">
      <c r="A66" s="19">
        <v>63</v>
      </c>
      <c r="B66" s="20" t="s">
        <v>87</v>
      </c>
      <c r="C66" s="21">
        <v>7</v>
      </c>
      <c r="D66" s="21">
        <f t="shared" si="0"/>
        <v>3600.0485714285714</v>
      </c>
      <c r="E66" s="21">
        <v>25200.34</v>
      </c>
      <c r="F66" s="19">
        <v>63</v>
      </c>
      <c r="G66" s="20" t="s">
        <v>32</v>
      </c>
      <c r="H66" s="21">
        <v>4</v>
      </c>
      <c r="I66" s="21">
        <f t="shared" si="1"/>
        <v>4205.76</v>
      </c>
      <c r="J66" s="21">
        <v>16823.04</v>
      </c>
      <c r="K66" s="19">
        <v>63</v>
      </c>
      <c r="L66" s="20" t="s">
        <v>35</v>
      </c>
      <c r="M66" s="21">
        <v>2</v>
      </c>
      <c r="N66" s="21">
        <f t="shared" si="2"/>
        <v>6728.97</v>
      </c>
      <c r="O66" s="21">
        <v>13457.94</v>
      </c>
      <c r="P66" s="19">
        <v>63</v>
      </c>
      <c r="Q66" s="20" t="s">
        <v>74</v>
      </c>
      <c r="R66" s="21">
        <v>4</v>
      </c>
      <c r="S66" s="21">
        <f t="shared" si="3"/>
        <v>3424.74</v>
      </c>
      <c r="T66" s="21">
        <v>13698.96</v>
      </c>
      <c r="U66" s="19">
        <v>63</v>
      </c>
      <c r="V66" s="20" t="s">
        <v>34</v>
      </c>
      <c r="W66" s="21">
        <v>2</v>
      </c>
      <c r="X66" s="21">
        <f t="shared" si="4"/>
        <v>3370</v>
      </c>
      <c r="Y66" s="21">
        <v>6740</v>
      </c>
      <c r="Z66" s="19">
        <v>63</v>
      </c>
      <c r="AA66" s="20" t="s">
        <v>58</v>
      </c>
      <c r="AB66" s="21">
        <v>2</v>
      </c>
      <c r="AC66" s="21">
        <f t="shared" si="5"/>
        <v>3376.16</v>
      </c>
      <c r="AD66" s="21">
        <v>6752.32</v>
      </c>
      <c r="AE66" s="19">
        <v>63</v>
      </c>
      <c r="AF66" s="20" t="s">
        <v>53</v>
      </c>
      <c r="AG66" s="21">
        <v>1</v>
      </c>
      <c r="AH66" s="21">
        <v>4636.3599999999997</v>
      </c>
      <c r="AI66" s="21">
        <v>4636.3599999999997</v>
      </c>
      <c r="AJ66" s="19">
        <v>63</v>
      </c>
      <c r="AK66" s="20" t="s">
        <v>134</v>
      </c>
      <c r="AL66" s="21">
        <v>2</v>
      </c>
      <c r="AM66" s="21">
        <f t="shared" si="7"/>
        <v>2633.82</v>
      </c>
      <c r="AN66" s="21">
        <v>5267.64</v>
      </c>
      <c r="AO66" s="19">
        <v>63</v>
      </c>
      <c r="AP66" s="20" t="s">
        <v>135</v>
      </c>
      <c r="AQ66" s="21">
        <v>1</v>
      </c>
      <c r="AR66" s="21">
        <f t="shared" si="8"/>
        <v>3228.55</v>
      </c>
      <c r="AS66" s="21">
        <v>3228.55</v>
      </c>
      <c r="AT66" s="19">
        <v>63</v>
      </c>
      <c r="AU66" s="20" t="s">
        <v>50</v>
      </c>
      <c r="AV66" s="21">
        <v>2</v>
      </c>
      <c r="AW66" s="21">
        <f t="shared" si="9"/>
        <v>3742.17</v>
      </c>
      <c r="AX66" s="21">
        <v>7484.34</v>
      </c>
      <c r="AY66" s="19">
        <v>63</v>
      </c>
      <c r="AZ66" s="20" t="s">
        <v>45</v>
      </c>
      <c r="BA66" s="21">
        <v>7</v>
      </c>
      <c r="BB66" s="21">
        <f t="shared" si="10"/>
        <v>4297.6942857142858</v>
      </c>
      <c r="BC66" s="21">
        <v>30083.86</v>
      </c>
      <c r="BD66" s="19">
        <v>63</v>
      </c>
      <c r="BE66" s="20" t="s">
        <v>57</v>
      </c>
      <c r="BF66" s="21">
        <v>6</v>
      </c>
      <c r="BG66" s="21">
        <f t="shared" si="11"/>
        <v>5532.7750000000005</v>
      </c>
      <c r="BH66" s="21">
        <v>33196.65</v>
      </c>
      <c r="BI66" s="19">
        <v>63</v>
      </c>
      <c r="BJ66" s="20" t="s">
        <v>46</v>
      </c>
      <c r="BK66" s="21">
        <v>68</v>
      </c>
      <c r="BL66" s="21">
        <f t="shared" si="12"/>
        <v>3844.7641176470588</v>
      </c>
      <c r="BM66" s="21">
        <v>261443.96</v>
      </c>
      <c r="BN66" s="29">
        <f t="shared" si="13"/>
        <v>6.6707214189016856E-4</v>
      </c>
      <c r="BO66" s="29">
        <f t="shared" si="14"/>
        <v>7.1298224638935328E-4</v>
      </c>
    </row>
    <row r="67" spans="1:67" x14ac:dyDescent="0.3">
      <c r="A67" s="19">
        <v>64</v>
      </c>
      <c r="B67" s="20" t="s">
        <v>54</v>
      </c>
      <c r="C67" s="21">
        <v>6</v>
      </c>
      <c r="D67" s="21">
        <f t="shared" si="0"/>
        <v>4630.415</v>
      </c>
      <c r="E67" s="21">
        <v>27782.49</v>
      </c>
      <c r="F67" s="19">
        <v>64</v>
      </c>
      <c r="G67" s="20" t="s">
        <v>91</v>
      </c>
      <c r="H67" s="21">
        <v>4</v>
      </c>
      <c r="I67" s="21">
        <f t="shared" si="1"/>
        <v>4209.2174999999997</v>
      </c>
      <c r="J67" s="21">
        <v>16836.87</v>
      </c>
      <c r="K67" s="19">
        <v>64</v>
      </c>
      <c r="L67" s="20" t="s">
        <v>50</v>
      </c>
      <c r="M67" s="21">
        <v>2</v>
      </c>
      <c r="N67" s="21">
        <f t="shared" ref="N67:N73" si="15">IFERROR(O67/M67,0)</f>
        <v>3517.42</v>
      </c>
      <c r="O67" s="21">
        <v>7034.84</v>
      </c>
      <c r="P67" s="19">
        <v>64</v>
      </c>
      <c r="Q67" s="20" t="s">
        <v>118</v>
      </c>
      <c r="R67" s="21">
        <v>4</v>
      </c>
      <c r="S67" s="21">
        <f t="shared" ref="S67:S76" si="16">IFERROR(T67/R67,0)</f>
        <v>4199.66</v>
      </c>
      <c r="T67" s="21">
        <v>16798.64</v>
      </c>
      <c r="U67" s="19">
        <v>64</v>
      </c>
      <c r="V67" s="20" t="s">
        <v>127</v>
      </c>
      <c r="W67" s="21">
        <v>1</v>
      </c>
      <c r="X67" s="21">
        <f t="shared" ref="X67:X71" si="17">IFERROR(Y67/W67,0)</f>
        <v>7350</v>
      </c>
      <c r="Y67" s="21">
        <v>7350</v>
      </c>
      <c r="Z67" s="19">
        <v>64</v>
      </c>
      <c r="AA67" s="20" t="s">
        <v>61</v>
      </c>
      <c r="AB67" s="21">
        <v>1</v>
      </c>
      <c r="AC67" s="21">
        <f t="shared" si="5"/>
        <v>3837.81</v>
      </c>
      <c r="AD67" s="21">
        <v>3837.81</v>
      </c>
      <c r="AE67" s="19">
        <v>64</v>
      </c>
      <c r="AF67" s="20" t="s">
        <v>77</v>
      </c>
      <c r="AG67" s="21">
        <v>1</v>
      </c>
      <c r="AH67" s="21">
        <v>2466.63</v>
      </c>
      <c r="AI67" s="21">
        <v>2466.63</v>
      </c>
      <c r="AJ67" s="19">
        <v>64</v>
      </c>
      <c r="AK67" s="20" t="s">
        <v>36</v>
      </c>
      <c r="AL67" s="21">
        <v>2</v>
      </c>
      <c r="AM67" s="21">
        <f t="shared" si="7"/>
        <v>31178.18</v>
      </c>
      <c r="AN67" s="21">
        <v>62356.36</v>
      </c>
      <c r="AO67" s="19">
        <v>64</v>
      </c>
      <c r="AP67" s="20" t="s">
        <v>117</v>
      </c>
      <c r="AQ67" s="21">
        <v>1</v>
      </c>
      <c r="AR67" s="21">
        <f t="shared" ref="AR67:AR68" si="18">IFERROR(AS67/AQ67,0)</f>
        <v>3655.05</v>
      </c>
      <c r="AS67" s="21">
        <v>3655.05</v>
      </c>
      <c r="AT67" s="19">
        <v>64</v>
      </c>
      <c r="AU67" s="20" t="s">
        <v>75</v>
      </c>
      <c r="AV67" s="21">
        <v>2</v>
      </c>
      <c r="AW67" s="21">
        <f t="shared" ref="AW67:AW78" si="19">IFERROR(AX67/AV67,0)</f>
        <v>6498.3</v>
      </c>
      <c r="AX67" s="21">
        <v>12996.6</v>
      </c>
      <c r="AY67" s="19">
        <v>64</v>
      </c>
      <c r="AZ67" s="20" t="s">
        <v>100</v>
      </c>
      <c r="BA67" s="21">
        <v>7</v>
      </c>
      <c r="BB67" s="21">
        <f t="shared" ref="BB67:BB98" si="20">IFERROR(BC67/BA67,0)</f>
        <v>3598.497142857143</v>
      </c>
      <c r="BC67" s="21">
        <v>25189.48</v>
      </c>
      <c r="BD67" s="19">
        <v>64</v>
      </c>
      <c r="BE67" s="20" t="s">
        <v>35</v>
      </c>
      <c r="BF67" s="21">
        <v>5</v>
      </c>
      <c r="BG67" s="21">
        <f t="shared" si="11"/>
        <v>6966.8600000000006</v>
      </c>
      <c r="BH67" s="21">
        <v>34834.300000000003</v>
      </c>
      <c r="BI67" s="19">
        <v>64</v>
      </c>
      <c r="BJ67" s="20" t="s">
        <v>50</v>
      </c>
      <c r="BK67" s="21">
        <v>65</v>
      </c>
      <c r="BL67" s="21">
        <f t="shared" si="12"/>
        <v>4594.4752307692306</v>
      </c>
      <c r="BM67" s="21">
        <v>298640.89</v>
      </c>
      <c r="BN67" s="29">
        <f t="shared" si="13"/>
        <v>6.376424885714846E-4</v>
      </c>
      <c r="BO67" s="29">
        <f t="shared" si="14"/>
        <v>8.1442176983517137E-4</v>
      </c>
    </row>
    <row r="68" spans="1:67" x14ac:dyDescent="0.3">
      <c r="A68" s="19">
        <v>65</v>
      </c>
      <c r="B68" s="20" t="s">
        <v>71</v>
      </c>
      <c r="C68" s="21">
        <v>6</v>
      </c>
      <c r="D68" s="21">
        <f t="shared" ref="D68:D85" si="21">IFERROR(E68/C68,0)</f>
        <v>4356.2950000000001</v>
      </c>
      <c r="E68" s="21">
        <v>26137.77</v>
      </c>
      <c r="F68" s="19">
        <v>65</v>
      </c>
      <c r="G68" s="20" t="s">
        <v>29</v>
      </c>
      <c r="H68" s="21">
        <v>4</v>
      </c>
      <c r="I68" s="21">
        <f t="shared" ref="I68:I79" si="22">IFERROR(J68/H68,0)</f>
        <v>4303.0649999999996</v>
      </c>
      <c r="J68" s="21">
        <v>17212.259999999998</v>
      </c>
      <c r="K68" s="19">
        <v>65</v>
      </c>
      <c r="L68" s="20" t="s">
        <v>124</v>
      </c>
      <c r="M68" s="21">
        <v>2</v>
      </c>
      <c r="N68" s="21">
        <f t="shared" si="15"/>
        <v>3320.9</v>
      </c>
      <c r="O68" s="21">
        <v>6641.8</v>
      </c>
      <c r="P68" s="19">
        <v>65</v>
      </c>
      <c r="Q68" s="20" t="s">
        <v>58</v>
      </c>
      <c r="R68" s="21">
        <v>4</v>
      </c>
      <c r="S68" s="21">
        <f t="shared" si="16"/>
        <v>5115.7</v>
      </c>
      <c r="T68" s="21">
        <v>20462.8</v>
      </c>
      <c r="U68" s="19">
        <v>65</v>
      </c>
      <c r="V68" s="20" t="s">
        <v>74</v>
      </c>
      <c r="W68" s="21">
        <v>1</v>
      </c>
      <c r="X68" s="21">
        <f t="shared" si="17"/>
        <v>3228.55</v>
      </c>
      <c r="Y68" s="21">
        <v>3228.55</v>
      </c>
      <c r="Z68" s="19">
        <v>65</v>
      </c>
      <c r="AA68" s="20" t="s">
        <v>40</v>
      </c>
      <c r="AB68" s="21">
        <v>0</v>
      </c>
      <c r="AC68" s="21">
        <f t="shared" ref="AC68:AC69" si="23">IFERROR(AD68/AB68,0)</f>
        <v>0</v>
      </c>
      <c r="AD68" s="21">
        <v>3058.62</v>
      </c>
      <c r="AE68" s="19"/>
      <c r="AF68" s="20"/>
      <c r="AG68" s="21"/>
      <c r="AH68" s="21"/>
      <c r="AI68" s="21"/>
      <c r="AJ68" s="19">
        <v>65</v>
      </c>
      <c r="AK68" s="20" t="s">
        <v>7</v>
      </c>
      <c r="AL68" s="21">
        <v>1</v>
      </c>
      <c r="AM68" s="21">
        <f t="shared" ref="AM68:AM69" si="24">IFERROR(AN68/AL68,0)</f>
        <v>4199.66</v>
      </c>
      <c r="AN68" s="21">
        <v>4199.66</v>
      </c>
      <c r="AO68" s="19"/>
      <c r="AP68" s="20"/>
      <c r="AQ68" s="21"/>
      <c r="AR68" s="21"/>
      <c r="AS68" s="21"/>
      <c r="AT68" s="19">
        <v>65</v>
      </c>
      <c r="AU68" s="20" t="s">
        <v>57</v>
      </c>
      <c r="AV68" s="21">
        <v>2</v>
      </c>
      <c r="AW68" s="21">
        <f t="shared" si="19"/>
        <v>11366.61</v>
      </c>
      <c r="AX68" s="21">
        <v>22733.22</v>
      </c>
      <c r="AY68" s="19">
        <v>65</v>
      </c>
      <c r="AZ68" s="20" t="s">
        <v>94</v>
      </c>
      <c r="BA68" s="21">
        <v>7</v>
      </c>
      <c r="BB68" s="21">
        <f t="shared" si="20"/>
        <v>3977.32</v>
      </c>
      <c r="BC68" s="21">
        <v>27841.24</v>
      </c>
      <c r="BD68" s="19">
        <v>65</v>
      </c>
      <c r="BE68" s="20" t="s">
        <v>86</v>
      </c>
      <c r="BF68" s="21">
        <v>5</v>
      </c>
      <c r="BG68" s="21">
        <f t="shared" ref="BG68:BG84" si="25">IFERROR(BH68/BF68,0)</f>
        <v>3022.9279999999999</v>
      </c>
      <c r="BH68" s="21">
        <v>15114.64</v>
      </c>
      <c r="BI68" s="19">
        <v>65</v>
      </c>
      <c r="BJ68" s="20" t="s">
        <v>68</v>
      </c>
      <c r="BK68" s="21">
        <v>61</v>
      </c>
      <c r="BL68" s="21">
        <f t="shared" ref="BL68:BL131" si="26">IFERROR(BM68/BK68,0)</f>
        <v>4656.1729508196722</v>
      </c>
      <c r="BM68" s="21">
        <v>284026.55</v>
      </c>
      <c r="BN68" s="29">
        <f t="shared" si="13"/>
        <v>5.9840295081323939E-4</v>
      </c>
      <c r="BO68" s="29">
        <f t="shared" si="14"/>
        <v>7.7456709136909478E-4</v>
      </c>
    </row>
    <row r="69" spans="1:67" x14ac:dyDescent="0.3">
      <c r="A69" s="19">
        <v>66</v>
      </c>
      <c r="B69" s="20" t="s">
        <v>46</v>
      </c>
      <c r="C69" s="21">
        <v>6</v>
      </c>
      <c r="D69" s="21">
        <f t="shared" si="21"/>
        <v>5776.4049999999997</v>
      </c>
      <c r="E69" s="21">
        <v>34658.43</v>
      </c>
      <c r="F69" s="19">
        <v>66</v>
      </c>
      <c r="G69" s="20" t="s">
        <v>35</v>
      </c>
      <c r="H69" s="21">
        <v>4</v>
      </c>
      <c r="I69" s="21">
        <f t="shared" si="22"/>
        <v>4480.5424999999996</v>
      </c>
      <c r="J69" s="21">
        <v>17922.169999999998</v>
      </c>
      <c r="K69" s="19">
        <v>66</v>
      </c>
      <c r="L69" s="20" t="s">
        <v>34</v>
      </c>
      <c r="M69" s="21">
        <v>2</v>
      </c>
      <c r="N69" s="21">
        <f t="shared" si="15"/>
        <v>3700.08</v>
      </c>
      <c r="O69" s="21">
        <v>7400.16</v>
      </c>
      <c r="P69" s="19">
        <v>66</v>
      </c>
      <c r="Q69" s="20" t="s">
        <v>100</v>
      </c>
      <c r="R69" s="21">
        <v>3</v>
      </c>
      <c r="S69" s="21">
        <f t="shared" si="16"/>
        <v>3584.2033333333334</v>
      </c>
      <c r="T69" s="21">
        <v>10752.61</v>
      </c>
      <c r="U69" s="19">
        <v>66</v>
      </c>
      <c r="V69" s="20" t="s">
        <v>31</v>
      </c>
      <c r="W69" s="21">
        <v>1</v>
      </c>
      <c r="X69" s="21">
        <f t="shared" si="17"/>
        <v>3228.55</v>
      </c>
      <c r="Y69" s="21">
        <v>3228.55</v>
      </c>
      <c r="Z69" s="19"/>
      <c r="AA69" s="20"/>
      <c r="AB69" s="21"/>
      <c r="AC69" s="21"/>
      <c r="AD69" s="21"/>
      <c r="AE69" s="19"/>
      <c r="AF69" s="20"/>
      <c r="AG69" s="21"/>
      <c r="AH69" s="21"/>
      <c r="AI69" s="21"/>
      <c r="AJ69" s="19">
        <v>66</v>
      </c>
      <c r="AK69" s="20" t="s">
        <v>60</v>
      </c>
      <c r="AL69" s="21">
        <v>0</v>
      </c>
      <c r="AM69" s="21">
        <f t="shared" si="24"/>
        <v>0</v>
      </c>
      <c r="AN69" s="21">
        <v>3581.9</v>
      </c>
      <c r="AO69" s="19"/>
      <c r="AP69" s="20"/>
      <c r="AQ69" s="21"/>
      <c r="AR69" s="21"/>
      <c r="AS69" s="21"/>
      <c r="AT69" s="19">
        <v>66</v>
      </c>
      <c r="AU69" s="20" t="s">
        <v>62</v>
      </c>
      <c r="AV69" s="21">
        <v>2</v>
      </c>
      <c r="AW69" s="21">
        <f t="shared" si="19"/>
        <v>3681.1750000000002</v>
      </c>
      <c r="AX69" s="21">
        <v>7362.35</v>
      </c>
      <c r="AY69" s="19">
        <v>66</v>
      </c>
      <c r="AZ69" s="20" t="s">
        <v>66</v>
      </c>
      <c r="BA69" s="21">
        <v>7</v>
      </c>
      <c r="BB69" s="21">
        <f t="shared" si="20"/>
        <v>5558.2571428571437</v>
      </c>
      <c r="BC69" s="21">
        <v>38907.800000000003</v>
      </c>
      <c r="BD69" s="19">
        <v>66</v>
      </c>
      <c r="BE69" s="20" t="s">
        <v>121</v>
      </c>
      <c r="BF69" s="21">
        <v>4</v>
      </c>
      <c r="BG69" s="21">
        <f t="shared" si="25"/>
        <v>3393.2350000000001</v>
      </c>
      <c r="BH69" s="21">
        <v>13572.94</v>
      </c>
      <c r="BI69" s="19">
        <v>66</v>
      </c>
      <c r="BJ69" s="20" t="s">
        <v>38</v>
      </c>
      <c r="BK69" s="21">
        <v>57</v>
      </c>
      <c r="BL69" s="21">
        <f t="shared" si="26"/>
        <v>4718.8784210526319</v>
      </c>
      <c r="BM69" s="21">
        <v>268976.07</v>
      </c>
      <c r="BN69" s="29">
        <f>BK69/$BK$3</f>
        <v>5.5916341305499418E-4</v>
      </c>
      <c r="BO69" s="29">
        <f>BM69/$BM$3</f>
        <v>7.3352301813964238E-4</v>
      </c>
    </row>
    <row r="70" spans="1:67" x14ac:dyDescent="0.3">
      <c r="A70" s="19">
        <v>67</v>
      </c>
      <c r="B70" s="20" t="s">
        <v>81</v>
      </c>
      <c r="C70" s="21">
        <v>6</v>
      </c>
      <c r="D70" s="21">
        <f t="shared" si="21"/>
        <v>4623.6033333333335</v>
      </c>
      <c r="E70" s="21">
        <v>27741.62</v>
      </c>
      <c r="F70" s="19">
        <v>67</v>
      </c>
      <c r="G70" s="20" t="s">
        <v>55</v>
      </c>
      <c r="H70" s="21">
        <v>3</v>
      </c>
      <c r="I70" s="21">
        <f t="shared" si="22"/>
        <v>3671.6800000000003</v>
      </c>
      <c r="J70" s="21">
        <v>11015.04</v>
      </c>
      <c r="K70" s="19">
        <v>67</v>
      </c>
      <c r="L70" s="20" t="s">
        <v>66</v>
      </c>
      <c r="M70" s="21">
        <v>2</v>
      </c>
      <c r="N70" s="21">
        <f t="shared" si="15"/>
        <v>3695.84</v>
      </c>
      <c r="O70" s="21">
        <v>7391.68</v>
      </c>
      <c r="P70" s="19">
        <v>67</v>
      </c>
      <c r="Q70" s="20" t="s">
        <v>57</v>
      </c>
      <c r="R70" s="21">
        <v>3</v>
      </c>
      <c r="S70" s="21">
        <f t="shared" si="16"/>
        <v>3666.6666666666665</v>
      </c>
      <c r="T70" s="21">
        <v>11000</v>
      </c>
      <c r="U70" s="19">
        <v>67</v>
      </c>
      <c r="V70" s="20" t="s">
        <v>62</v>
      </c>
      <c r="W70" s="21">
        <v>1</v>
      </c>
      <c r="X70" s="21">
        <f t="shared" si="17"/>
        <v>3228.55</v>
      </c>
      <c r="Y70" s="21">
        <v>3228.55</v>
      </c>
      <c r="Z70" s="19"/>
      <c r="AA70" s="20"/>
      <c r="AB70" s="21"/>
      <c r="AC70" s="21"/>
      <c r="AD70" s="21"/>
      <c r="AE70" s="19"/>
      <c r="AF70" s="20"/>
      <c r="AG70" s="21"/>
      <c r="AH70" s="21"/>
      <c r="AI70" s="21"/>
      <c r="AJ70" s="19"/>
      <c r="AK70" s="20"/>
      <c r="AL70" s="21"/>
      <c r="AM70" s="21"/>
      <c r="AN70" s="21"/>
      <c r="AO70" s="19"/>
      <c r="AP70" s="20"/>
      <c r="AQ70" s="21"/>
      <c r="AR70" s="21"/>
      <c r="AS70" s="21"/>
      <c r="AT70" s="19">
        <v>67</v>
      </c>
      <c r="AU70" s="20" t="s">
        <v>79</v>
      </c>
      <c r="AV70" s="21">
        <v>1</v>
      </c>
      <c r="AW70" s="21">
        <f t="shared" si="19"/>
        <v>4800</v>
      </c>
      <c r="AX70" s="21">
        <v>4800</v>
      </c>
      <c r="AY70" s="19">
        <v>67</v>
      </c>
      <c r="AZ70" s="20" t="s">
        <v>23</v>
      </c>
      <c r="BA70" s="21">
        <v>6</v>
      </c>
      <c r="BB70" s="21">
        <f t="shared" si="20"/>
        <v>5169.8</v>
      </c>
      <c r="BC70" s="21">
        <v>31018.799999999999</v>
      </c>
      <c r="BD70" s="19">
        <v>67</v>
      </c>
      <c r="BE70" s="20" t="s">
        <v>73</v>
      </c>
      <c r="BF70" s="21">
        <v>4</v>
      </c>
      <c r="BG70" s="21">
        <f t="shared" si="25"/>
        <v>3483.44</v>
      </c>
      <c r="BH70" s="21">
        <v>13933.76</v>
      </c>
      <c r="BI70" s="19">
        <v>67</v>
      </c>
      <c r="BJ70" s="20" t="s">
        <v>76</v>
      </c>
      <c r="BK70" s="21">
        <v>56</v>
      </c>
      <c r="BL70" s="21">
        <f t="shared" si="26"/>
        <v>3516.9398214285716</v>
      </c>
      <c r="BM70" s="21">
        <v>196948.63</v>
      </c>
      <c r="BN70" s="29">
        <f>BK70/$BK$3</f>
        <v>5.4935352861543293E-4</v>
      </c>
      <c r="BO70" s="29">
        <f>BM70/$BM$3</f>
        <v>5.3709742095669599E-4</v>
      </c>
    </row>
    <row r="71" spans="1:67" x14ac:dyDescent="0.3">
      <c r="A71" s="19">
        <v>68</v>
      </c>
      <c r="B71" s="20" t="s">
        <v>117</v>
      </c>
      <c r="C71" s="21">
        <v>6</v>
      </c>
      <c r="D71" s="21">
        <f t="shared" si="21"/>
        <v>4966.6333333333332</v>
      </c>
      <c r="E71" s="21">
        <v>29799.8</v>
      </c>
      <c r="F71" s="19">
        <v>68</v>
      </c>
      <c r="G71" s="20" t="s">
        <v>70</v>
      </c>
      <c r="H71" s="21">
        <v>3</v>
      </c>
      <c r="I71" s="21">
        <f t="shared" si="22"/>
        <v>5764.6500000000005</v>
      </c>
      <c r="J71" s="21">
        <v>17293.95</v>
      </c>
      <c r="K71" s="19">
        <v>68</v>
      </c>
      <c r="L71" s="20" t="s">
        <v>82</v>
      </c>
      <c r="M71" s="21">
        <v>1</v>
      </c>
      <c r="N71" s="21">
        <f t="shared" si="15"/>
        <v>5039.9399999999996</v>
      </c>
      <c r="O71" s="21">
        <v>5039.9399999999996</v>
      </c>
      <c r="P71" s="19">
        <v>68</v>
      </c>
      <c r="Q71" s="20" t="s">
        <v>95</v>
      </c>
      <c r="R71" s="21">
        <v>3</v>
      </c>
      <c r="S71" s="21">
        <f t="shared" si="16"/>
        <v>3240.103333333333</v>
      </c>
      <c r="T71" s="21">
        <v>9720.31</v>
      </c>
      <c r="U71" s="19"/>
      <c r="V71" s="20"/>
      <c r="W71" s="21"/>
      <c r="X71" s="21"/>
      <c r="Y71" s="21"/>
      <c r="Z71" s="19"/>
      <c r="AA71" s="20"/>
      <c r="AB71" s="21"/>
      <c r="AC71" s="21"/>
      <c r="AD71" s="21"/>
      <c r="AE71" s="19"/>
      <c r="AF71" s="20"/>
      <c r="AG71" s="21"/>
      <c r="AH71" s="21"/>
      <c r="AI71" s="21"/>
      <c r="AJ71" s="19"/>
      <c r="AK71" s="20"/>
      <c r="AL71" s="21"/>
      <c r="AM71" s="21"/>
      <c r="AN71" s="21"/>
      <c r="AO71" s="19"/>
      <c r="AP71" s="20"/>
      <c r="AQ71" s="21"/>
      <c r="AR71" s="21"/>
      <c r="AS71" s="21"/>
      <c r="AT71" s="19">
        <v>68</v>
      </c>
      <c r="AU71" s="20" t="s">
        <v>102</v>
      </c>
      <c r="AV71" s="21">
        <v>1</v>
      </c>
      <c r="AW71" s="21">
        <f t="shared" si="19"/>
        <v>6374.14</v>
      </c>
      <c r="AX71" s="21">
        <v>6374.14</v>
      </c>
      <c r="AY71" s="19">
        <v>68</v>
      </c>
      <c r="AZ71" s="20" t="s">
        <v>54</v>
      </c>
      <c r="BA71" s="21">
        <v>5</v>
      </c>
      <c r="BB71" s="21">
        <f t="shared" si="20"/>
        <v>6189.6019999999999</v>
      </c>
      <c r="BC71" s="21">
        <v>30948.01</v>
      </c>
      <c r="BD71" s="19">
        <v>68</v>
      </c>
      <c r="BE71" s="20" t="s">
        <v>64</v>
      </c>
      <c r="BF71" s="21">
        <v>4</v>
      </c>
      <c r="BG71" s="21">
        <f t="shared" si="25"/>
        <v>4114.2325000000001</v>
      </c>
      <c r="BH71" s="21">
        <v>16456.93</v>
      </c>
      <c r="BI71" s="19">
        <v>68</v>
      </c>
      <c r="BJ71" s="20" t="s">
        <v>57</v>
      </c>
      <c r="BK71" s="21">
        <v>54</v>
      </c>
      <c r="BL71" s="21">
        <f t="shared" si="26"/>
        <v>5534.0222222222228</v>
      </c>
      <c r="BM71" s="21">
        <v>298837.2</v>
      </c>
      <c r="BN71" s="29">
        <f>BK71/$BK$3</f>
        <v>5.2973375973631033E-4</v>
      </c>
      <c r="BO71" s="29">
        <f>BM71/$BM$3</f>
        <v>8.1495712565210704E-4</v>
      </c>
    </row>
    <row r="72" spans="1:67" x14ac:dyDescent="0.3">
      <c r="A72" s="19">
        <v>69</v>
      </c>
      <c r="B72" s="20" t="s">
        <v>61</v>
      </c>
      <c r="C72" s="21">
        <v>6</v>
      </c>
      <c r="D72" s="21">
        <f t="shared" si="21"/>
        <v>4540.1583333333338</v>
      </c>
      <c r="E72" s="21">
        <v>27240.95</v>
      </c>
      <c r="F72" s="19">
        <v>69</v>
      </c>
      <c r="G72" s="20" t="s">
        <v>102</v>
      </c>
      <c r="H72" s="21">
        <v>2</v>
      </c>
      <c r="I72" s="21">
        <f t="shared" si="22"/>
        <v>4760.2700000000004</v>
      </c>
      <c r="J72" s="21">
        <v>9520.5400000000009</v>
      </c>
      <c r="K72" s="19">
        <v>69</v>
      </c>
      <c r="L72" s="20" t="s">
        <v>33</v>
      </c>
      <c r="M72" s="21">
        <v>1</v>
      </c>
      <c r="N72" s="21">
        <f t="shared" si="15"/>
        <v>3869.93</v>
      </c>
      <c r="O72" s="21">
        <v>3869.93</v>
      </c>
      <c r="P72" s="19">
        <v>69</v>
      </c>
      <c r="Q72" s="20" t="s">
        <v>121</v>
      </c>
      <c r="R72" s="21">
        <v>2</v>
      </c>
      <c r="S72" s="21">
        <f t="shared" si="16"/>
        <v>4449.62</v>
      </c>
      <c r="T72" s="21">
        <v>8899.24</v>
      </c>
      <c r="U72" s="19"/>
      <c r="V72" s="20"/>
      <c r="W72" s="21"/>
      <c r="X72" s="21"/>
      <c r="Y72" s="21"/>
      <c r="Z72" s="19"/>
      <c r="AA72" s="20"/>
      <c r="AB72" s="21"/>
      <c r="AC72" s="21"/>
      <c r="AD72" s="21"/>
      <c r="AE72" s="19"/>
      <c r="AF72" s="20"/>
      <c r="AG72" s="21"/>
      <c r="AH72" s="21"/>
      <c r="AI72" s="21"/>
      <c r="AJ72" s="19"/>
      <c r="AK72" s="20"/>
      <c r="AL72" s="21"/>
      <c r="AM72" s="21"/>
      <c r="AN72" s="21"/>
      <c r="AO72" s="19"/>
      <c r="AP72" s="20"/>
      <c r="AQ72" s="21"/>
      <c r="AR72" s="21"/>
      <c r="AS72" s="21"/>
      <c r="AT72" s="19">
        <v>69</v>
      </c>
      <c r="AU72" s="20" t="s">
        <v>122</v>
      </c>
      <c r="AV72" s="21">
        <v>1</v>
      </c>
      <c r="AW72" s="21">
        <f t="shared" si="19"/>
        <v>4375.53</v>
      </c>
      <c r="AX72" s="21">
        <v>4375.53</v>
      </c>
      <c r="AY72" s="19">
        <v>69</v>
      </c>
      <c r="AZ72" s="20" t="s">
        <v>73</v>
      </c>
      <c r="BA72" s="21">
        <v>5</v>
      </c>
      <c r="BB72" s="21">
        <f t="shared" si="20"/>
        <v>5381.7480000000005</v>
      </c>
      <c r="BC72" s="21">
        <v>26908.74</v>
      </c>
      <c r="BD72" s="19">
        <v>69</v>
      </c>
      <c r="BE72" s="20" t="s">
        <v>77</v>
      </c>
      <c r="BF72" s="21">
        <v>4</v>
      </c>
      <c r="BG72" s="21">
        <f t="shared" si="25"/>
        <v>3400.17</v>
      </c>
      <c r="BH72" s="21">
        <v>13600.68</v>
      </c>
      <c r="BI72" s="19">
        <v>69</v>
      </c>
      <c r="BJ72" s="20" t="s">
        <v>69</v>
      </c>
      <c r="BK72" s="21">
        <v>51</v>
      </c>
      <c r="BL72" s="21">
        <f t="shared" si="26"/>
        <v>4730.4050980392158</v>
      </c>
      <c r="BM72" s="21">
        <v>241250.66</v>
      </c>
      <c r="BN72" s="29">
        <f>BK72/$BK$3</f>
        <v>5.0030410641762637E-4</v>
      </c>
      <c r="BO72" s="29">
        <f>BM72/$BM$3</f>
        <v>6.5791321975735867E-4</v>
      </c>
    </row>
    <row r="73" spans="1:67" x14ac:dyDescent="0.3">
      <c r="A73" s="19">
        <v>70</v>
      </c>
      <c r="B73" s="20" t="s">
        <v>60</v>
      </c>
      <c r="C73" s="21">
        <v>6</v>
      </c>
      <c r="D73" s="21">
        <f t="shared" si="21"/>
        <v>9960.3533333333344</v>
      </c>
      <c r="E73" s="21">
        <v>59762.12</v>
      </c>
      <c r="F73" s="19">
        <v>70</v>
      </c>
      <c r="G73" s="20" t="s">
        <v>122</v>
      </c>
      <c r="H73" s="21">
        <v>2</v>
      </c>
      <c r="I73" s="21">
        <f t="shared" si="22"/>
        <v>5764.65</v>
      </c>
      <c r="J73" s="21">
        <v>11529.3</v>
      </c>
      <c r="K73" s="19"/>
      <c r="L73" s="20"/>
      <c r="M73" s="21"/>
      <c r="N73" s="21"/>
      <c r="O73" s="21"/>
      <c r="P73" s="19">
        <v>70</v>
      </c>
      <c r="Q73" s="20" t="s">
        <v>122</v>
      </c>
      <c r="R73" s="21">
        <v>2</v>
      </c>
      <c r="S73" s="21">
        <f t="shared" si="16"/>
        <v>3143.59</v>
      </c>
      <c r="T73" s="21">
        <v>6287.18</v>
      </c>
      <c r="U73" s="19"/>
      <c r="V73" s="20"/>
      <c r="W73" s="21"/>
      <c r="X73" s="21"/>
      <c r="Y73" s="21"/>
      <c r="Z73" s="19"/>
      <c r="AA73" s="20"/>
      <c r="AB73" s="21"/>
      <c r="AC73" s="21"/>
      <c r="AD73" s="21"/>
      <c r="AE73" s="19"/>
      <c r="AF73" s="20"/>
      <c r="AG73" s="21"/>
      <c r="AH73" s="21"/>
      <c r="AI73" s="21"/>
      <c r="AJ73" s="19"/>
      <c r="AK73" s="20"/>
      <c r="AL73" s="21"/>
      <c r="AM73" s="21"/>
      <c r="AN73" s="21"/>
      <c r="AO73" s="19"/>
      <c r="AP73" s="20"/>
      <c r="AQ73" s="21"/>
      <c r="AR73" s="21"/>
      <c r="AS73" s="21"/>
      <c r="AT73" s="19">
        <v>70</v>
      </c>
      <c r="AU73" s="20" t="s">
        <v>46</v>
      </c>
      <c r="AV73" s="21">
        <v>1</v>
      </c>
      <c r="AW73" s="21">
        <f t="shared" si="19"/>
        <v>4581.99</v>
      </c>
      <c r="AX73" s="21">
        <v>4581.99</v>
      </c>
      <c r="AY73" s="19">
        <v>70</v>
      </c>
      <c r="AZ73" s="20" t="s">
        <v>136</v>
      </c>
      <c r="BA73" s="21">
        <v>5</v>
      </c>
      <c r="BB73" s="21">
        <f t="shared" si="20"/>
        <v>3559.6879999999996</v>
      </c>
      <c r="BC73" s="21">
        <v>17798.439999999999</v>
      </c>
      <c r="BD73" s="19">
        <v>70</v>
      </c>
      <c r="BE73" s="20" t="s">
        <v>46</v>
      </c>
      <c r="BF73" s="21">
        <v>4</v>
      </c>
      <c r="BG73" s="21">
        <f t="shared" si="25"/>
        <v>4384.0275000000001</v>
      </c>
      <c r="BH73" s="21">
        <v>17536.11</v>
      </c>
      <c r="BI73" s="19">
        <v>70</v>
      </c>
      <c r="BJ73" s="20" t="s">
        <v>91</v>
      </c>
      <c r="BK73" s="21">
        <v>50</v>
      </c>
      <c r="BL73" s="21">
        <f t="shared" si="26"/>
        <v>4638.2173999999995</v>
      </c>
      <c r="BM73" s="21">
        <v>231910.87</v>
      </c>
      <c r="BN73" s="29">
        <f>BK73/$BK$3</f>
        <v>4.9049422197806512E-4</v>
      </c>
      <c r="BO73" s="29">
        <f>BM73/$BM$3</f>
        <v>6.3244273478228091E-4</v>
      </c>
    </row>
    <row r="74" spans="1:67" x14ac:dyDescent="0.3">
      <c r="A74" s="19">
        <v>71</v>
      </c>
      <c r="B74" s="20" t="s">
        <v>118</v>
      </c>
      <c r="C74" s="21">
        <v>5</v>
      </c>
      <c r="D74" s="21">
        <f t="shared" si="21"/>
        <v>4432.29</v>
      </c>
      <c r="E74" s="21">
        <v>22161.45</v>
      </c>
      <c r="F74" s="19">
        <v>71</v>
      </c>
      <c r="G74" s="20" t="s">
        <v>80</v>
      </c>
      <c r="H74" s="21">
        <v>2</v>
      </c>
      <c r="I74" s="21">
        <f t="shared" si="22"/>
        <v>4275.7299999999996</v>
      </c>
      <c r="J74" s="21">
        <v>8551.4599999999991</v>
      </c>
      <c r="K74" s="19"/>
      <c r="L74" s="20"/>
      <c r="M74" s="21"/>
      <c r="N74" s="21"/>
      <c r="O74" s="21"/>
      <c r="P74" s="19">
        <v>71</v>
      </c>
      <c r="Q74" s="20" t="s">
        <v>56</v>
      </c>
      <c r="R74" s="20">
        <v>2</v>
      </c>
      <c r="S74" s="20">
        <f t="shared" si="16"/>
        <v>5264.6549999999997</v>
      </c>
      <c r="T74" s="20">
        <v>10529.31</v>
      </c>
      <c r="U74" s="19"/>
      <c r="V74" s="20"/>
      <c r="W74" s="20"/>
      <c r="X74" s="21"/>
      <c r="Y74" s="20"/>
      <c r="Z74" s="19"/>
      <c r="AA74" s="20"/>
      <c r="AB74" s="21"/>
      <c r="AC74" s="21"/>
      <c r="AD74" s="21"/>
      <c r="AE74" s="19"/>
      <c r="AF74" s="20"/>
      <c r="AG74" s="21"/>
      <c r="AH74" s="21"/>
      <c r="AI74" s="21"/>
      <c r="AJ74" s="19"/>
      <c r="AK74" s="20"/>
      <c r="AL74" s="21"/>
      <c r="AM74" s="21"/>
      <c r="AN74" s="21"/>
      <c r="AO74" s="19"/>
      <c r="AP74" s="20"/>
      <c r="AQ74" s="21"/>
      <c r="AR74" s="21"/>
      <c r="AS74" s="21"/>
      <c r="AT74" s="19">
        <v>71</v>
      </c>
      <c r="AU74" s="20" t="s">
        <v>100</v>
      </c>
      <c r="AV74" s="21">
        <v>1</v>
      </c>
      <c r="AW74" s="21">
        <f t="shared" si="19"/>
        <v>3448.52</v>
      </c>
      <c r="AX74" s="21">
        <v>3448.52</v>
      </c>
      <c r="AY74" s="19">
        <v>71</v>
      </c>
      <c r="AZ74" s="20" t="s">
        <v>97</v>
      </c>
      <c r="BA74" s="21">
        <v>5</v>
      </c>
      <c r="BB74" s="21">
        <f t="shared" si="20"/>
        <v>4426.4380000000001</v>
      </c>
      <c r="BC74" s="21">
        <v>22132.19</v>
      </c>
      <c r="BD74" s="19">
        <v>71</v>
      </c>
      <c r="BE74" s="20" t="s">
        <v>95</v>
      </c>
      <c r="BF74" s="21">
        <v>4</v>
      </c>
      <c r="BG74" s="21">
        <f t="shared" si="25"/>
        <v>5769.2</v>
      </c>
      <c r="BH74" s="21">
        <v>23076.799999999999</v>
      </c>
      <c r="BI74" s="19">
        <v>71</v>
      </c>
      <c r="BJ74" s="20" t="s">
        <v>117</v>
      </c>
      <c r="BK74" s="21">
        <v>49</v>
      </c>
      <c r="BL74" s="21">
        <f t="shared" si="26"/>
        <v>3793.356530612245</v>
      </c>
      <c r="BM74" s="21">
        <v>185874.47</v>
      </c>
      <c r="BN74" s="29">
        <f>BK74/$BK$3</f>
        <v>4.8068433753850381E-4</v>
      </c>
      <c r="BO74" s="29">
        <f>BM74/$BM$3</f>
        <v>5.0689714601565266E-4</v>
      </c>
    </row>
    <row r="75" spans="1:67" x14ac:dyDescent="0.3">
      <c r="A75" s="19">
        <v>72</v>
      </c>
      <c r="B75" s="20" t="s">
        <v>38</v>
      </c>
      <c r="C75" s="21">
        <v>4</v>
      </c>
      <c r="D75" s="21">
        <f t="shared" si="21"/>
        <v>6426.35</v>
      </c>
      <c r="E75" s="21">
        <v>25705.4</v>
      </c>
      <c r="F75" s="19">
        <v>72</v>
      </c>
      <c r="G75" s="20" t="s">
        <v>123</v>
      </c>
      <c r="H75" s="21">
        <v>1</v>
      </c>
      <c r="I75" s="21">
        <f t="shared" si="22"/>
        <v>8764.65</v>
      </c>
      <c r="J75" s="21">
        <v>8764.65</v>
      </c>
      <c r="K75" s="19"/>
      <c r="L75" s="20"/>
      <c r="M75" s="21"/>
      <c r="N75" s="21"/>
      <c r="O75" s="21"/>
      <c r="P75" s="19">
        <v>72</v>
      </c>
      <c r="Q75" s="20" t="s">
        <v>34</v>
      </c>
      <c r="R75" s="20">
        <v>2</v>
      </c>
      <c r="S75" s="20">
        <f t="shared" si="16"/>
        <v>4842.3</v>
      </c>
      <c r="T75" s="20">
        <v>9684.6</v>
      </c>
      <c r="U75" s="19"/>
      <c r="V75" s="20"/>
      <c r="W75" s="20"/>
      <c r="X75" s="20"/>
      <c r="Y75" s="20"/>
      <c r="Z75" s="19"/>
      <c r="AA75" s="20"/>
      <c r="AB75" s="21"/>
      <c r="AC75" s="21"/>
      <c r="AD75" s="21"/>
      <c r="AE75" s="19"/>
      <c r="AF75" s="20"/>
      <c r="AG75" s="21"/>
      <c r="AH75" s="21"/>
      <c r="AI75" s="21"/>
      <c r="AJ75" s="19"/>
      <c r="AK75" s="20"/>
      <c r="AL75" s="21"/>
      <c r="AM75" s="21"/>
      <c r="AN75" s="21"/>
      <c r="AO75" s="19"/>
      <c r="AP75" s="20"/>
      <c r="AQ75" s="21"/>
      <c r="AR75" s="21"/>
      <c r="AS75" s="21"/>
      <c r="AT75" s="19">
        <v>72</v>
      </c>
      <c r="AU75" s="20" t="s">
        <v>95</v>
      </c>
      <c r="AV75" s="21">
        <v>1</v>
      </c>
      <c r="AW75" s="21">
        <f t="shared" si="19"/>
        <v>3869.93</v>
      </c>
      <c r="AX75" s="21">
        <v>3869.93</v>
      </c>
      <c r="AY75" s="19">
        <v>72</v>
      </c>
      <c r="AZ75" s="20" t="s">
        <v>117</v>
      </c>
      <c r="BA75" s="21">
        <v>5</v>
      </c>
      <c r="BB75" s="21">
        <f t="shared" si="20"/>
        <v>3874.3620000000001</v>
      </c>
      <c r="BC75" s="21">
        <v>19371.810000000001</v>
      </c>
      <c r="BD75" s="19">
        <v>72</v>
      </c>
      <c r="BE75" s="20" t="s">
        <v>104</v>
      </c>
      <c r="BF75" s="21">
        <v>4</v>
      </c>
      <c r="BG75" s="21">
        <f t="shared" si="25"/>
        <v>2973.66</v>
      </c>
      <c r="BH75" s="21">
        <v>11894.64</v>
      </c>
      <c r="BI75" s="19">
        <v>72</v>
      </c>
      <c r="BJ75" s="20" t="s">
        <v>55</v>
      </c>
      <c r="BK75" s="21">
        <v>44</v>
      </c>
      <c r="BL75" s="21">
        <f t="shared" si="26"/>
        <v>4534.3950000000004</v>
      </c>
      <c r="BM75" s="21">
        <v>199513.38</v>
      </c>
      <c r="BN75" s="29">
        <f>BK75/$BK$3</f>
        <v>4.316349153406973E-4</v>
      </c>
      <c r="BO75" s="29">
        <f>BM75/$BM$3</f>
        <v>5.440917352121375E-4</v>
      </c>
    </row>
    <row r="76" spans="1:67" x14ac:dyDescent="0.3">
      <c r="A76" s="19">
        <v>73</v>
      </c>
      <c r="B76" s="20" t="s">
        <v>49</v>
      </c>
      <c r="C76" s="21">
        <v>4</v>
      </c>
      <c r="D76" s="21">
        <f t="shared" si="21"/>
        <v>4611.7275</v>
      </c>
      <c r="E76" s="21">
        <v>18446.91</v>
      </c>
      <c r="F76" s="19">
        <v>73</v>
      </c>
      <c r="G76" s="20" t="s">
        <v>33</v>
      </c>
      <c r="H76" s="21">
        <v>1</v>
      </c>
      <c r="I76" s="21">
        <f t="shared" si="22"/>
        <v>3874.51</v>
      </c>
      <c r="J76" s="21">
        <v>3874.51</v>
      </c>
      <c r="K76" s="19"/>
      <c r="L76" s="20"/>
      <c r="M76" s="21"/>
      <c r="N76" s="21"/>
      <c r="O76" s="21"/>
      <c r="P76" s="19"/>
      <c r="Q76" s="20"/>
      <c r="R76" s="20"/>
      <c r="S76" s="20"/>
      <c r="T76" s="20"/>
      <c r="U76" s="19"/>
      <c r="V76" s="20"/>
      <c r="W76" s="20"/>
      <c r="X76" s="20"/>
      <c r="Y76" s="20"/>
      <c r="Z76" s="19"/>
      <c r="AA76" s="20"/>
      <c r="AB76" s="21"/>
      <c r="AC76" s="21"/>
      <c r="AD76" s="21"/>
      <c r="AE76" s="19"/>
      <c r="AF76" s="20"/>
      <c r="AG76" s="21"/>
      <c r="AH76" s="21"/>
      <c r="AI76" s="21"/>
      <c r="AJ76" s="19"/>
      <c r="AK76" s="20"/>
      <c r="AL76" s="21"/>
      <c r="AM76" s="21"/>
      <c r="AN76" s="21"/>
      <c r="AO76" s="19"/>
      <c r="AP76" s="20"/>
      <c r="AQ76" s="21"/>
      <c r="AR76" s="21"/>
      <c r="AS76" s="21"/>
      <c r="AT76" s="19">
        <v>73</v>
      </c>
      <c r="AU76" s="20" t="s">
        <v>60</v>
      </c>
      <c r="AV76" s="21">
        <v>1</v>
      </c>
      <c r="AW76" s="21">
        <f t="shared" si="19"/>
        <v>4000</v>
      </c>
      <c r="AX76" s="21">
        <v>4000</v>
      </c>
      <c r="AY76" s="19">
        <v>73</v>
      </c>
      <c r="AZ76" s="20" t="s">
        <v>131</v>
      </c>
      <c r="BA76" s="21">
        <v>4</v>
      </c>
      <c r="BB76" s="21">
        <f t="shared" si="20"/>
        <v>3843.7550000000001</v>
      </c>
      <c r="BC76" s="21">
        <v>15375.02</v>
      </c>
      <c r="BD76" s="19">
        <v>73</v>
      </c>
      <c r="BE76" s="20" t="s">
        <v>76</v>
      </c>
      <c r="BF76" s="21">
        <v>3</v>
      </c>
      <c r="BG76" s="21">
        <f t="shared" si="25"/>
        <v>5098.0133333333333</v>
      </c>
      <c r="BH76" s="21">
        <v>15294.04</v>
      </c>
      <c r="BI76" s="19">
        <v>73</v>
      </c>
      <c r="BJ76" s="20" t="s">
        <v>100</v>
      </c>
      <c r="BK76" s="21">
        <v>38</v>
      </c>
      <c r="BL76" s="21">
        <f t="shared" si="26"/>
        <v>3962.4731578947371</v>
      </c>
      <c r="BM76" s="21">
        <v>150573.98000000001</v>
      </c>
      <c r="BN76" s="29">
        <f>BK76/$BK$3</f>
        <v>3.7277560870332949E-4</v>
      </c>
      <c r="BO76" s="29">
        <f>BM76/$BM$3</f>
        <v>4.1062939265525795E-4</v>
      </c>
    </row>
    <row r="77" spans="1:67" x14ac:dyDescent="0.3">
      <c r="A77" s="19">
        <v>74</v>
      </c>
      <c r="B77" s="20" t="s">
        <v>105</v>
      </c>
      <c r="C77" s="21">
        <v>3</v>
      </c>
      <c r="D77" s="21">
        <f t="shared" si="21"/>
        <v>5016.8066666666664</v>
      </c>
      <c r="E77" s="21">
        <v>15050.42</v>
      </c>
      <c r="F77" s="19">
        <v>74</v>
      </c>
      <c r="G77" s="20" t="s">
        <v>72</v>
      </c>
      <c r="H77" s="21">
        <v>1</v>
      </c>
      <c r="I77" s="21">
        <f t="shared" si="22"/>
        <v>3689.89</v>
      </c>
      <c r="J77" s="21">
        <v>3689.89</v>
      </c>
      <c r="K77" s="19"/>
      <c r="L77" s="20"/>
      <c r="M77" s="21"/>
      <c r="N77" s="21"/>
      <c r="O77" s="21"/>
      <c r="P77" s="19"/>
      <c r="Q77" s="20"/>
      <c r="R77" s="20"/>
      <c r="S77" s="20"/>
      <c r="T77" s="20"/>
      <c r="U77" s="19"/>
      <c r="V77" s="20"/>
      <c r="W77" s="20"/>
      <c r="X77" s="20"/>
      <c r="Y77" s="20"/>
      <c r="Z77" s="19"/>
      <c r="AA77" s="20"/>
      <c r="AB77" s="21"/>
      <c r="AC77" s="21"/>
      <c r="AD77" s="21"/>
      <c r="AE77" s="19"/>
      <c r="AF77" s="20"/>
      <c r="AG77" s="21"/>
      <c r="AH77" s="21"/>
      <c r="AI77" s="21"/>
      <c r="AJ77" s="19"/>
      <c r="AK77" s="20"/>
      <c r="AL77" s="21"/>
      <c r="AM77" s="21"/>
      <c r="AN77" s="21"/>
      <c r="AO77" s="19"/>
      <c r="AP77" s="20"/>
      <c r="AQ77" s="21"/>
      <c r="AR77" s="21"/>
      <c r="AS77" s="21"/>
      <c r="AT77" s="19">
        <v>74</v>
      </c>
      <c r="AU77" s="20" t="s">
        <v>137</v>
      </c>
      <c r="AV77" s="21">
        <v>0</v>
      </c>
      <c r="AW77" s="21">
        <f t="shared" si="19"/>
        <v>0</v>
      </c>
      <c r="AX77" s="21">
        <v>3058.62</v>
      </c>
      <c r="AY77" s="19">
        <v>74</v>
      </c>
      <c r="AZ77" s="20" t="s">
        <v>63</v>
      </c>
      <c r="BA77" s="21">
        <v>4</v>
      </c>
      <c r="BB77" s="21">
        <f t="shared" si="20"/>
        <v>5580.8525</v>
      </c>
      <c r="BC77" s="21">
        <v>22323.41</v>
      </c>
      <c r="BD77" s="19">
        <v>74</v>
      </c>
      <c r="BE77" s="20" t="s">
        <v>144</v>
      </c>
      <c r="BF77" s="21">
        <v>3</v>
      </c>
      <c r="BG77" s="21">
        <f t="shared" si="25"/>
        <v>4409.51</v>
      </c>
      <c r="BH77" s="21">
        <v>13228.53</v>
      </c>
      <c r="BI77" s="19">
        <v>74</v>
      </c>
      <c r="BJ77" s="20" t="s">
        <v>74</v>
      </c>
      <c r="BK77" s="21">
        <v>37</v>
      </c>
      <c r="BL77" s="21">
        <f t="shared" si="26"/>
        <v>4163.5</v>
      </c>
      <c r="BM77" s="21">
        <v>154049.5</v>
      </c>
      <c r="BN77" s="29">
        <f>BK77/$BK$3</f>
        <v>3.6296572426376819E-4</v>
      </c>
      <c r="BO77" s="29">
        <f>BM77/$BM$3</f>
        <v>4.201074622842948E-4</v>
      </c>
    </row>
    <row r="78" spans="1:67" x14ac:dyDescent="0.3">
      <c r="A78" s="19">
        <v>75</v>
      </c>
      <c r="B78" s="20" t="s">
        <v>63</v>
      </c>
      <c r="C78" s="21">
        <v>3</v>
      </c>
      <c r="D78" s="21">
        <f t="shared" si="21"/>
        <v>4475.0033333333331</v>
      </c>
      <c r="E78" s="21">
        <v>13425.01</v>
      </c>
      <c r="F78" s="19">
        <v>75</v>
      </c>
      <c r="G78" s="20" t="s">
        <v>88</v>
      </c>
      <c r="H78" s="21">
        <v>1</v>
      </c>
      <c r="I78" s="21">
        <f t="shared" si="22"/>
        <v>5500</v>
      </c>
      <c r="J78" s="21">
        <v>5500</v>
      </c>
      <c r="K78" s="19"/>
      <c r="L78" s="20"/>
      <c r="M78" s="20"/>
      <c r="N78" s="21"/>
      <c r="O78" s="20"/>
      <c r="P78" s="19"/>
      <c r="Q78" s="20"/>
      <c r="R78" s="20"/>
      <c r="S78" s="20"/>
      <c r="T78" s="20"/>
      <c r="U78" s="19"/>
      <c r="V78" s="20"/>
      <c r="W78" s="20"/>
      <c r="X78" s="20"/>
      <c r="Y78" s="20"/>
      <c r="Z78" s="19"/>
      <c r="AA78" s="20"/>
      <c r="AB78" s="21"/>
      <c r="AC78" s="21"/>
      <c r="AD78" s="21"/>
      <c r="AE78" s="19"/>
      <c r="AF78" s="20"/>
      <c r="AG78" s="21"/>
      <c r="AH78" s="21"/>
      <c r="AI78" s="21"/>
      <c r="AJ78" s="19"/>
      <c r="AK78" s="20"/>
      <c r="AL78" s="21"/>
      <c r="AM78" s="21"/>
      <c r="AN78" s="21"/>
      <c r="AO78" s="19"/>
      <c r="AP78" s="20"/>
      <c r="AQ78" s="21"/>
      <c r="AR78" s="21"/>
      <c r="AS78" s="21"/>
      <c r="AT78" s="19"/>
      <c r="AU78" s="20"/>
      <c r="AV78" s="21"/>
      <c r="AW78" s="21"/>
      <c r="AX78" s="21"/>
      <c r="AY78" s="19">
        <v>75</v>
      </c>
      <c r="AZ78" s="20" t="s">
        <v>102</v>
      </c>
      <c r="BA78" s="21">
        <v>4</v>
      </c>
      <c r="BB78" s="21">
        <f t="shared" si="20"/>
        <v>4037.71</v>
      </c>
      <c r="BC78" s="21">
        <v>16150.84</v>
      </c>
      <c r="BD78" s="19">
        <v>75</v>
      </c>
      <c r="BE78" s="20" t="s">
        <v>145</v>
      </c>
      <c r="BF78" s="21">
        <v>3</v>
      </c>
      <c r="BG78" s="21">
        <f t="shared" si="25"/>
        <v>9294.2800000000007</v>
      </c>
      <c r="BH78" s="21">
        <v>27882.84</v>
      </c>
      <c r="BI78" s="19">
        <v>75</v>
      </c>
      <c r="BJ78" s="20" t="s">
        <v>32</v>
      </c>
      <c r="BK78" s="21">
        <v>34</v>
      </c>
      <c r="BL78" s="21">
        <f t="shared" si="26"/>
        <v>4014.3811764705879</v>
      </c>
      <c r="BM78" s="21">
        <v>136488.95999999999</v>
      </c>
      <c r="BN78" s="29">
        <f>BK78/$BK$3</f>
        <v>3.3353607094508428E-4</v>
      </c>
      <c r="BO78" s="29">
        <f>BM78/$BM$3</f>
        <v>3.7221821956853231E-4</v>
      </c>
    </row>
    <row r="79" spans="1:67" x14ac:dyDescent="0.3">
      <c r="A79" s="19">
        <v>76</v>
      </c>
      <c r="B79" s="20" t="s">
        <v>102</v>
      </c>
      <c r="C79" s="21">
        <v>3</v>
      </c>
      <c r="D79" s="21">
        <f t="shared" si="21"/>
        <v>5519.543333333334</v>
      </c>
      <c r="E79" s="21">
        <v>16558.63</v>
      </c>
      <c r="F79" s="19">
        <v>76</v>
      </c>
      <c r="G79" s="20" t="s">
        <v>61</v>
      </c>
      <c r="H79" s="21">
        <v>1</v>
      </c>
      <c r="I79" s="21">
        <f t="shared" si="22"/>
        <v>2982.16</v>
      </c>
      <c r="J79" s="21">
        <v>2982.16</v>
      </c>
      <c r="K79" s="19"/>
      <c r="L79" s="20"/>
      <c r="M79" s="20"/>
      <c r="N79" s="21"/>
      <c r="O79" s="20"/>
      <c r="P79" s="19"/>
      <c r="Q79" s="20"/>
      <c r="R79" s="20"/>
      <c r="S79" s="20"/>
      <c r="T79" s="20"/>
      <c r="U79" s="19"/>
      <c r="V79" s="20"/>
      <c r="W79" s="20"/>
      <c r="X79" s="20"/>
      <c r="Y79" s="20"/>
      <c r="Z79" s="19"/>
      <c r="AA79" s="20"/>
      <c r="AB79" s="21"/>
      <c r="AC79" s="21"/>
      <c r="AD79" s="21"/>
      <c r="AE79" s="19"/>
      <c r="AF79" s="20"/>
      <c r="AG79" s="21"/>
      <c r="AH79" s="21"/>
      <c r="AI79" s="21"/>
      <c r="AJ79" s="19"/>
      <c r="AK79" s="20"/>
      <c r="AL79" s="21"/>
      <c r="AM79" s="21"/>
      <c r="AN79" s="21"/>
      <c r="AO79" s="19"/>
      <c r="AP79" s="20"/>
      <c r="AQ79" s="21"/>
      <c r="AR79" s="21"/>
      <c r="AS79" s="21"/>
      <c r="AT79" s="19"/>
      <c r="AU79" s="20"/>
      <c r="AV79" s="21"/>
      <c r="AW79" s="21"/>
      <c r="AX79" s="21"/>
      <c r="AY79" s="19">
        <v>76</v>
      </c>
      <c r="AZ79" s="20" t="s">
        <v>32</v>
      </c>
      <c r="BA79" s="21">
        <v>4</v>
      </c>
      <c r="BB79" s="21">
        <f t="shared" si="20"/>
        <v>3545.65</v>
      </c>
      <c r="BC79" s="21">
        <v>14182.6</v>
      </c>
      <c r="BD79" s="19">
        <v>76</v>
      </c>
      <c r="BE79" s="20" t="s">
        <v>117</v>
      </c>
      <c r="BF79" s="21">
        <v>3</v>
      </c>
      <c r="BG79" s="21">
        <f t="shared" si="25"/>
        <v>5025.32</v>
      </c>
      <c r="BH79" s="21">
        <v>15075.96</v>
      </c>
      <c r="BI79" s="19">
        <v>76</v>
      </c>
      <c r="BJ79" s="20" t="s">
        <v>84</v>
      </c>
      <c r="BK79" s="21">
        <v>29</v>
      </c>
      <c r="BL79" s="21">
        <f t="shared" si="26"/>
        <v>4747.9596551724135</v>
      </c>
      <c r="BM79" s="21">
        <v>137690.82999999999</v>
      </c>
      <c r="BN79" s="29">
        <f>BK79/$BK$3</f>
        <v>2.8448664874727777E-4</v>
      </c>
      <c r="BO79" s="29">
        <f>BM79/$BM$3</f>
        <v>3.7549583199632741E-4</v>
      </c>
    </row>
    <row r="80" spans="1:67" x14ac:dyDescent="0.3">
      <c r="A80" s="19">
        <v>77</v>
      </c>
      <c r="B80" s="20" t="s">
        <v>91</v>
      </c>
      <c r="C80" s="21">
        <v>3</v>
      </c>
      <c r="D80" s="21">
        <f t="shared" si="21"/>
        <v>5314.0766666666668</v>
      </c>
      <c r="E80" s="21">
        <v>15942.23</v>
      </c>
      <c r="F80" s="19"/>
      <c r="G80" s="20"/>
      <c r="H80" s="21"/>
      <c r="I80" s="21"/>
      <c r="J80" s="21"/>
      <c r="K80" s="19"/>
      <c r="L80" s="20"/>
      <c r="M80" s="20"/>
      <c r="N80" s="21"/>
      <c r="O80" s="20"/>
      <c r="P80" s="19"/>
      <c r="Q80" s="20"/>
      <c r="R80" s="20"/>
      <c r="S80" s="20"/>
      <c r="T80" s="20"/>
      <c r="U80" s="19"/>
      <c r="V80" s="20"/>
      <c r="W80" s="20"/>
      <c r="X80" s="20"/>
      <c r="Y80" s="20"/>
      <c r="Z80" s="19"/>
      <c r="AA80" s="20"/>
      <c r="AB80" s="21"/>
      <c r="AC80" s="21"/>
      <c r="AD80" s="21"/>
      <c r="AE80" s="19"/>
      <c r="AF80" s="20"/>
      <c r="AG80" s="21"/>
      <c r="AH80" s="21"/>
      <c r="AI80" s="21"/>
      <c r="AJ80" s="19"/>
      <c r="AK80" s="20"/>
      <c r="AL80" s="21"/>
      <c r="AM80" s="21"/>
      <c r="AN80" s="21"/>
      <c r="AO80" s="19"/>
      <c r="AP80" s="20"/>
      <c r="AQ80" s="21"/>
      <c r="AR80" s="21"/>
      <c r="AS80" s="21"/>
      <c r="AT80" s="19"/>
      <c r="AU80" s="20"/>
      <c r="AV80" s="21"/>
      <c r="AW80" s="21"/>
      <c r="AX80" s="21"/>
      <c r="AY80" s="19">
        <v>77</v>
      </c>
      <c r="AZ80" s="20" t="s">
        <v>87</v>
      </c>
      <c r="BA80" s="21">
        <v>4</v>
      </c>
      <c r="BB80" s="21">
        <f t="shared" si="20"/>
        <v>4407.95</v>
      </c>
      <c r="BC80" s="21">
        <v>17631.8</v>
      </c>
      <c r="BD80" s="19">
        <v>77</v>
      </c>
      <c r="BE80" s="20" t="s">
        <v>107</v>
      </c>
      <c r="BF80" s="21">
        <v>3</v>
      </c>
      <c r="BG80" s="21">
        <f t="shared" si="25"/>
        <v>14443.5</v>
      </c>
      <c r="BH80" s="21">
        <v>43330.5</v>
      </c>
      <c r="BI80" s="19">
        <v>77</v>
      </c>
      <c r="BJ80" s="20" t="s">
        <v>89</v>
      </c>
      <c r="BK80" s="21">
        <v>28</v>
      </c>
      <c r="BL80" s="21">
        <f t="shared" si="26"/>
        <v>3791.7310714285713</v>
      </c>
      <c r="BM80" s="21">
        <v>106168.47</v>
      </c>
      <c r="BN80" s="29">
        <f>BK80/$BK$3</f>
        <v>2.7467676430771647E-4</v>
      </c>
      <c r="BO80" s="29">
        <f>BM80/$BM$3</f>
        <v>2.8953139417074568E-4</v>
      </c>
    </row>
    <row r="81" spans="1:67" x14ac:dyDescent="0.3">
      <c r="A81" s="19">
        <v>78</v>
      </c>
      <c r="B81" s="20" t="s">
        <v>67</v>
      </c>
      <c r="C81" s="21">
        <v>2</v>
      </c>
      <c r="D81" s="21">
        <f t="shared" si="21"/>
        <v>4712.57</v>
      </c>
      <c r="E81" s="21">
        <v>9425.14</v>
      </c>
      <c r="F81" s="19"/>
      <c r="G81" s="20"/>
      <c r="H81" s="20"/>
      <c r="I81" s="21"/>
      <c r="J81" s="20"/>
      <c r="K81" s="19"/>
      <c r="L81" s="20"/>
      <c r="M81" s="20"/>
      <c r="N81" s="21"/>
      <c r="O81" s="20"/>
      <c r="P81" s="19"/>
      <c r="Q81" s="20"/>
      <c r="R81" s="20"/>
      <c r="S81" s="20"/>
      <c r="T81" s="20"/>
      <c r="U81" s="19"/>
      <c r="V81" s="20"/>
      <c r="W81" s="20"/>
      <c r="X81" s="20"/>
      <c r="Y81" s="20"/>
      <c r="Z81" s="19"/>
      <c r="AA81" s="20"/>
      <c r="AB81" s="21"/>
      <c r="AC81" s="21"/>
      <c r="AD81" s="21"/>
      <c r="AE81" s="19"/>
      <c r="AF81" s="20"/>
      <c r="AG81" s="21"/>
      <c r="AH81" s="21"/>
      <c r="AI81" s="21"/>
      <c r="AJ81" s="19"/>
      <c r="AK81" s="20"/>
      <c r="AL81" s="21"/>
      <c r="AM81" s="21"/>
      <c r="AN81" s="21"/>
      <c r="AO81" s="19"/>
      <c r="AP81" s="20"/>
      <c r="AQ81" s="21"/>
      <c r="AR81" s="21"/>
      <c r="AS81" s="21"/>
      <c r="AT81" s="19"/>
      <c r="AU81" s="20"/>
      <c r="AV81" s="21"/>
      <c r="AW81" s="21"/>
      <c r="AX81" s="21"/>
      <c r="AY81" s="19">
        <v>78</v>
      </c>
      <c r="AZ81" s="20" t="s">
        <v>91</v>
      </c>
      <c r="BA81" s="21">
        <v>4</v>
      </c>
      <c r="BB81" s="21">
        <f t="shared" si="20"/>
        <v>4245.6225000000004</v>
      </c>
      <c r="BC81" s="21">
        <v>16982.490000000002</v>
      </c>
      <c r="BD81" s="19">
        <v>78</v>
      </c>
      <c r="BE81" s="20" t="s">
        <v>63</v>
      </c>
      <c r="BF81" s="21">
        <v>2</v>
      </c>
      <c r="BG81" s="21">
        <f t="shared" si="25"/>
        <v>4488.085</v>
      </c>
      <c r="BH81" s="21">
        <v>8976.17</v>
      </c>
      <c r="BI81" s="19">
        <v>78</v>
      </c>
      <c r="BJ81" s="20" t="s">
        <v>142</v>
      </c>
      <c r="BK81" s="21">
        <v>26</v>
      </c>
      <c r="BL81" s="21">
        <f t="shared" si="26"/>
        <v>3968.6896153846151</v>
      </c>
      <c r="BM81" s="21">
        <v>103185.93</v>
      </c>
      <c r="BN81" s="29">
        <f>BK81/$BK$3</f>
        <v>2.5505699542859386E-4</v>
      </c>
      <c r="BO81" s="29">
        <f>BM81/$BM$3</f>
        <v>2.8139772732624824E-4</v>
      </c>
    </row>
    <row r="82" spans="1:67" x14ac:dyDescent="0.3">
      <c r="A82" s="19">
        <v>79</v>
      </c>
      <c r="B82" s="20" t="s">
        <v>69</v>
      </c>
      <c r="C82" s="21">
        <v>2</v>
      </c>
      <c r="D82" s="21">
        <f t="shared" si="21"/>
        <v>4719.63</v>
      </c>
      <c r="E82" s="21">
        <v>9439.26</v>
      </c>
      <c r="F82" s="19"/>
      <c r="G82" s="20"/>
      <c r="H82" s="20"/>
      <c r="I82" s="21"/>
      <c r="J82" s="20"/>
      <c r="K82" s="19"/>
      <c r="L82" s="20"/>
      <c r="M82" s="20"/>
      <c r="N82" s="21"/>
      <c r="O82" s="20"/>
      <c r="P82" s="19"/>
      <c r="Q82" s="20"/>
      <c r="R82" s="20"/>
      <c r="S82" s="20"/>
      <c r="T82" s="20"/>
      <c r="U82" s="19"/>
      <c r="V82" s="20"/>
      <c r="W82" s="20"/>
      <c r="X82" s="20"/>
      <c r="Y82" s="20"/>
      <c r="Z82" s="19"/>
      <c r="AA82" s="20"/>
      <c r="AB82" s="21"/>
      <c r="AC82" s="21"/>
      <c r="AD82" s="21"/>
      <c r="AE82" s="19"/>
      <c r="AF82" s="20"/>
      <c r="AG82" s="21"/>
      <c r="AH82" s="21"/>
      <c r="AI82" s="21"/>
      <c r="AJ82" s="19"/>
      <c r="AK82" s="20"/>
      <c r="AL82" s="21"/>
      <c r="AM82" s="21"/>
      <c r="AN82" s="21"/>
      <c r="AO82" s="19"/>
      <c r="AP82" s="20"/>
      <c r="AQ82" s="21"/>
      <c r="AR82" s="21"/>
      <c r="AS82" s="21"/>
      <c r="AT82" s="19"/>
      <c r="AU82" s="20"/>
      <c r="AV82" s="21"/>
      <c r="AW82" s="21"/>
      <c r="AX82" s="21"/>
      <c r="AY82" s="19">
        <v>79</v>
      </c>
      <c r="AZ82" s="20" t="s">
        <v>82</v>
      </c>
      <c r="BA82" s="21">
        <v>3</v>
      </c>
      <c r="BB82" s="21">
        <f t="shared" si="20"/>
        <v>4078.0133333333338</v>
      </c>
      <c r="BC82" s="21">
        <v>12234.04</v>
      </c>
      <c r="BD82" s="19">
        <v>79</v>
      </c>
      <c r="BE82" s="20" t="s">
        <v>29</v>
      </c>
      <c r="BF82" s="21">
        <v>2</v>
      </c>
      <c r="BG82" s="21">
        <f t="shared" si="25"/>
        <v>4599.83</v>
      </c>
      <c r="BH82" s="21">
        <v>9199.66</v>
      </c>
      <c r="BI82" s="19">
        <v>79</v>
      </c>
      <c r="BJ82" s="20" t="s">
        <v>102</v>
      </c>
      <c r="BK82" s="21">
        <v>23</v>
      </c>
      <c r="BL82" s="21">
        <f t="shared" si="26"/>
        <v>4165.5613043478261</v>
      </c>
      <c r="BM82" s="21">
        <v>95807.91</v>
      </c>
      <c r="BN82" s="29">
        <f>BK82/$BK$3</f>
        <v>2.2562734210990995E-4</v>
      </c>
      <c r="BO82" s="29">
        <f>BM82/$BM$3</f>
        <v>2.6127717348554919E-4</v>
      </c>
    </row>
    <row r="83" spans="1:67" x14ac:dyDescent="0.3">
      <c r="A83" s="19">
        <v>80</v>
      </c>
      <c r="B83" s="20" t="s">
        <v>85</v>
      </c>
      <c r="C83" s="21">
        <v>1</v>
      </c>
      <c r="D83" s="21">
        <f t="shared" si="21"/>
        <v>3973.41</v>
      </c>
      <c r="E83" s="21">
        <v>3973.41</v>
      </c>
      <c r="F83" s="19"/>
      <c r="G83" s="20"/>
      <c r="H83" s="20"/>
      <c r="I83" s="21"/>
      <c r="J83" s="20"/>
      <c r="K83" s="19"/>
      <c r="L83" s="20"/>
      <c r="M83" s="20"/>
      <c r="N83" s="21"/>
      <c r="O83" s="20"/>
      <c r="P83" s="19"/>
      <c r="Q83" s="20"/>
      <c r="R83" s="20"/>
      <c r="S83" s="20"/>
      <c r="T83" s="20"/>
      <c r="U83" s="19"/>
      <c r="V83" s="20"/>
      <c r="W83" s="20"/>
      <c r="X83" s="20"/>
      <c r="Y83" s="20"/>
      <c r="Z83" s="19"/>
      <c r="AA83" s="20"/>
      <c r="AB83" s="20"/>
      <c r="AC83" s="20"/>
      <c r="AD83" s="20"/>
      <c r="AE83" s="19"/>
      <c r="AF83" s="20"/>
      <c r="AG83" s="21"/>
      <c r="AH83" s="21"/>
      <c r="AI83" s="21"/>
      <c r="AJ83" s="19"/>
      <c r="AK83" s="20"/>
      <c r="AL83" s="21"/>
      <c r="AM83" s="21"/>
      <c r="AN83" s="21"/>
      <c r="AO83" s="19"/>
      <c r="AP83" s="20"/>
      <c r="AQ83" s="21"/>
      <c r="AR83" s="21"/>
      <c r="AS83" s="21"/>
      <c r="AT83" s="19"/>
      <c r="AU83" s="20"/>
      <c r="AV83" s="21"/>
      <c r="AW83" s="21"/>
      <c r="AX83" s="21"/>
      <c r="AY83" s="19">
        <v>80</v>
      </c>
      <c r="AZ83" s="20" t="s">
        <v>89</v>
      </c>
      <c r="BA83" s="21">
        <v>3</v>
      </c>
      <c r="BB83" s="21">
        <f t="shared" si="20"/>
        <v>3567.8799999999997</v>
      </c>
      <c r="BC83" s="21">
        <v>10703.64</v>
      </c>
      <c r="BD83" s="19">
        <v>80</v>
      </c>
      <c r="BE83" s="20" t="s">
        <v>65</v>
      </c>
      <c r="BF83" s="21">
        <v>2</v>
      </c>
      <c r="BG83" s="21">
        <f t="shared" si="25"/>
        <v>5542.9</v>
      </c>
      <c r="BH83" s="21">
        <v>11085.8</v>
      </c>
      <c r="BI83" s="19">
        <v>80</v>
      </c>
      <c r="BJ83" s="20" t="s">
        <v>133</v>
      </c>
      <c r="BK83" s="21">
        <v>23</v>
      </c>
      <c r="BL83" s="21">
        <f t="shared" si="26"/>
        <v>4477.9143478260867</v>
      </c>
      <c r="BM83" s="21">
        <v>102992.03</v>
      </c>
      <c r="BN83" s="29">
        <f>BK83/$BK$3</f>
        <v>2.2562734210990995E-4</v>
      </c>
      <c r="BO83" s="29">
        <f>BM83/$BM$3</f>
        <v>2.8086894380577641E-4</v>
      </c>
    </row>
    <row r="84" spans="1:67" x14ac:dyDescent="0.3">
      <c r="A84" s="19">
        <v>81</v>
      </c>
      <c r="B84" s="20" t="s">
        <v>119</v>
      </c>
      <c r="C84" s="21">
        <v>1</v>
      </c>
      <c r="D84" s="21">
        <f t="shared" si="21"/>
        <v>3369.38</v>
      </c>
      <c r="E84" s="21">
        <v>3369.38</v>
      </c>
      <c r="F84" s="19"/>
      <c r="G84" s="20"/>
      <c r="H84" s="20"/>
      <c r="I84" s="21"/>
      <c r="J84" s="20"/>
      <c r="K84" s="19"/>
      <c r="L84" s="20"/>
      <c r="M84" s="20"/>
      <c r="N84" s="21"/>
      <c r="O84" s="20"/>
      <c r="P84" s="19"/>
      <c r="Q84" s="20"/>
      <c r="R84" s="20"/>
      <c r="S84" s="20"/>
      <c r="T84" s="20"/>
      <c r="U84" s="19"/>
      <c r="V84" s="20"/>
      <c r="W84" s="20"/>
      <c r="X84" s="20"/>
      <c r="Y84" s="20"/>
      <c r="Z84" s="19"/>
      <c r="AA84" s="20"/>
      <c r="AB84" s="20"/>
      <c r="AC84" s="20"/>
      <c r="AD84" s="20"/>
      <c r="AE84" s="19"/>
      <c r="AF84" s="20"/>
      <c r="AG84" s="21"/>
      <c r="AH84" s="21"/>
      <c r="AI84" s="21"/>
      <c r="AJ84" s="19"/>
      <c r="AK84" s="20"/>
      <c r="AL84" s="21"/>
      <c r="AM84" s="21"/>
      <c r="AN84" s="21"/>
      <c r="AO84" s="19"/>
      <c r="AP84" s="20"/>
      <c r="AQ84" s="21"/>
      <c r="AR84" s="21"/>
      <c r="AS84" s="21"/>
      <c r="AT84" s="19"/>
      <c r="AU84" s="20"/>
      <c r="AV84" s="21"/>
      <c r="AW84" s="21"/>
      <c r="AX84" s="21"/>
      <c r="AY84" s="19">
        <v>81</v>
      </c>
      <c r="AZ84" s="20" t="s">
        <v>139</v>
      </c>
      <c r="BA84" s="21">
        <v>3</v>
      </c>
      <c r="BB84" s="21">
        <f t="shared" si="20"/>
        <v>4145.96</v>
      </c>
      <c r="BC84" s="21">
        <v>12437.88</v>
      </c>
      <c r="BD84" s="19">
        <v>81</v>
      </c>
      <c r="BE84" s="20" t="s">
        <v>89</v>
      </c>
      <c r="BF84" s="21">
        <v>1</v>
      </c>
      <c r="BG84" s="21">
        <f t="shared" si="25"/>
        <v>5057.4399999999996</v>
      </c>
      <c r="BH84" s="21">
        <v>5057.4399999999996</v>
      </c>
      <c r="BI84" s="19">
        <v>81</v>
      </c>
      <c r="BJ84" s="20" t="s">
        <v>97</v>
      </c>
      <c r="BK84" s="21">
        <v>22</v>
      </c>
      <c r="BL84" s="21">
        <f t="shared" si="26"/>
        <v>4244.556363636364</v>
      </c>
      <c r="BM84" s="21">
        <v>93380.24</v>
      </c>
      <c r="BN84" s="29">
        <f>BK84/$BK$3</f>
        <v>2.1581745767034865E-4</v>
      </c>
      <c r="BO84" s="29">
        <f>BM84/$BM$3</f>
        <v>2.5465668927129523E-4</v>
      </c>
    </row>
    <row r="85" spans="1:67" x14ac:dyDescent="0.3">
      <c r="A85" s="19">
        <v>82</v>
      </c>
      <c r="B85" s="20" t="s">
        <v>70</v>
      </c>
      <c r="C85" s="21">
        <v>0</v>
      </c>
      <c r="D85" s="21">
        <f t="shared" si="21"/>
        <v>0</v>
      </c>
      <c r="E85" s="21">
        <v>22483.21</v>
      </c>
      <c r="F85" s="19"/>
      <c r="G85" s="20"/>
      <c r="H85" s="20"/>
      <c r="I85" s="21"/>
      <c r="J85" s="20"/>
      <c r="K85" s="19"/>
      <c r="L85" s="20"/>
      <c r="M85" s="20"/>
      <c r="N85" s="21"/>
      <c r="O85" s="20"/>
      <c r="P85" s="19"/>
      <c r="Q85" s="20"/>
      <c r="R85" s="20"/>
      <c r="S85" s="20"/>
      <c r="T85" s="20"/>
      <c r="U85" s="19"/>
      <c r="V85" s="20"/>
      <c r="W85" s="20"/>
      <c r="X85" s="20"/>
      <c r="Y85" s="20"/>
      <c r="Z85" s="19"/>
      <c r="AA85" s="20"/>
      <c r="AB85" s="20"/>
      <c r="AC85" s="20"/>
      <c r="AD85" s="20"/>
      <c r="AE85" s="19"/>
      <c r="AF85" s="20"/>
      <c r="AG85" s="21"/>
      <c r="AH85" s="21"/>
      <c r="AI85" s="21"/>
      <c r="AJ85" s="19"/>
      <c r="AK85" s="20"/>
      <c r="AL85" s="21"/>
      <c r="AM85" s="21"/>
      <c r="AN85" s="21"/>
      <c r="AO85" s="19"/>
      <c r="AP85" s="20"/>
      <c r="AQ85" s="21"/>
      <c r="AR85" s="21"/>
      <c r="AS85" s="21"/>
      <c r="AT85" s="19"/>
      <c r="AU85" s="20"/>
      <c r="AV85" s="21"/>
      <c r="AW85" s="21"/>
      <c r="AX85" s="21"/>
      <c r="AY85" s="19">
        <v>82</v>
      </c>
      <c r="AZ85" s="20" t="s">
        <v>47</v>
      </c>
      <c r="BA85" s="20">
        <v>3</v>
      </c>
      <c r="BB85" s="20">
        <f t="shared" si="20"/>
        <v>4091.6733333333336</v>
      </c>
      <c r="BC85" s="20">
        <v>12275.02</v>
      </c>
      <c r="BD85" s="22"/>
      <c r="BE85" s="20"/>
      <c r="BF85" s="21"/>
      <c r="BG85" s="21"/>
      <c r="BH85" s="21"/>
      <c r="BI85" s="19">
        <v>82</v>
      </c>
      <c r="BJ85" s="20" t="s">
        <v>70</v>
      </c>
      <c r="BK85" s="21">
        <v>22</v>
      </c>
      <c r="BL85" s="21">
        <f t="shared" si="26"/>
        <v>4172.9822727272731</v>
      </c>
      <c r="BM85" s="21">
        <v>91805.61</v>
      </c>
      <c r="BN85" s="29">
        <f>BK85/$BK$3</f>
        <v>2.1581745767034865E-4</v>
      </c>
      <c r="BO85" s="29">
        <f>BM85/$BM$3</f>
        <v>2.5036252529584113E-4</v>
      </c>
    </row>
    <row r="86" spans="1:67" x14ac:dyDescent="0.3">
      <c r="A86" s="19"/>
      <c r="B86" s="20"/>
      <c r="C86" s="21"/>
      <c r="D86" s="21"/>
      <c r="E86" s="21"/>
      <c r="F86" s="19"/>
      <c r="G86" s="20"/>
      <c r="H86" s="20"/>
      <c r="I86" s="21"/>
      <c r="J86" s="20"/>
      <c r="K86" s="19"/>
      <c r="L86" s="20"/>
      <c r="M86" s="20"/>
      <c r="N86" s="21"/>
      <c r="O86" s="20"/>
      <c r="P86" s="19"/>
      <c r="Q86" s="20"/>
      <c r="R86" s="20"/>
      <c r="S86" s="20"/>
      <c r="T86" s="20"/>
      <c r="U86" s="19"/>
      <c r="V86" s="20"/>
      <c r="W86" s="20"/>
      <c r="X86" s="20"/>
      <c r="Y86" s="20"/>
      <c r="Z86" s="19"/>
      <c r="AA86" s="20"/>
      <c r="AB86" s="20"/>
      <c r="AC86" s="20"/>
      <c r="AD86" s="20"/>
      <c r="AE86" s="19"/>
      <c r="AF86" s="20"/>
      <c r="AG86" s="20"/>
      <c r="AH86" s="20"/>
      <c r="AI86" s="20"/>
      <c r="AJ86" s="19"/>
      <c r="AK86" s="20"/>
      <c r="AL86" s="20"/>
      <c r="AM86" s="20"/>
      <c r="AN86" s="20"/>
      <c r="AO86" s="19"/>
      <c r="AP86" s="20"/>
      <c r="AQ86" s="20"/>
      <c r="AR86" s="20"/>
      <c r="AS86" s="20"/>
      <c r="AT86" s="19"/>
      <c r="AU86" s="20"/>
      <c r="AV86" s="20"/>
      <c r="AW86" s="20"/>
      <c r="AX86" s="20"/>
      <c r="AY86" s="19">
        <v>83</v>
      </c>
      <c r="AZ86" s="20" t="s">
        <v>88</v>
      </c>
      <c r="BA86" s="20">
        <v>3</v>
      </c>
      <c r="BB86" s="20">
        <f t="shared" si="20"/>
        <v>3143.59</v>
      </c>
      <c r="BC86" s="20">
        <v>9430.77</v>
      </c>
      <c r="BD86" s="22"/>
      <c r="BE86" s="23"/>
      <c r="BF86" s="23"/>
      <c r="BG86" s="23"/>
      <c r="BH86" s="23"/>
      <c r="BI86" s="19">
        <v>83</v>
      </c>
      <c r="BJ86" s="20" t="s">
        <v>85</v>
      </c>
      <c r="BK86" s="21">
        <v>19</v>
      </c>
      <c r="BL86" s="21">
        <f t="shared" si="26"/>
        <v>3884.1836842105267</v>
      </c>
      <c r="BM86" s="21">
        <v>73799.490000000005</v>
      </c>
      <c r="BN86" s="29">
        <f>BK86/$BK$3</f>
        <v>1.8638780435166474E-4</v>
      </c>
      <c r="BO86" s="29">
        <f>BM86/$BM$3</f>
        <v>2.0125814404964114E-4</v>
      </c>
    </row>
    <row r="87" spans="1:67" x14ac:dyDescent="0.3">
      <c r="A87" s="19"/>
      <c r="B87" s="20"/>
      <c r="C87" s="21"/>
      <c r="D87" s="21"/>
      <c r="E87" s="21"/>
      <c r="F87" s="19"/>
      <c r="G87" s="20"/>
      <c r="H87" s="20"/>
      <c r="I87" s="21"/>
      <c r="J87" s="20"/>
      <c r="K87" s="19"/>
      <c r="L87" s="20"/>
      <c r="M87" s="20"/>
      <c r="N87" s="21"/>
      <c r="O87" s="20"/>
      <c r="P87" s="19"/>
      <c r="Q87" s="20"/>
      <c r="R87" s="20"/>
      <c r="S87" s="20"/>
      <c r="T87" s="20"/>
      <c r="U87" s="19"/>
      <c r="V87" s="20"/>
      <c r="W87" s="20"/>
      <c r="X87" s="20"/>
      <c r="Y87" s="20"/>
      <c r="Z87" s="19"/>
      <c r="AA87" s="20"/>
      <c r="AB87" s="20"/>
      <c r="AC87" s="20"/>
      <c r="AD87" s="20"/>
      <c r="AE87" s="19"/>
      <c r="AF87" s="20"/>
      <c r="AG87" s="20"/>
      <c r="AH87" s="20"/>
      <c r="AI87" s="20"/>
      <c r="AJ87" s="19"/>
      <c r="AK87" s="20"/>
      <c r="AL87" s="20"/>
      <c r="AM87" s="20"/>
      <c r="AN87" s="20"/>
      <c r="AO87" s="19"/>
      <c r="AP87" s="20"/>
      <c r="AQ87" s="20"/>
      <c r="AR87" s="20"/>
      <c r="AS87" s="20"/>
      <c r="AT87" s="19"/>
      <c r="AU87" s="20"/>
      <c r="AV87" s="20"/>
      <c r="AW87" s="20"/>
      <c r="AX87" s="20"/>
      <c r="AY87" s="19">
        <v>84</v>
      </c>
      <c r="AZ87" s="20" t="s">
        <v>69</v>
      </c>
      <c r="BA87" s="20">
        <v>2</v>
      </c>
      <c r="BB87" s="20">
        <f t="shared" si="20"/>
        <v>4139.8500000000004</v>
      </c>
      <c r="BC87" s="20">
        <v>8279.7000000000007</v>
      </c>
      <c r="BD87" s="22"/>
      <c r="BE87" s="23"/>
      <c r="BF87" s="23"/>
      <c r="BG87" s="23"/>
      <c r="BH87" s="23"/>
      <c r="BI87" s="19">
        <v>84</v>
      </c>
      <c r="BJ87" s="20" t="s">
        <v>49</v>
      </c>
      <c r="BK87" s="21">
        <v>19</v>
      </c>
      <c r="BL87" s="21">
        <f t="shared" si="26"/>
        <v>3553.9568421052627</v>
      </c>
      <c r="BM87" s="21">
        <v>67525.179999999993</v>
      </c>
      <c r="BN87" s="29">
        <f>BK87/$BK$3</f>
        <v>1.8638780435166474E-4</v>
      </c>
      <c r="BO87" s="29">
        <f>BM87/$BM$3</f>
        <v>1.8414751109279947E-4</v>
      </c>
    </row>
    <row r="88" spans="1:67" x14ac:dyDescent="0.3">
      <c r="A88" s="19"/>
      <c r="B88" s="20"/>
      <c r="C88" s="21"/>
      <c r="D88" s="21"/>
      <c r="E88" s="21"/>
      <c r="F88" s="19"/>
      <c r="G88" s="20"/>
      <c r="H88" s="20"/>
      <c r="I88" s="21"/>
      <c r="J88" s="20"/>
      <c r="K88" s="19"/>
      <c r="L88" s="20"/>
      <c r="M88" s="20"/>
      <c r="N88" s="21"/>
      <c r="O88" s="20"/>
      <c r="P88" s="19"/>
      <c r="Q88" s="20"/>
      <c r="R88" s="20"/>
      <c r="S88" s="20"/>
      <c r="T88" s="20"/>
      <c r="U88" s="19"/>
      <c r="V88" s="20"/>
      <c r="W88" s="20"/>
      <c r="X88" s="20"/>
      <c r="Y88" s="20"/>
      <c r="Z88" s="19"/>
      <c r="AA88" s="20"/>
      <c r="AB88" s="20"/>
      <c r="AC88" s="20"/>
      <c r="AD88" s="20"/>
      <c r="AE88" s="19"/>
      <c r="AF88" s="20"/>
      <c r="AG88" s="20"/>
      <c r="AH88" s="20"/>
      <c r="AI88" s="20"/>
      <c r="AJ88" s="19"/>
      <c r="AK88" s="20"/>
      <c r="AL88" s="20"/>
      <c r="AM88" s="20"/>
      <c r="AN88" s="20"/>
      <c r="AO88" s="19"/>
      <c r="AP88" s="20"/>
      <c r="AQ88" s="20"/>
      <c r="AR88" s="20"/>
      <c r="AS88" s="20"/>
      <c r="AT88" s="19"/>
      <c r="AU88" s="20"/>
      <c r="AV88" s="20"/>
      <c r="AW88" s="20"/>
      <c r="AX88" s="20"/>
      <c r="AY88" s="19">
        <v>85</v>
      </c>
      <c r="AZ88" s="20" t="s">
        <v>85</v>
      </c>
      <c r="BA88" s="20">
        <v>2</v>
      </c>
      <c r="BB88" s="20">
        <f t="shared" si="20"/>
        <v>3635.1750000000002</v>
      </c>
      <c r="BC88" s="20">
        <v>7270.35</v>
      </c>
      <c r="BD88" s="22"/>
      <c r="BE88" s="23"/>
      <c r="BF88" s="23"/>
      <c r="BG88" s="23"/>
      <c r="BH88" s="23"/>
      <c r="BI88" s="19">
        <v>85</v>
      </c>
      <c r="BJ88" s="20" t="s">
        <v>105</v>
      </c>
      <c r="BK88" s="21">
        <v>18</v>
      </c>
      <c r="BL88" s="21">
        <f t="shared" si="26"/>
        <v>4678.0744444444445</v>
      </c>
      <c r="BM88" s="21">
        <v>84205.34</v>
      </c>
      <c r="BN88" s="29">
        <f>BK88/$BK$3</f>
        <v>1.7657791991210344E-4</v>
      </c>
      <c r="BO88" s="29">
        <f>BM88/$BM$3</f>
        <v>2.2963587482066619E-4</v>
      </c>
    </row>
    <row r="89" spans="1:67" x14ac:dyDescent="0.3">
      <c r="A89" s="19"/>
      <c r="B89" s="20"/>
      <c r="C89" s="21"/>
      <c r="D89" s="21"/>
      <c r="E89" s="21"/>
      <c r="F89" s="19"/>
      <c r="G89" s="20"/>
      <c r="H89" s="20"/>
      <c r="I89" s="20"/>
      <c r="J89" s="20"/>
      <c r="K89" s="19"/>
      <c r="L89" s="20"/>
      <c r="M89" s="20"/>
      <c r="N89" s="20"/>
      <c r="O89" s="20"/>
      <c r="P89" s="19"/>
      <c r="Q89" s="20"/>
      <c r="R89" s="20"/>
      <c r="S89" s="20"/>
      <c r="T89" s="20"/>
      <c r="U89" s="19"/>
      <c r="V89" s="20"/>
      <c r="W89" s="20"/>
      <c r="X89" s="20"/>
      <c r="Y89" s="20"/>
      <c r="Z89" s="19"/>
      <c r="AA89" s="20"/>
      <c r="AB89" s="20"/>
      <c r="AC89" s="20"/>
      <c r="AD89" s="20"/>
      <c r="AE89" s="19"/>
      <c r="AF89" s="20"/>
      <c r="AG89" s="20"/>
      <c r="AH89" s="20"/>
      <c r="AI89" s="20"/>
      <c r="AJ89" s="19"/>
      <c r="AK89" s="20"/>
      <c r="AL89" s="20"/>
      <c r="AM89" s="20"/>
      <c r="AN89" s="20"/>
      <c r="AO89" s="19"/>
      <c r="AP89" s="20"/>
      <c r="AQ89" s="20"/>
      <c r="AR89" s="20"/>
      <c r="AS89" s="20"/>
      <c r="AT89" s="19"/>
      <c r="AU89" s="20"/>
      <c r="AV89" s="20"/>
      <c r="AW89" s="20"/>
      <c r="AX89" s="20"/>
      <c r="AY89" s="19">
        <v>86</v>
      </c>
      <c r="AZ89" s="20" t="s">
        <v>68</v>
      </c>
      <c r="BA89" s="20">
        <v>2</v>
      </c>
      <c r="BB89" s="20">
        <f t="shared" si="20"/>
        <v>10625</v>
      </c>
      <c r="BC89" s="20">
        <v>21250</v>
      </c>
      <c r="BD89" s="22"/>
      <c r="BE89" s="23"/>
      <c r="BF89" s="23"/>
      <c r="BG89" s="23"/>
      <c r="BH89" s="23"/>
      <c r="BI89" s="19">
        <v>86</v>
      </c>
      <c r="BJ89" s="20" t="s">
        <v>72</v>
      </c>
      <c r="BK89" s="21">
        <v>18</v>
      </c>
      <c r="BL89" s="21">
        <f t="shared" si="26"/>
        <v>4602.7733333333335</v>
      </c>
      <c r="BM89" s="21">
        <v>82849.919999999998</v>
      </c>
      <c r="BN89" s="29">
        <f>BK89/$BK$3</f>
        <v>1.7657791991210344E-4</v>
      </c>
      <c r="BO89" s="29">
        <f>BM89/$BM$3</f>
        <v>2.25939517114024E-4</v>
      </c>
    </row>
    <row r="90" spans="1:67" x14ac:dyDescent="0.3">
      <c r="A90" s="19"/>
      <c r="B90" s="20"/>
      <c r="C90" s="21"/>
      <c r="D90" s="21"/>
      <c r="E90" s="21"/>
      <c r="F90" s="19"/>
      <c r="G90" s="20"/>
      <c r="H90" s="20"/>
      <c r="I90" s="20"/>
      <c r="J90" s="20"/>
      <c r="K90" s="19"/>
      <c r="L90" s="20"/>
      <c r="M90" s="20"/>
      <c r="N90" s="20"/>
      <c r="O90" s="20"/>
      <c r="P90" s="19"/>
      <c r="Q90" s="20"/>
      <c r="R90" s="20"/>
      <c r="S90" s="20"/>
      <c r="T90" s="20"/>
      <c r="U90" s="19"/>
      <c r="V90" s="20"/>
      <c r="W90" s="20"/>
      <c r="X90" s="20"/>
      <c r="Y90" s="20"/>
      <c r="Z90" s="19"/>
      <c r="AA90" s="20"/>
      <c r="AB90" s="20"/>
      <c r="AC90" s="20"/>
      <c r="AD90" s="20"/>
      <c r="AE90" s="19"/>
      <c r="AF90" s="20"/>
      <c r="AG90" s="20"/>
      <c r="AH90" s="20"/>
      <c r="AI90" s="20"/>
      <c r="AJ90" s="19"/>
      <c r="AK90" s="20"/>
      <c r="AL90" s="20"/>
      <c r="AM90" s="20"/>
      <c r="AN90" s="20"/>
      <c r="AO90" s="19"/>
      <c r="AP90" s="20"/>
      <c r="AQ90" s="20"/>
      <c r="AR90" s="20"/>
      <c r="AS90" s="20"/>
      <c r="AT90" s="19"/>
      <c r="AU90" s="20"/>
      <c r="AV90" s="20"/>
      <c r="AW90" s="20"/>
      <c r="AX90" s="20"/>
      <c r="AY90" s="19">
        <v>87</v>
      </c>
      <c r="AZ90" s="20" t="s">
        <v>140</v>
      </c>
      <c r="BA90" s="20">
        <v>2</v>
      </c>
      <c r="BB90" s="20">
        <f t="shared" si="20"/>
        <v>3143.59</v>
      </c>
      <c r="BC90" s="20">
        <v>6287.18</v>
      </c>
      <c r="BD90" s="22"/>
      <c r="BE90" s="23"/>
      <c r="BF90" s="23"/>
      <c r="BG90" s="23"/>
      <c r="BH90" s="23"/>
      <c r="BI90" s="19">
        <v>87</v>
      </c>
      <c r="BJ90" s="20" t="s">
        <v>118</v>
      </c>
      <c r="BK90" s="21">
        <v>18</v>
      </c>
      <c r="BL90" s="21">
        <f t="shared" si="26"/>
        <v>3795.9011111111113</v>
      </c>
      <c r="BM90" s="21">
        <v>68326.22</v>
      </c>
      <c r="BN90" s="29">
        <f>BK90/$BK$3</f>
        <v>1.7657791991210344E-4</v>
      </c>
      <c r="BO90" s="29">
        <f>BM90/$BM$3</f>
        <v>1.8633202244524279E-4</v>
      </c>
    </row>
    <row r="91" spans="1:67" x14ac:dyDescent="0.3">
      <c r="A91" s="19"/>
      <c r="B91" s="20"/>
      <c r="C91" s="21"/>
      <c r="D91" s="21"/>
      <c r="E91" s="21"/>
      <c r="F91" s="19"/>
      <c r="G91" s="20"/>
      <c r="H91" s="20"/>
      <c r="I91" s="20"/>
      <c r="J91" s="20"/>
      <c r="K91" s="19"/>
      <c r="L91" s="20"/>
      <c r="M91" s="20"/>
      <c r="N91" s="20"/>
      <c r="O91" s="20"/>
      <c r="P91" s="19"/>
      <c r="Q91" s="20"/>
      <c r="R91" s="20"/>
      <c r="S91" s="20"/>
      <c r="T91" s="20"/>
      <c r="U91" s="19"/>
      <c r="V91" s="20"/>
      <c r="W91" s="20"/>
      <c r="X91" s="20"/>
      <c r="Y91" s="20"/>
      <c r="Z91" s="19"/>
      <c r="AA91" s="20"/>
      <c r="AB91" s="20"/>
      <c r="AC91" s="20"/>
      <c r="AD91" s="20"/>
      <c r="AE91" s="19"/>
      <c r="AF91" s="20"/>
      <c r="AG91" s="20"/>
      <c r="AH91" s="20"/>
      <c r="AI91" s="20"/>
      <c r="AJ91" s="19"/>
      <c r="AK91" s="20"/>
      <c r="AL91" s="20"/>
      <c r="AM91" s="20"/>
      <c r="AN91" s="20"/>
      <c r="AO91" s="19"/>
      <c r="AP91" s="20"/>
      <c r="AQ91" s="20"/>
      <c r="AR91" s="20"/>
      <c r="AS91" s="20"/>
      <c r="AT91" s="19"/>
      <c r="AU91" s="20"/>
      <c r="AV91" s="20"/>
      <c r="AW91" s="20"/>
      <c r="AX91" s="20"/>
      <c r="AY91" s="19">
        <v>88</v>
      </c>
      <c r="AZ91" s="20" t="s">
        <v>75</v>
      </c>
      <c r="BA91" s="20">
        <v>2</v>
      </c>
      <c r="BB91" s="20">
        <f t="shared" si="20"/>
        <v>2973.66</v>
      </c>
      <c r="BC91" s="20">
        <v>5947.32</v>
      </c>
      <c r="BD91" s="22"/>
      <c r="BE91" s="23"/>
      <c r="BF91" s="23"/>
      <c r="BG91" s="23"/>
      <c r="BH91" s="23"/>
      <c r="BI91" s="19">
        <v>88</v>
      </c>
      <c r="BJ91" s="20" t="s">
        <v>36</v>
      </c>
      <c r="BK91" s="21">
        <v>17</v>
      </c>
      <c r="BL91" s="21">
        <f t="shared" si="26"/>
        <v>2905.1788235294116</v>
      </c>
      <c r="BM91" s="21">
        <v>49388.04</v>
      </c>
      <c r="BN91" s="29">
        <f>BK91/$BK$3</f>
        <v>1.6676803547254214E-4</v>
      </c>
      <c r="BO91" s="29">
        <f>BM91/$BM$3</f>
        <v>1.3468582599486038E-4</v>
      </c>
    </row>
    <row r="92" spans="1:67" x14ac:dyDescent="0.3">
      <c r="A92" s="19"/>
      <c r="B92" s="20"/>
      <c r="C92" s="21"/>
      <c r="D92" s="21"/>
      <c r="E92" s="21"/>
      <c r="F92" s="19"/>
      <c r="G92" s="20"/>
      <c r="H92" s="20"/>
      <c r="I92" s="20"/>
      <c r="J92" s="20"/>
      <c r="K92" s="19"/>
      <c r="L92" s="20"/>
      <c r="M92" s="20"/>
      <c r="N92" s="20"/>
      <c r="O92" s="20"/>
      <c r="P92" s="19"/>
      <c r="Q92" s="20"/>
      <c r="R92" s="20"/>
      <c r="S92" s="20"/>
      <c r="T92" s="20"/>
      <c r="U92" s="19"/>
      <c r="V92" s="20"/>
      <c r="W92" s="20"/>
      <c r="X92" s="20"/>
      <c r="Y92" s="20"/>
      <c r="Z92" s="19"/>
      <c r="AA92" s="20"/>
      <c r="AB92" s="20"/>
      <c r="AC92" s="20"/>
      <c r="AD92" s="20"/>
      <c r="AE92" s="19"/>
      <c r="AF92" s="20"/>
      <c r="AG92" s="20"/>
      <c r="AH92" s="20"/>
      <c r="AI92" s="20"/>
      <c r="AJ92" s="19"/>
      <c r="AK92" s="20"/>
      <c r="AL92" s="20"/>
      <c r="AM92" s="20"/>
      <c r="AN92" s="20"/>
      <c r="AO92" s="19"/>
      <c r="AP92" s="20"/>
      <c r="AQ92" s="20"/>
      <c r="AR92" s="20"/>
      <c r="AS92" s="20"/>
      <c r="AT92" s="19"/>
      <c r="AU92" s="20"/>
      <c r="AV92" s="20"/>
      <c r="AW92" s="20"/>
      <c r="AX92" s="20"/>
      <c r="AY92" s="19">
        <v>89</v>
      </c>
      <c r="AZ92" s="20" t="s">
        <v>34</v>
      </c>
      <c r="BA92" s="20">
        <v>2</v>
      </c>
      <c r="BB92" s="20">
        <f t="shared" si="20"/>
        <v>3568.39</v>
      </c>
      <c r="BC92" s="20">
        <v>7136.78</v>
      </c>
      <c r="BD92" s="22"/>
      <c r="BE92" s="23"/>
      <c r="BF92" s="23"/>
      <c r="BG92" s="23"/>
      <c r="BH92" s="23"/>
      <c r="BI92" s="19">
        <v>89</v>
      </c>
      <c r="BJ92" s="20" t="s">
        <v>73</v>
      </c>
      <c r="BK92" s="21">
        <v>16</v>
      </c>
      <c r="BL92" s="21">
        <f t="shared" si="26"/>
        <v>4127.65625</v>
      </c>
      <c r="BM92" s="21">
        <v>66042.5</v>
      </c>
      <c r="BN92" s="29">
        <f>BK92/$BK$3</f>
        <v>1.5695815103298084E-4</v>
      </c>
      <c r="BO92" s="29">
        <f>BM92/$BM$3</f>
        <v>1.8010410340773932E-4</v>
      </c>
    </row>
    <row r="93" spans="1:67" x14ac:dyDescent="0.3">
      <c r="A93" s="19"/>
      <c r="B93" s="20"/>
      <c r="C93" s="20"/>
      <c r="D93" s="20"/>
      <c r="E93" s="21"/>
      <c r="F93" s="19"/>
      <c r="G93" s="20"/>
      <c r="H93" s="20"/>
      <c r="I93" s="20"/>
      <c r="J93" s="20"/>
      <c r="K93" s="19"/>
      <c r="L93" s="20"/>
      <c r="M93" s="20"/>
      <c r="N93" s="20"/>
      <c r="O93" s="20"/>
      <c r="P93" s="19"/>
      <c r="Q93" s="20"/>
      <c r="R93" s="20"/>
      <c r="S93" s="20"/>
      <c r="T93" s="20"/>
      <c r="U93" s="19"/>
      <c r="V93" s="20"/>
      <c r="W93" s="20"/>
      <c r="X93" s="20"/>
      <c r="Y93" s="20"/>
      <c r="Z93" s="19"/>
      <c r="AA93" s="20"/>
      <c r="AB93" s="20"/>
      <c r="AC93" s="20"/>
      <c r="AD93" s="20"/>
      <c r="AE93" s="19"/>
      <c r="AF93" s="20"/>
      <c r="AG93" s="20"/>
      <c r="AH93" s="20"/>
      <c r="AI93" s="20"/>
      <c r="AJ93" s="19"/>
      <c r="AK93" s="20"/>
      <c r="AL93" s="20"/>
      <c r="AM93" s="20"/>
      <c r="AN93" s="20"/>
      <c r="AO93" s="19"/>
      <c r="AP93" s="20"/>
      <c r="AQ93" s="20"/>
      <c r="AR93" s="20"/>
      <c r="AS93" s="20"/>
      <c r="AT93" s="19"/>
      <c r="AU93" s="20"/>
      <c r="AV93" s="20"/>
      <c r="AW93" s="20"/>
      <c r="AX93" s="20"/>
      <c r="AY93" s="19">
        <v>90</v>
      </c>
      <c r="AZ93" s="20" t="s">
        <v>141</v>
      </c>
      <c r="BA93" s="20">
        <v>2</v>
      </c>
      <c r="BB93" s="20">
        <f t="shared" si="20"/>
        <v>4698.05</v>
      </c>
      <c r="BC93" s="20">
        <v>9396.1</v>
      </c>
      <c r="BD93" s="22"/>
      <c r="BE93" s="23"/>
      <c r="BF93" s="23"/>
      <c r="BG93" s="23"/>
      <c r="BH93" s="23"/>
      <c r="BI93" s="19">
        <v>90</v>
      </c>
      <c r="BJ93" s="20" t="s">
        <v>103</v>
      </c>
      <c r="BK93" s="21">
        <v>15</v>
      </c>
      <c r="BL93" s="21">
        <f t="shared" si="26"/>
        <v>3757.6953333333336</v>
      </c>
      <c r="BM93" s="21">
        <v>56365.43</v>
      </c>
      <c r="BN93" s="29">
        <f>BK93/$BK$3</f>
        <v>1.4714826659341954E-4</v>
      </c>
      <c r="BO93" s="29">
        <f>BM93/$BM$3</f>
        <v>1.5371382417900129E-4</v>
      </c>
    </row>
    <row r="94" spans="1:67" x14ac:dyDescent="0.3">
      <c r="A94" s="19"/>
      <c r="B94" s="20"/>
      <c r="C94" s="20"/>
      <c r="D94" s="20"/>
      <c r="E94" s="21"/>
      <c r="F94" s="19"/>
      <c r="G94" s="20"/>
      <c r="H94" s="20"/>
      <c r="I94" s="20"/>
      <c r="J94" s="20"/>
      <c r="K94" s="19"/>
      <c r="L94" s="20"/>
      <c r="M94" s="20"/>
      <c r="N94" s="20"/>
      <c r="O94" s="20"/>
      <c r="P94" s="19"/>
      <c r="Q94" s="20"/>
      <c r="R94" s="20"/>
      <c r="S94" s="20"/>
      <c r="T94" s="20"/>
      <c r="U94" s="19"/>
      <c r="V94" s="20"/>
      <c r="W94" s="20"/>
      <c r="X94" s="20"/>
      <c r="Y94" s="20"/>
      <c r="Z94" s="19"/>
      <c r="AA94" s="20"/>
      <c r="AB94" s="20"/>
      <c r="AC94" s="20"/>
      <c r="AD94" s="20"/>
      <c r="AE94" s="19"/>
      <c r="AF94" s="20"/>
      <c r="AG94" s="20"/>
      <c r="AH94" s="20"/>
      <c r="AI94" s="20"/>
      <c r="AJ94" s="19"/>
      <c r="AK94" s="20"/>
      <c r="AL94" s="20"/>
      <c r="AM94" s="20"/>
      <c r="AN94" s="20"/>
      <c r="AO94" s="19"/>
      <c r="AP94" s="20"/>
      <c r="AQ94" s="20"/>
      <c r="AR94" s="20"/>
      <c r="AS94" s="20"/>
      <c r="AT94" s="19"/>
      <c r="AU94" s="20"/>
      <c r="AV94" s="20"/>
      <c r="AW94" s="20"/>
      <c r="AX94" s="20"/>
      <c r="AY94" s="19">
        <v>91</v>
      </c>
      <c r="AZ94" s="20" t="s">
        <v>130</v>
      </c>
      <c r="BA94" s="20">
        <v>1</v>
      </c>
      <c r="BB94" s="20">
        <f t="shared" si="20"/>
        <v>4970</v>
      </c>
      <c r="BC94" s="20">
        <v>4970</v>
      </c>
      <c r="BD94" s="22"/>
      <c r="BE94" s="23"/>
      <c r="BF94" s="23"/>
      <c r="BG94" s="23"/>
      <c r="BH94" s="23"/>
      <c r="BI94" s="19">
        <v>91</v>
      </c>
      <c r="BJ94" s="20" t="s">
        <v>106</v>
      </c>
      <c r="BK94" s="21">
        <v>14</v>
      </c>
      <c r="BL94" s="21">
        <f t="shared" si="26"/>
        <v>8729.3178571428562</v>
      </c>
      <c r="BM94" s="21">
        <v>122210.45</v>
      </c>
      <c r="BN94" s="29">
        <f>BK94/$BK$3</f>
        <v>1.3733838215385823E-4</v>
      </c>
      <c r="BO94" s="29">
        <f>BM94/$BM$3</f>
        <v>3.3327938106986194E-4</v>
      </c>
    </row>
    <row r="95" spans="1:67" x14ac:dyDescent="0.3">
      <c r="A95" s="19"/>
      <c r="B95" s="20"/>
      <c r="C95" s="20"/>
      <c r="D95" s="20"/>
      <c r="E95" s="21"/>
      <c r="F95" s="19"/>
      <c r="G95" s="20"/>
      <c r="H95" s="20"/>
      <c r="I95" s="20"/>
      <c r="J95" s="20"/>
      <c r="K95" s="19"/>
      <c r="L95" s="20"/>
      <c r="M95" s="20"/>
      <c r="N95" s="20"/>
      <c r="O95" s="20"/>
      <c r="P95" s="19"/>
      <c r="Q95" s="20"/>
      <c r="R95" s="20"/>
      <c r="S95" s="20"/>
      <c r="T95" s="20"/>
      <c r="U95" s="19"/>
      <c r="V95" s="20"/>
      <c r="W95" s="20"/>
      <c r="X95" s="20"/>
      <c r="Y95" s="20"/>
      <c r="Z95" s="19"/>
      <c r="AA95" s="20"/>
      <c r="AB95" s="20"/>
      <c r="AC95" s="20"/>
      <c r="AD95" s="20"/>
      <c r="AE95" s="19"/>
      <c r="AF95" s="20"/>
      <c r="AG95" s="20"/>
      <c r="AH95" s="20"/>
      <c r="AI95" s="20"/>
      <c r="AJ95" s="19"/>
      <c r="AK95" s="20"/>
      <c r="AL95" s="20"/>
      <c r="AM95" s="20"/>
      <c r="AN95" s="20"/>
      <c r="AO95" s="19"/>
      <c r="AP95" s="20"/>
      <c r="AQ95" s="20"/>
      <c r="AR95" s="20"/>
      <c r="AS95" s="20"/>
      <c r="AT95" s="19"/>
      <c r="AU95" s="20"/>
      <c r="AV95" s="20"/>
      <c r="AW95" s="20"/>
      <c r="AX95" s="20"/>
      <c r="AY95" s="19">
        <v>92</v>
      </c>
      <c r="AZ95" s="20" t="s">
        <v>67</v>
      </c>
      <c r="BA95" s="20">
        <v>1</v>
      </c>
      <c r="BB95" s="20">
        <f t="shared" si="20"/>
        <v>3679.69</v>
      </c>
      <c r="BC95" s="20">
        <v>3679.69</v>
      </c>
      <c r="BD95" s="22"/>
      <c r="BE95" s="23"/>
      <c r="BF95" s="23"/>
      <c r="BG95" s="23"/>
      <c r="BH95" s="23"/>
      <c r="BI95" s="19">
        <v>92</v>
      </c>
      <c r="BJ95" s="20" t="s">
        <v>146</v>
      </c>
      <c r="BK95" s="21">
        <v>13</v>
      </c>
      <c r="BL95" s="21">
        <f t="shared" si="26"/>
        <v>4298.7984615384612</v>
      </c>
      <c r="BM95" s="21">
        <v>55884.38</v>
      </c>
      <c r="BN95" s="29">
        <f>BK95/$BK$3</f>
        <v>1.2752849771429693E-4</v>
      </c>
      <c r="BO95" s="29">
        <f>BM95/$BM$3</f>
        <v>1.5240195562550476E-4</v>
      </c>
    </row>
    <row r="96" spans="1:67" x14ac:dyDescent="0.3">
      <c r="A96" s="19"/>
      <c r="B96" s="20"/>
      <c r="C96" s="20"/>
      <c r="D96" s="20"/>
      <c r="E96" s="20"/>
      <c r="F96" s="19"/>
      <c r="G96" s="20"/>
      <c r="H96" s="20"/>
      <c r="I96" s="20"/>
      <c r="J96" s="20"/>
      <c r="K96" s="19"/>
      <c r="L96" s="20"/>
      <c r="M96" s="20"/>
      <c r="N96" s="20"/>
      <c r="O96" s="20"/>
      <c r="P96" s="19"/>
      <c r="Q96" s="20"/>
      <c r="R96" s="20"/>
      <c r="S96" s="20"/>
      <c r="T96" s="20"/>
      <c r="U96" s="19"/>
      <c r="V96" s="20"/>
      <c r="W96" s="20"/>
      <c r="X96" s="20"/>
      <c r="Y96" s="20"/>
      <c r="Z96" s="19"/>
      <c r="AA96" s="20"/>
      <c r="AB96" s="20"/>
      <c r="AC96" s="20"/>
      <c r="AD96" s="20"/>
      <c r="AE96" s="19"/>
      <c r="AF96" s="20"/>
      <c r="AG96" s="20"/>
      <c r="AH96" s="20"/>
      <c r="AI96" s="20"/>
      <c r="AJ96" s="19"/>
      <c r="AK96" s="20"/>
      <c r="AL96" s="20"/>
      <c r="AM96" s="20"/>
      <c r="AN96" s="20"/>
      <c r="AO96" s="19"/>
      <c r="AP96" s="20"/>
      <c r="AQ96" s="20"/>
      <c r="AR96" s="20"/>
      <c r="AS96" s="20"/>
      <c r="AT96" s="19"/>
      <c r="AU96" s="20"/>
      <c r="AV96" s="20"/>
      <c r="AW96" s="20"/>
      <c r="AX96" s="20"/>
      <c r="AY96" s="19">
        <v>93</v>
      </c>
      <c r="AZ96" s="20" t="s">
        <v>72</v>
      </c>
      <c r="BA96" s="20">
        <v>1</v>
      </c>
      <c r="BB96" s="20">
        <f t="shared" si="20"/>
        <v>3311.73</v>
      </c>
      <c r="BC96" s="20">
        <v>3311.73</v>
      </c>
      <c r="BD96" s="22"/>
      <c r="BE96" s="23"/>
      <c r="BF96" s="23"/>
      <c r="BG96" s="23"/>
      <c r="BH96" s="23"/>
      <c r="BI96" s="19">
        <v>93</v>
      </c>
      <c r="BJ96" s="20" t="s">
        <v>87</v>
      </c>
      <c r="BK96" s="21">
        <v>11</v>
      </c>
      <c r="BL96" s="21">
        <f t="shared" si="26"/>
        <v>3893.8309090909092</v>
      </c>
      <c r="BM96" s="21">
        <v>42832.14</v>
      </c>
      <c r="BN96" s="29">
        <f>BK96/$BK$3</f>
        <v>1.0790872883517433E-4</v>
      </c>
      <c r="BO96" s="29">
        <f>BM96/$BM$3</f>
        <v>1.1680727064745834E-4</v>
      </c>
    </row>
    <row r="97" spans="1:67" x14ac:dyDescent="0.3">
      <c r="A97" s="19"/>
      <c r="B97" s="20"/>
      <c r="C97" s="20"/>
      <c r="D97" s="20"/>
      <c r="E97" s="20"/>
      <c r="F97" s="19"/>
      <c r="G97" s="20"/>
      <c r="H97" s="20"/>
      <c r="I97" s="20"/>
      <c r="J97" s="20"/>
      <c r="K97" s="19"/>
      <c r="L97" s="20"/>
      <c r="M97" s="20"/>
      <c r="N97" s="20"/>
      <c r="O97" s="20"/>
      <c r="P97" s="19"/>
      <c r="Q97" s="20"/>
      <c r="R97" s="20"/>
      <c r="S97" s="20"/>
      <c r="T97" s="20"/>
      <c r="U97" s="19"/>
      <c r="V97" s="20"/>
      <c r="W97" s="20"/>
      <c r="X97" s="20"/>
      <c r="Y97" s="20"/>
      <c r="Z97" s="19"/>
      <c r="AA97" s="20"/>
      <c r="AB97" s="20"/>
      <c r="AC97" s="20"/>
      <c r="AD97" s="20"/>
      <c r="AE97" s="19"/>
      <c r="AF97" s="20"/>
      <c r="AG97" s="20"/>
      <c r="AH97" s="20"/>
      <c r="AI97" s="20"/>
      <c r="AJ97" s="19"/>
      <c r="AK97" s="20"/>
      <c r="AL97" s="20"/>
      <c r="AM97" s="20"/>
      <c r="AN97" s="20"/>
      <c r="AO97" s="19"/>
      <c r="AP97" s="20"/>
      <c r="AQ97" s="20"/>
      <c r="AR97" s="20"/>
      <c r="AS97" s="20"/>
      <c r="AT97" s="19"/>
      <c r="AU97" s="20"/>
      <c r="AV97" s="20"/>
      <c r="AW97" s="20"/>
      <c r="AX97" s="20"/>
      <c r="AY97" s="19">
        <v>94</v>
      </c>
      <c r="AZ97" s="20" t="s">
        <v>95</v>
      </c>
      <c r="BA97" s="20">
        <v>1</v>
      </c>
      <c r="BB97" s="20">
        <f t="shared" si="20"/>
        <v>3869.93</v>
      </c>
      <c r="BC97" s="20">
        <v>3869.93</v>
      </c>
      <c r="BD97" s="22"/>
      <c r="BE97" s="23"/>
      <c r="BF97" s="23"/>
      <c r="BG97" s="23"/>
      <c r="BH97" s="23"/>
      <c r="BI97" s="19">
        <v>94</v>
      </c>
      <c r="BJ97" s="20" t="s">
        <v>120</v>
      </c>
      <c r="BK97" s="21">
        <v>11</v>
      </c>
      <c r="BL97" s="21">
        <f t="shared" si="26"/>
        <v>4180.4854545454546</v>
      </c>
      <c r="BM97" s="21">
        <v>45985.34</v>
      </c>
      <c r="BN97" s="29">
        <f>BK97/$BK$3</f>
        <v>1.0790872883517433E-4</v>
      </c>
      <c r="BO97" s="29">
        <f>BM97/$BM$3</f>
        <v>1.2540634334860204E-4</v>
      </c>
    </row>
    <row r="98" spans="1:67" x14ac:dyDescent="0.3">
      <c r="A98" s="19"/>
      <c r="B98" s="20"/>
      <c r="C98" s="20"/>
      <c r="D98" s="20"/>
      <c r="E98" s="20"/>
      <c r="F98" s="19"/>
      <c r="G98" s="20"/>
      <c r="H98" s="20"/>
      <c r="I98" s="20"/>
      <c r="J98" s="20"/>
      <c r="K98" s="19"/>
      <c r="L98" s="20"/>
      <c r="M98" s="20"/>
      <c r="N98" s="20"/>
      <c r="O98" s="20"/>
      <c r="P98" s="19"/>
      <c r="Q98" s="20"/>
      <c r="R98" s="20"/>
      <c r="S98" s="20"/>
      <c r="T98" s="20"/>
      <c r="U98" s="19"/>
      <c r="V98" s="20"/>
      <c r="W98" s="20"/>
      <c r="X98" s="20"/>
      <c r="Y98" s="20"/>
      <c r="Z98" s="19"/>
      <c r="AA98" s="20"/>
      <c r="AB98" s="20"/>
      <c r="AC98" s="20"/>
      <c r="AD98" s="20"/>
      <c r="AE98" s="19"/>
      <c r="AF98" s="20"/>
      <c r="AG98" s="20"/>
      <c r="AH98" s="20"/>
      <c r="AI98" s="20"/>
      <c r="AJ98" s="19"/>
      <c r="AK98" s="20"/>
      <c r="AL98" s="20"/>
      <c r="AM98" s="20"/>
      <c r="AN98" s="20"/>
      <c r="AO98" s="19"/>
      <c r="AP98" s="20"/>
      <c r="AQ98" s="20"/>
      <c r="AR98" s="20"/>
      <c r="AS98" s="20"/>
      <c r="AT98" s="19"/>
      <c r="AU98" s="20"/>
      <c r="AV98" s="20"/>
      <c r="AW98" s="20"/>
      <c r="AX98" s="20"/>
      <c r="AY98" s="19"/>
      <c r="AZ98" s="20"/>
      <c r="BA98" s="20"/>
      <c r="BB98" s="20"/>
      <c r="BC98" s="20"/>
      <c r="BD98" s="22"/>
      <c r="BE98" s="23"/>
      <c r="BF98" s="23"/>
      <c r="BG98" s="23"/>
      <c r="BH98" s="23"/>
      <c r="BI98" s="19">
        <v>95</v>
      </c>
      <c r="BJ98" s="20" t="s">
        <v>83</v>
      </c>
      <c r="BK98" s="21">
        <v>11</v>
      </c>
      <c r="BL98" s="21">
        <f t="shared" si="26"/>
        <v>3340.1227272727269</v>
      </c>
      <c r="BM98" s="21">
        <v>36741.35</v>
      </c>
      <c r="BN98" s="29">
        <f>BK98/$BK$3</f>
        <v>1.0790872883517433E-4</v>
      </c>
      <c r="BO98" s="29">
        <f>BM98/$BM$3</f>
        <v>1.001971139756966E-4</v>
      </c>
    </row>
    <row r="99" spans="1:67" x14ac:dyDescent="0.3">
      <c r="A99" s="19"/>
      <c r="B99" s="20"/>
      <c r="C99" s="20"/>
      <c r="D99" s="20"/>
      <c r="E99" s="20"/>
      <c r="F99" s="19"/>
      <c r="G99" s="20"/>
      <c r="H99" s="20"/>
      <c r="I99" s="20"/>
      <c r="J99" s="20"/>
      <c r="K99" s="19"/>
      <c r="L99" s="20"/>
      <c r="M99" s="20"/>
      <c r="N99" s="20"/>
      <c r="O99" s="20"/>
      <c r="P99" s="19"/>
      <c r="Q99" s="20"/>
      <c r="R99" s="20"/>
      <c r="S99" s="20"/>
      <c r="T99" s="20"/>
      <c r="U99" s="19"/>
      <c r="V99" s="20"/>
      <c r="W99" s="20"/>
      <c r="X99" s="20"/>
      <c r="Y99" s="20"/>
      <c r="Z99" s="19"/>
      <c r="AA99" s="20"/>
      <c r="AB99" s="20"/>
      <c r="AC99" s="20"/>
      <c r="AD99" s="20"/>
      <c r="AE99" s="19"/>
      <c r="AF99" s="20"/>
      <c r="AG99" s="20"/>
      <c r="AH99" s="20"/>
      <c r="AI99" s="20"/>
      <c r="AJ99" s="19"/>
      <c r="AK99" s="20"/>
      <c r="AL99" s="20"/>
      <c r="AM99" s="20"/>
      <c r="AN99" s="20"/>
      <c r="AO99" s="19"/>
      <c r="AP99" s="20"/>
      <c r="AQ99" s="20"/>
      <c r="AR99" s="20"/>
      <c r="AS99" s="20"/>
      <c r="AT99" s="19"/>
      <c r="AU99" s="20"/>
      <c r="AV99" s="20"/>
      <c r="AW99" s="20"/>
      <c r="AX99" s="20"/>
      <c r="AY99" s="19"/>
      <c r="AZ99" s="20"/>
      <c r="BA99" s="20"/>
      <c r="BB99" s="20"/>
      <c r="BC99" s="20"/>
      <c r="BD99" s="22"/>
      <c r="BE99" s="23"/>
      <c r="BF99" s="23"/>
      <c r="BG99" s="23"/>
      <c r="BH99" s="23"/>
      <c r="BI99" s="19">
        <v>96</v>
      </c>
      <c r="BJ99" s="20" t="s">
        <v>79</v>
      </c>
      <c r="BK99" s="21">
        <v>10</v>
      </c>
      <c r="BL99" s="21">
        <f t="shared" si="26"/>
        <v>4012.846</v>
      </c>
      <c r="BM99" s="21">
        <v>40128.46</v>
      </c>
      <c r="BN99" s="29">
        <f>BK99/$BK$3</f>
        <v>9.8098844395613023E-5</v>
      </c>
      <c r="BO99" s="29">
        <f>BM99/$BM$3</f>
        <v>1.0943408122698763E-4</v>
      </c>
    </row>
    <row r="100" spans="1:67" x14ac:dyDescent="0.3">
      <c r="A100" s="19"/>
      <c r="B100" s="20"/>
      <c r="C100" s="20"/>
      <c r="D100" s="20"/>
      <c r="E100" s="20"/>
      <c r="F100" s="19"/>
      <c r="G100" s="20"/>
      <c r="H100" s="20"/>
      <c r="I100" s="20"/>
      <c r="J100" s="20"/>
      <c r="K100" s="19"/>
      <c r="L100" s="20"/>
      <c r="M100" s="20"/>
      <c r="N100" s="20"/>
      <c r="O100" s="20"/>
      <c r="P100" s="19"/>
      <c r="Q100" s="20"/>
      <c r="R100" s="20"/>
      <c r="S100" s="20"/>
      <c r="T100" s="20"/>
      <c r="U100" s="19"/>
      <c r="V100" s="20"/>
      <c r="W100" s="20"/>
      <c r="X100" s="20"/>
      <c r="Y100" s="20"/>
      <c r="Z100" s="19"/>
      <c r="AA100" s="20"/>
      <c r="AB100" s="20"/>
      <c r="AC100" s="20"/>
      <c r="AD100" s="20"/>
      <c r="AE100" s="19"/>
      <c r="AF100" s="20"/>
      <c r="AG100" s="20"/>
      <c r="AH100" s="20"/>
      <c r="AI100" s="20"/>
      <c r="AJ100" s="19"/>
      <c r="AK100" s="20"/>
      <c r="AL100" s="20"/>
      <c r="AM100" s="20"/>
      <c r="AN100" s="20"/>
      <c r="AO100" s="19"/>
      <c r="AP100" s="20"/>
      <c r="AQ100" s="20"/>
      <c r="AR100" s="20"/>
      <c r="AS100" s="20"/>
      <c r="AT100" s="19"/>
      <c r="AU100" s="20"/>
      <c r="AV100" s="20"/>
      <c r="AW100" s="20"/>
      <c r="AX100" s="20"/>
      <c r="AY100" s="19"/>
      <c r="AZ100" s="20"/>
      <c r="BA100" s="20"/>
      <c r="BB100" s="20"/>
      <c r="BC100" s="20"/>
      <c r="BD100" s="22"/>
      <c r="BE100" s="23"/>
      <c r="BF100" s="23"/>
      <c r="BG100" s="23"/>
      <c r="BH100" s="23"/>
      <c r="BI100" s="19">
        <v>97</v>
      </c>
      <c r="BJ100" s="20" t="s">
        <v>98</v>
      </c>
      <c r="BK100" s="21">
        <v>10</v>
      </c>
      <c r="BL100" s="21">
        <f t="shared" si="26"/>
        <v>4432.2460000000001</v>
      </c>
      <c r="BM100" s="21">
        <v>44322.46</v>
      </c>
      <c r="BN100" s="29">
        <f>BK100/$BK$3</f>
        <v>9.8098844395613023E-5</v>
      </c>
      <c r="BO100" s="29">
        <f>BM100/$BM$3</f>
        <v>1.2087151333043707E-4</v>
      </c>
    </row>
    <row r="101" spans="1:67" x14ac:dyDescent="0.3">
      <c r="A101" s="19"/>
      <c r="B101" s="20"/>
      <c r="C101" s="20"/>
      <c r="D101" s="20"/>
      <c r="E101" s="20"/>
      <c r="F101" s="19"/>
      <c r="G101" s="20"/>
      <c r="H101" s="20"/>
      <c r="I101" s="20"/>
      <c r="J101" s="20"/>
      <c r="K101" s="19"/>
      <c r="L101" s="20"/>
      <c r="M101" s="20"/>
      <c r="N101" s="20"/>
      <c r="O101" s="20"/>
      <c r="P101" s="19"/>
      <c r="Q101" s="20"/>
      <c r="R101" s="20"/>
      <c r="S101" s="20"/>
      <c r="T101" s="20"/>
      <c r="U101" s="19"/>
      <c r="V101" s="20"/>
      <c r="W101" s="20"/>
      <c r="X101" s="20"/>
      <c r="Y101" s="20"/>
      <c r="Z101" s="19"/>
      <c r="AA101" s="20"/>
      <c r="AB101" s="20"/>
      <c r="AC101" s="20"/>
      <c r="AD101" s="20"/>
      <c r="AE101" s="19"/>
      <c r="AF101" s="20"/>
      <c r="AG101" s="20"/>
      <c r="AH101" s="20"/>
      <c r="AI101" s="20"/>
      <c r="AJ101" s="19"/>
      <c r="AK101" s="20"/>
      <c r="AL101" s="20"/>
      <c r="AM101" s="20"/>
      <c r="AN101" s="20"/>
      <c r="AO101" s="19"/>
      <c r="AP101" s="20"/>
      <c r="AQ101" s="20"/>
      <c r="AR101" s="20"/>
      <c r="AS101" s="20"/>
      <c r="AT101" s="19"/>
      <c r="AU101" s="20"/>
      <c r="AV101" s="20"/>
      <c r="AW101" s="20"/>
      <c r="AX101" s="20"/>
      <c r="AY101" s="19"/>
      <c r="AZ101" s="20"/>
      <c r="BA101" s="20"/>
      <c r="BB101" s="20"/>
      <c r="BC101" s="20"/>
      <c r="BD101" s="22"/>
      <c r="BE101" s="23"/>
      <c r="BF101" s="23"/>
      <c r="BG101" s="23"/>
      <c r="BH101" s="23"/>
      <c r="BI101" s="19">
        <v>98</v>
      </c>
      <c r="BJ101" s="20" t="s">
        <v>143</v>
      </c>
      <c r="BK101" s="21">
        <v>10</v>
      </c>
      <c r="BL101" s="21">
        <f t="shared" si="26"/>
        <v>4169.7550000000001</v>
      </c>
      <c r="BM101" s="21">
        <v>41697.550000000003</v>
      </c>
      <c r="BN101" s="29">
        <f>BK101/$BK$3</f>
        <v>9.8098844395613023E-5</v>
      </c>
      <c r="BO101" s="29">
        <f>BM101/$BM$3</f>
        <v>1.1371313710185686E-4</v>
      </c>
    </row>
    <row r="102" spans="1:67" x14ac:dyDescent="0.3">
      <c r="A102" s="19"/>
      <c r="B102" s="20"/>
      <c r="C102" s="20"/>
      <c r="D102" s="20"/>
      <c r="E102" s="20"/>
      <c r="F102" s="19"/>
      <c r="G102" s="20"/>
      <c r="H102" s="20"/>
      <c r="I102" s="20"/>
      <c r="J102" s="20"/>
      <c r="K102" s="19"/>
      <c r="L102" s="20"/>
      <c r="M102" s="20"/>
      <c r="N102" s="20"/>
      <c r="O102" s="20"/>
      <c r="P102" s="19"/>
      <c r="Q102" s="20"/>
      <c r="R102" s="20"/>
      <c r="S102" s="20"/>
      <c r="T102" s="20"/>
      <c r="U102" s="19"/>
      <c r="V102" s="20"/>
      <c r="W102" s="20"/>
      <c r="X102" s="20"/>
      <c r="Y102" s="20"/>
      <c r="Z102" s="19"/>
      <c r="AA102" s="20"/>
      <c r="AB102" s="20"/>
      <c r="AC102" s="20"/>
      <c r="AD102" s="20"/>
      <c r="AE102" s="19"/>
      <c r="AF102" s="20"/>
      <c r="AG102" s="20"/>
      <c r="AH102" s="20"/>
      <c r="AI102" s="20"/>
      <c r="AJ102" s="19"/>
      <c r="AK102" s="20"/>
      <c r="AL102" s="20"/>
      <c r="AM102" s="20"/>
      <c r="AN102" s="20"/>
      <c r="AO102" s="19"/>
      <c r="AP102" s="20"/>
      <c r="AQ102" s="20"/>
      <c r="AR102" s="20"/>
      <c r="AS102" s="20"/>
      <c r="AT102" s="19"/>
      <c r="AU102" s="20"/>
      <c r="AV102" s="20"/>
      <c r="AW102" s="20"/>
      <c r="AX102" s="20"/>
      <c r="AY102" s="19"/>
      <c r="AZ102" s="20"/>
      <c r="BA102" s="20"/>
      <c r="BB102" s="20"/>
      <c r="BC102" s="20"/>
      <c r="BD102" s="22"/>
      <c r="BE102" s="23"/>
      <c r="BF102" s="23"/>
      <c r="BG102" s="23"/>
      <c r="BH102" s="23"/>
      <c r="BI102" s="19">
        <v>99</v>
      </c>
      <c r="BJ102" s="20" t="s">
        <v>136</v>
      </c>
      <c r="BK102" s="21">
        <v>10</v>
      </c>
      <c r="BL102" s="21">
        <f t="shared" si="26"/>
        <v>3559.1989999999996</v>
      </c>
      <c r="BM102" s="21">
        <v>35591.99</v>
      </c>
      <c r="BN102" s="29">
        <f>BK102/$BK$3</f>
        <v>9.8098844395613023E-5</v>
      </c>
      <c r="BO102" s="29">
        <f>BM102/$BM$3</f>
        <v>9.7062701252181906E-5</v>
      </c>
    </row>
    <row r="103" spans="1:67" x14ac:dyDescent="0.3">
      <c r="A103" s="19"/>
      <c r="B103" s="20"/>
      <c r="C103" s="20"/>
      <c r="D103" s="20"/>
      <c r="E103" s="20"/>
      <c r="F103" s="19"/>
      <c r="G103" s="20"/>
      <c r="H103" s="20"/>
      <c r="I103" s="20"/>
      <c r="J103" s="20"/>
      <c r="K103" s="19"/>
      <c r="L103" s="20"/>
      <c r="M103" s="20"/>
      <c r="N103" s="20"/>
      <c r="O103" s="20"/>
      <c r="P103" s="19"/>
      <c r="Q103" s="20"/>
      <c r="R103" s="20"/>
      <c r="S103" s="20"/>
      <c r="T103" s="20"/>
      <c r="U103" s="19"/>
      <c r="V103" s="20"/>
      <c r="W103" s="20"/>
      <c r="X103" s="20"/>
      <c r="Y103" s="20"/>
      <c r="Z103" s="19"/>
      <c r="AA103" s="20"/>
      <c r="AB103" s="20"/>
      <c r="AC103" s="20"/>
      <c r="AD103" s="20"/>
      <c r="AE103" s="19"/>
      <c r="AF103" s="20"/>
      <c r="AG103" s="20"/>
      <c r="AH103" s="20"/>
      <c r="AI103" s="20"/>
      <c r="AJ103" s="19"/>
      <c r="AK103" s="20"/>
      <c r="AL103" s="20"/>
      <c r="AM103" s="20"/>
      <c r="AN103" s="20"/>
      <c r="AO103" s="19"/>
      <c r="AP103" s="20"/>
      <c r="AQ103" s="20"/>
      <c r="AR103" s="20"/>
      <c r="AS103" s="20"/>
      <c r="AT103" s="19"/>
      <c r="AU103" s="20"/>
      <c r="AV103" s="20"/>
      <c r="AW103" s="20"/>
      <c r="AX103" s="20"/>
      <c r="AY103" s="19"/>
      <c r="AZ103" s="20"/>
      <c r="BA103" s="20"/>
      <c r="BB103" s="20"/>
      <c r="BC103" s="20"/>
      <c r="BD103" s="22"/>
      <c r="BE103" s="23"/>
      <c r="BF103" s="23"/>
      <c r="BG103" s="23"/>
      <c r="BH103" s="23"/>
      <c r="BI103" s="19">
        <v>100</v>
      </c>
      <c r="BJ103" s="20" t="s">
        <v>82</v>
      </c>
      <c r="BK103" s="21">
        <v>9</v>
      </c>
      <c r="BL103" s="21">
        <f t="shared" si="26"/>
        <v>3712.9700000000003</v>
      </c>
      <c r="BM103" s="21">
        <v>33416.730000000003</v>
      </c>
      <c r="BN103" s="29">
        <f>BK103/$BK$3</f>
        <v>8.8288959956051721E-5</v>
      </c>
      <c r="BO103" s="29">
        <f>BM103/$BM$3</f>
        <v>9.1130562826490603E-5</v>
      </c>
    </row>
    <row r="104" spans="1:67" x14ac:dyDescent="0.3">
      <c r="A104" s="19"/>
      <c r="B104" s="20"/>
      <c r="C104" s="20"/>
      <c r="D104" s="20"/>
      <c r="E104" s="20"/>
      <c r="F104" s="19"/>
      <c r="G104" s="20"/>
      <c r="H104" s="20"/>
      <c r="I104" s="20"/>
      <c r="J104" s="20"/>
      <c r="K104" s="19"/>
      <c r="L104" s="20"/>
      <c r="M104" s="20"/>
      <c r="N104" s="20"/>
      <c r="O104" s="20"/>
      <c r="P104" s="19"/>
      <c r="Q104" s="20"/>
      <c r="R104" s="20"/>
      <c r="S104" s="20"/>
      <c r="T104" s="20"/>
      <c r="U104" s="19"/>
      <c r="V104" s="20"/>
      <c r="W104" s="20"/>
      <c r="X104" s="20"/>
      <c r="Y104" s="20"/>
      <c r="Z104" s="19"/>
      <c r="AA104" s="20"/>
      <c r="AB104" s="20"/>
      <c r="AC104" s="20"/>
      <c r="AD104" s="20"/>
      <c r="AE104" s="19"/>
      <c r="AF104" s="20"/>
      <c r="AG104" s="20"/>
      <c r="AH104" s="20"/>
      <c r="AI104" s="20"/>
      <c r="AJ104" s="19"/>
      <c r="AK104" s="20"/>
      <c r="AL104" s="20"/>
      <c r="AM104" s="20"/>
      <c r="AN104" s="20"/>
      <c r="AO104" s="19"/>
      <c r="AP104" s="20"/>
      <c r="AQ104" s="20"/>
      <c r="AR104" s="20"/>
      <c r="AS104" s="20"/>
      <c r="AT104" s="19"/>
      <c r="AU104" s="20"/>
      <c r="AV104" s="20"/>
      <c r="AW104" s="20"/>
      <c r="AX104" s="20"/>
      <c r="AY104" s="19"/>
      <c r="AZ104" s="20"/>
      <c r="BA104" s="20"/>
      <c r="BB104" s="20"/>
      <c r="BC104" s="20"/>
      <c r="BD104" s="22"/>
      <c r="BE104" s="23"/>
      <c r="BF104" s="23"/>
      <c r="BG104" s="23"/>
      <c r="BH104" s="23"/>
      <c r="BI104" s="19">
        <v>101</v>
      </c>
      <c r="BJ104" s="20" t="s">
        <v>125</v>
      </c>
      <c r="BK104" s="21">
        <v>9</v>
      </c>
      <c r="BL104" s="21">
        <f t="shared" si="26"/>
        <v>4000</v>
      </c>
      <c r="BM104" s="21">
        <v>36000</v>
      </c>
      <c r="BN104" s="29"/>
      <c r="BO104" s="29"/>
    </row>
    <row r="105" spans="1:67" x14ac:dyDescent="0.3">
      <c r="A105" s="19"/>
      <c r="B105" s="20"/>
      <c r="C105" s="20"/>
      <c r="D105" s="20"/>
      <c r="E105" s="20"/>
      <c r="F105" s="19"/>
      <c r="G105" s="20"/>
      <c r="H105" s="20"/>
      <c r="I105" s="20"/>
      <c r="J105" s="20"/>
      <c r="K105" s="19"/>
      <c r="L105" s="20"/>
      <c r="M105" s="20"/>
      <c r="N105" s="20"/>
      <c r="O105" s="20"/>
      <c r="P105" s="19"/>
      <c r="Q105" s="20"/>
      <c r="R105" s="20"/>
      <c r="S105" s="20"/>
      <c r="T105" s="20"/>
      <c r="U105" s="19"/>
      <c r="V105" s="20"/>
      <c r="W105" s="20"/>
      <c r="X105" s="20"/>
      <c r="Y105" s="20"/>
      <c r="Z105" s="19"/>
      <c r="AA105" s="20"/>
      <c r="AB105" s="20"/>
      <c r="AC105" s="20"/>
      <c r="AD105" s="20"/>
      <c r="AE105" s="19"/>
      <c r="AF105" s="20"/>
      <c r="AG105" s="20"/>
      <c r="AH105" s="20"/>
      <c r="AI105" s="20"/>
      <c r="AJ105" s="19"/>
      <c r="AK105" s="20"/>
      <c r="AL105" s="20"/>
      <c r="AM105" s="20"/>
      <c r="AN105" s="20"/>
      <c r="AO105" s="19"/>
      <c r="AP105" s="20"/>
      <c r="AQ105" s="20"/>
      <c r="AR105" s="20"/>
      <c r="AS105" s="20"/>
      <c r="AT105" s="19"/>
      <c r="AU105" s="20"/>
      <c r="AV105" s="20"/>
      <c r="AW105" s="20"/>
      <c r="AX105" s="20"/>
      <c r="AY105" s="19"/>
      <c r="AZ105" s="20"/>
      <c r="BA105" s="20"/>
      <c r="BB105" s="20"/>
      <c r="BC105" s="20"/>
      <c r="BD105" s="22"/>
      <c r="BE105" s="23"/>
      <c r="BF105" s="23"/>
      <c r="BG105" s="23"/>
      <c r="BH105" s="23"/>
      <c r="BI105" s="19">
        <v>102</v>
      </c>
      <c r="BJ105" s="20" t="s">
        <v>138</v>
      </c>
      <c r="BK105" s="21">
        <v>9</v>
      </c>
      <c r="BL105" s="21">
        <f t="shared" si="26"/>
        <v>4542.0211111111112</v>
      </c>
      <c r="BM105" s="21">
        <v>40878.19</v>
      </c>
      <c r="BN105" s="29"/>
      <c r="BO105" s="29"/>
    </row>
    <row r="106" spans="1:67" x14ac:dyDescent="0.3">
      <c r="A106" s="19"/>
      <c r="B106" s="20"/>
      <c r="C106" s="20"/>
      <c r="D106" s="20"/>
      <c r="E106" s="20"/>
      <c r="F106" s="19"/>
      <c r="G106" s="20"/>
      <c r="H106" s="20"/>
      <c r="I106" s="20"/>
      <c r="J106" s="20"/>
      <c r="K106" s="19"/>
      <c r="L106" s="20"/>
      <c r="M106" s="20"/>
      <c r="N106" s="20"/>
      <c r="O106" s="20"/>
      <c r="P106" s="19"/>
      <c r="Q106" s="20"/>
      <c r="R106" s="20"/>
      <c r="S106" s="20"/>
      <c r="T106" s="20"/>
      <c r="U106" s="19"/>
      <c r="V106" s="20"/>
      <c r="W106" s="20"/>
      <c r="X106" s="20"/>
      <c r="Y106" s="20"/>
      <c r="Z106" s="19"/>
      <c r="AA106" s="20"/>
      <c r="AB106" s="20"/>
      <c r="AC106" s="20"/>
      <c r="AD106" s="20"/>
      <c r="AE106" s="19"/>
      <c r="AF106" s="20"/>
      <c r="AG106" s="20"/>
      <c r="AH106" s="20"/>
      <c r="AI106" s="20"/>
      <c r="AJ106" s="19"/>
      <c r="AK106" s="20"/>
      <c r="AL106" s="20"/>
      <c r="AM106" s="20"/>
      <c r="AN106" s="20"/>
      <c r="AO106" s="19"/>
      <c r="AP106" s="20"/>
      <c r="AQ106" s="20"/>
      <c r="AR106" s="20"/>
      <c r="AS106" s="20"/>
      <c r="AT106" s="19"/>
      <c r="AU106" s="20"/>
      <c r="AV106" s="20"/>
      <c r="AW106" s="20"/>
      <c r="AX106" s="20"/>
      <c r="AY106" s="19"/>
      <c r="AZ106" s="20"/>
      <c r="BA106" s="20"/>
      <c r="BB106" s="20"/>
      <c r="BC106" s="20"/>
      <c r="BD106" s="22"/>
      <c r="BE106" s="23"/>
      <c r="BF106" s="23"/>
      <c r="BG106" s="23"/>
      <c r="BH106" s="23"/>
      <c r="BI106" s="19">
        <v>103</v>
      </c>
      <c r="BJ106" s="20" t="s">
        <v>124</v>
      </c>
      <c r="BK106" s="21">
        <v>8</v>
      </c>
      <c r="BL106" s="21">
        <f t="shared" si="26"/>
        <v>5841.1812499999996</v>
      </c>
      <c r="BM106" s="21">
        <v>46729.45</v>
      </c>
      <c r="BN106" s="29"/>
      <c r="BO106" s="29"/>
    </row>
    <row r="107" spans="1:67" x14ac:dyDescent="0.3">
      <c r="A107" s="19"/>
      <c r="B107" s="20"/>
      <c r="C107" s="20"/>
      <c r="D107" s="20"/>
      <c r="E107" s="20"/>
      <c r="F107" s="19"/>
      <c r="G107" s="20"/>
      <c r="H107" s="20"/>
      <c r="I107" s="20"/>
      <c r="J107" s="20"/>
      <c r="K107" s="19"/>
      <c r="L107" s="20"/>
      <c r="M107" s="20"/>
      <c r="N107" s="20"/>
      <c r="O107" s="20"/>
      <c r="P107" s="19"/>
      <c r="Q107" s="20"/>
      <c r="R107" s="20"/>
      <c r="S107" s="20"/>
      <c r="T107" s="20"/>
      <c r="U107" s="19"/>
      <c r="V107" s="20"/>
      <c r="W107" s="20"/>
      <c r="X107" s="20"/>
      <c r="Y107" s="20"/>
      <c r="Z107" s="19"/>
      <c r="AA107" s="20"/>
      <c r="AB107" s="20"/>
      <c r="AC107" s="20"/>
      <c r="AD107" s="20"/>
      <c r="AE107" s="19"/>
      <c r="AF107" s="20"/>
      <c r="AG107" s="20"/>
      <c r="AH107" s="20"/>
      <c r="AI107" s="20"/>
      <c r="AJ107" s="19"/>
      <c r="AK107" s="20"/>
      <c r="AL107" s="20"/>
      <c r="AM107" s="20"/>
      <c r="AN107" s="20"/>
      <c r="AO107" s="19"/>
      <c r="AP107" s="20"/>
      <c r="AQ107" s="20"/>
      <c r="AR107" s="20"/>
      <c r="AS107" s="20"/>
      <c r="AT107" s="19"/>
      <c r="AU107" s="20"/>
      <c r="AV107" s="20"/>
      <c r="AW107" s="20"/>
      <c r="AX107" s="20"/>
      <c r="AY107" s="19"/>
      <c r="AZ107" s="20"/>
      <c r="BA107" s="20"/>
      <c r="BB107" s="20"/>
      <c r="BC107" s="20"/>
      <c r="BD107" s="22"/>
      <c r="BE107" s="23"/>
      <c r="BF107" s="23"/>
      <c r="BG107" s="23"/>
      <c r="BH107" s="23"/>
      <c r="BI107" s="19">
        <v>104</v>
      </c>
      <c r="BJ107" s="20" t="s">
        <v>34</v>
      </c>
      <c r="BK107" s="21">
        <v>8</v>
      </c>
      <c r="BL107" s="21">
        <f t="shared" si="26"/>
        <v>3870.1925000000001</v>
      </c>
      <c r="BM107" s="21">
        <v>30961.54</v>
      </c>
      <c r="BN107" s="29"/>
      <c r="BO107" s="29"/>
    </row>
    <row r="108" spans="1:67" x14ac:dyDescent="0.3">
      <c r="A108" s="19"/>
      <c r="B108" s="20"/>
      <c r="C108" s="20"/>
      <c r="D108" s="20"/>
      <c r="E108" s="20"/>
      <c r="F108" s="19"/>
      <c r="G108" s="20"/>
      <c r="H108" s="20"/>
      <c r="I108" s="20"/>
      <c r="J108" s="20"/>
      <c r="K108" s="19"/>
      <c r="L108" s="20"/>
      <c r="M108" s="20"/>
      <c r="N108" s="20"/>
      <c r="O108" s="20"/>
      <c r="P108" s="19"/>
      <c r="Q108" s="20"/>
      <c r="R108" s="20"/>
      <c r="S108" s="20"/>
      <c r="T108" s="20"/>
      <c r="U108" s="19"/>
      <c r="V108" s="20"/>
      <c r="W108" s="20"/>
      <c r="X108" s="20"/>
      <c r="Y108" s="20"/>
      <c r="Z108" s="19"/>
      <c r="AA108" s="20"/>
      <c r="AB108" s="20"/>
      <c r="AC108" s="20"/>
      <c r="AD108" s="20"/>
      <c r="AE108" s="19"/>
      <c r="AF108" s="20"/>
      <c r="AG108" s="20"/>
      <c r="AH108" s="20"/>
      <c r="AI108" s="20"/>
      <c r="AJ108" s="19"/>
      <c r="AK108" s="20"/>
      <c r="AL108" s="20"/>
      <c r="AM108" s="20"/>
      <c r="AN108" s="20"/>
      <c r="AO108" s="19"/>
      <c r="AP108" s="20"/>
      <c r="AQ108" s="20"/>
      <c r="AR108" s="20"/>
      <c r="AS108" s="20"/>
      <c r="AT108" s="19"/>
      <c r="AU108" s="20"/>
      <c r="AV108" s="20"/>
      <c r="AW108" s="20"/>
      <c r="AX108" s="20"/>
      <c r="AY108" s="19"/>
      <c r="AZ108" s="20"/>
      <c r="BA108" s="20"/>
      <c r="BB108" s="20"/>
      <c r="BC108" s="20"/>
      <c r="BD108" s="22"/>
      <c r="BE108" s="23"/>
      <c r="BF108" s="23"/>
      <c r="BG108" s="23"/>
      <c r="BH108" s="23"/>
      <c r="BI108" s="19">
        <v>105</v>
      </c>
      <c r="BJ108" s="20" t="s">
        <v>104</v>
      </c>
      <c r="BK108" s="21">
        <v>8</v>
      </c>
      <c r="BL108" s="21">
        <f t="shared" si="26"/>
        <v>2931.18</v>
      </c>
      <c r="BM108" s="21">
        <v>23449.439999999999</v>
      </c>
      <c r="BN108" s="29"/>
      <c r="BO108" s="29"/>
    </row>
    <row r="109" spans="1:67" x14ac:dyDescent="0.3">
      <c r="A109" s="19"/>
      <c r="B109" s="20"/>
      <c r="C109" s="20"/>
      <c r="D109" s="20"/>
      <c r="E109" s="20"/>
      <c r="F109" s="19"/>
      <c r="G109" s="20"/>
      <c r="H109" s="20"/>
      <c r="I109" s="20"/>
      <c r="J109" s="20"/>
      <c r="K109" s="19"/>
      <c r="L109" s="20"/>
      <c r="M109" s="20"/>
      <c r="N109" s="20"/>
      <c r="O109" s="20"/>
      <c r="P109" s="19"/>
      <c r="Q109" s="20"/>
      <c r="R109" s="20"/>
      <c r="S109" s="20"/>
      <c r="T109" s="20"/>
      <c r="U109" s="19"/>
      <c r="V109" s="20"/>
      <c r="W109" s="20"/>
      <c r="X109" s="20"/>
      <c r="Y109" s="20"/>
      <c r="Z109" s="19"/>
      <c r="AA109" s="20"/>
      <c r="AB109" s="20"/>
      <c r="AC109" s="20"/>
      <c r="AD109" s="20"/>
      <c r="AE109" s="19"/>
      <c r="AF109" s="20"/>
      <c r="AG109" s="20"/>
      <c r="AH109" s="20"/>
      <c r="AI109" s="20"/>
      <c r="AJ109" s="19"/>
      <c r="AK109" s="20"/>
      <c r="AL109" s="20"/>
      <c r="AM109" s="20"/>
      <c r="AN109" s="20"/>
      <c r="AO109" s="19"/>
      <c r="AP109" s="20"/>
      <c r="AQ109" s="20"/>
      <c r="AR109" s="20"/>
      <c r="AS109" s="20"/>
      <c r="AT109" s="19"/>
      <c r="AU109" s="20"/>
      <c r="AV109" s="20"/>
      <c r="AW109" s="20"/>
      <c r="AX109" s="20"/>
      <c r="AY109" s="19"/>
      <c r="AZ109" s="20"/>
      <c r="BA109" s="20"/>
      <c r="BB109" s="20"/>
      <c r="BC109" s="20"/>
      <c r="BD109" s="22"/>
      <c r="BE109" s="23"/>
      <c r="BF109" s="23"/>
      <c r="BG109" s="23"/>
      <c r="BH109" s="23"/>
      <c r="BI109" s="19">
        <v>106</v>
      </c>
      <c r="BJ109" s="20" t="s">
        <v>131</v>
      </c>
      <c r="BK109" s="21">
        <v>7</v>
      </c>
      <c r="BL109" s="21">
        <f t="shared" si="26"/>
        <v>3555.86</v>
      </c>
      <c r="BM109" s="21">
        <v>24891.02</v>
      </c>
      <c r="BN109" s="29"/>
      <c r="BO109" s="29"/>
    </row>
    <row r="110" spans="1:67" x14ac:dyDescent="0.3">
      <c r="A110" s="19"/>
      <c r="B110" s="20"/>
      <c r="C110" s="20"/>
      <c r="D110" s="20"/>
      <c r="E110" s="20"/>
      <c r="F110" s="19"/>
      <c r="G110" s="20"/>
      <c r="H110" s="20"/>
      <c r="I110" s="20"/>
      <c r="J110" s="20"/>
      <c r="K110" s="19"/>
      <c r="L110" s="20"/>
      <c r="M110" s="20"/>
      <c r="N110" s="20"/>
      <c r="O110" s="20"/>
      <c r="P110" s="19"/>
      <c r="Q110" s="20"/>
      <c r="R110" s="20"/>
      <c r="S110" s="20"/>
      <c r="T110" s="20"/>
      <c r="U110" s="19"/>
      <c r="V110" s="20"/>
      <c r="W110" s="20"/>
      <c r="X110" s="20"/>
      <c r="Y110" s="20"/>
      <c r="Z110" s="19"/>
      <c r="AA110" s="20"/>
      <c r="AB110" s="20"/>
      <c r="AC110" s="20"/>
      <c r="AD110" s="20"/>
      <c r="AE110" s="19"/>
      <c r="AF110" s="20"/>
      <c r="AG110" s="20"/>
      <c r="AH110" s="20"/>
      <c r="AI110" s="20"/>
      <c r="AJ110" s="19"/>
      <c r="AK110" s="20"/>
      <c r="AL110" s="20"/>
      <c r="AM110" s="20"/>
      <c r="AN110" s="20"/>
      <c r="AO110" s="19"/>
      <c r="AP110" s="20"/>
      <c r="AQ110" s="20"/>
      <c r="AR110" s="20"/>
      <c r="AS110" s="20"/>
      <c r="AT110" s="19"/>
      <c r="AU110" s="20"/>
      <c r="AV110" s="20"/>
      <c r="AW110" s="20"/>
      <c r="AX110" s="20"/>
      <c r="AY110" s="19"/>
      <c r="AZ110" s="20"/>
      <c r="BA110" s="20"/>
      <c r="BB110" s="20"/>
      <c r="BC110" s="20"/>
      <c r="BD110" s="22"/>
      <c r="BE110" s="23"/>
      <c r="BF110" s="23"/>
      <c r="BG110" s="23"/>
      <c r="BH110" s="23"/>
      <c r="BI110" s="19">
        <v>107</v>
      </c>
      <c r="BJ110" s="20" t="s">
        <v>94</v>
      </c>
      <c r="BK110" s="21">
        <v>7</v>
      </c>
      <c r="BL110" s="21">
        <f t="shared" si="26"/>
        <v>3977.32</v>
      </c>
      <c r="BM110" s="21">
        <v>27841.24</v>
      </c>
    </row>
    <row r="111" spans="1:67" x14ac:dyDescent="0.3">
      <c r="A111" s="19"/>
      <c r="B111" s="20"/>
      <c r="C111" s="20"/>
      <c r="D111" s="20"/>
      <c r="E111" s="20"/>
      <c r="F111" s="19"/>
      <c r="G111" s="20"/>
      <c r="H111" s="20"/>
      <c r="I111" s="20"/>
      <c r="J111" s="20"/>
      <c r="K111" s="19"/>
      <c r="L111" s="20"/>
      <c r="M111" s="20"/>
      <c r="N111" s="20"/>
      <c r="O111" s="20"/>
      <c r="P111" s="19"/>
      <c r="Q111" s="20"/>
      <c r="R111" s="20"/>
      <c r="S111" s="20"/>
      <c r="T111" s="20"/>
      <c r="U111" s="19"/>
      <c r="V111" s="20"/>
      <c r="W111" s="20"/>
      <c r="X111" s="20"/>
      <c r="Y111" s="20"/>
      <c r="Z111" s="19"/>
      <c r="AA111" s="20"/>
      <c r="AB111" s="20"/>
      <c r="AC111" s="20"/>
      <c r="AD111" s="20"/>
      <c r="AE111" s="19"/>
      <c r="AF111" s="20"/>
      <c r="AG111" s="20"/>
      <c r="AH111" s="20"/>
      <c r="AI111" s="20"/>
      <c r="AJ111" s="19"/>
      <c r="AK111" s="20"/>
      <c r="AL111" s="20"/>
      <c r="AM111" s="20"/>
      <c r="AN111" s="20"/>
      <c r="AO111" s="19"/>
      <c r="AP111" s="20"/>
      <c r="AQ111" s="20"/>
      <c r="AR111" s="20"/>
      <c r="AS111" s="20"/>
      <c r="AT111" s="19"/>
      <c r="AU111" s="20"/>
      <c r="AV111" s="20"/>
      <c r="AW111" s="20"/>
      <c r="AX111" s="20"/>
      <c r="AY111" s="19"/>
      <c r="AZ111" s="20"/>
      <c r="BA111" s="20"/>
      <c r="BB111" s="20"/>
      <c r="BC111" s="20"/>
      <c r="BD111" s="22"/>
      <c r="BE111" s="23"/>
      <c r="BF111" s="23"/>
      <c r="BG111" s="23"/>
      <c r="BH111" s="23"/>
      <c r="BI111" s="19">
        <v>108</v>
      </c>
      <c r="BJ111" s="20" t="s">
        <v>81</v>
      </c>
      <c r="BK111" s="21">
        <v>6</v>
      </c>
      <c r="BL111" s="21">
        <f t="shared" si="26"/>
        <v>4623.6033333333335</v>
      </c>
      <c r="BM111" s="21">
        <v>27741.62</v>
      </c>
    </row>
    <row r="112" spans="1:67" x14ac:dyDescent="0.3">
      <c r="A112" s="19"/>
      <c r="B112" s="20"/>
      <c r="C112" s="20"/>
      <c r="D112" s="20"/>
      <c r="E112" s="20"/>
      <c r="F112" s="19"/>
      <c r="G112" s="20"/>
      <c r="H112" s="20"/>
      <c r="I112" s="20"/>
      <c r="J112" s="20"/>
      <c r="K112" s="19"/>
      <c r="L112" s="20"/>
      <c r="M112" s="20"/>
      <c r="N112" s="20"/>
      <c r="O112" s="20"/>
      <c r="P112" s="19"/>
      <c r="Q112" s="20"/>
      <c r="R112" s="20"/>
      <c r="S112" s="20"/>
      <c r="T112" s="20"/>
      <c r="U112" s="19"/>
      <c r="V112" s="20"/>
      <c r="W112" s="20"/>
      <c r="X112" s="20"/>
      <c r="Y112" s="20"/>
      <c r="Z112" s="19"/>
      <c r="AA112" s="20"/>
      <c r="AB112" s="20"/>
      <c r="AC112" s="20"/>
      <c r="AD112" s="20"/>
      <c r="AE112" s="19"/>
      <c r="AF112" s="20"/>
      <c r="AG112" s="20"/>
      <c r="AH112" s="20"/>
      <c r="AI112" s="20"/>
      <c r="AJ112" s="19"/>
      <c r="AK112" s="20"/>
      <c r="AL112" s="20"/>
      <c r="AM112" s="20"/>
      <c r="AN112" s="20"/>
      <c r="AO112" s="19"/>
      <c r="AP112" s="20"/>
      <c r="AQ112" s="20"/>
      <c r="AR112" s="20"/>
      <c r="AS112" s="20"/>
      <c r="AT112" s="19"/>
      <c r="AU112" s="20"/>
      <c r="AV112" s="20"/>
      <c r="AW112" s="20"/>
      <c r="AX112" s="20"/>
      <c r="AY112" s="19"/>
      <c r="AZ112" s="20"/>
      <c r="BA112" s="20"/>
      <c r="BB112" s="20"/>
      <c r="BC112" s="20"/>
      <c r="BD112" s="22"/>
      <c r="BE112" s="23"/>
      <c r="BF112" s="23"/>
      <c r="BG112" s="23"/>
      <c r="BH112" s="23"/>
      <c r="BI112" s="19">
        <v>109</v>
      </c>
      <c r="BJ112" s="20" t="s">
        <v>23</v>
      </c>
      <c r="BK112" s="21">
        <v>6</v>
      </c>
      <c r="BL112" s="21">
        <f t="shared" si="26"/>
        <v>5169.8</v>
      </c>
      <c r="BM112" s="21">
        <v>31018.799999999999</v>
      </c>
    </row>
    <row r="113" spans="1:65" x14ac:dyDescent="0.3">
      <c r="A113" s="19"/>
      <c r="B113" s="20"/>
      <c r="C113" s="20"/>
      <c r="D113" s="20"/>
      <c r="E113" s="20"/>
      <c r="F113" s="19"/>
      <c r="G113" s="20"/>
      <c r="H113" s="20"/>
      <c r="I113" s="20"/>
      <c r="J113" s="20"/>
      <c r="K113" s="19"/>
      <c r="L113" s="20"/>
      <c r="M113" s="20"/>
      <c r="N113" s="20"/>
      <c r="O113" s="20"/>
      <c r="P113" s="19"/>
      <c r="Q113" s="20"/>
      <c r="R113" s="20"/>
      <c r="S113" s="20"/>
      <c r="T113" s="20"/>
      <c r="U113" s="19"/>
      <c r="V113" s="20"/>
      <c r="W113" s="20"/>
      <c r="X113" s="20"/>
      <c r="Y113" s="20"/>
      <c r="Z113" s="19"/>
      <c r="AA113" s="20"/>
      <c r="AB113" s="20"/>
      <c r="AC113" s="20"/>
      <c r="AD113" s="20"/>
      <c r="AE113" s="19"/>
      <c r="AF113" s="20"/>
      <c r="AG113" s="20"/>
      <c r="AH113" s="20"/>
      <c r="AI113" s="20"/>
      <c r="AJ113" s="19"/>
      <c r="AK113" s="20"/>
      <c r="AL113" s="20"/>
      <c r="AM113" s="20"/>
      <c r="AN113" s="20"/>
      <c r="AO113" s="19"/>
      <c r="AP113" s="20"/>
      <c r="AQ113" s="20"/>
      <c r="AR113" s="20"/>
      <c r="AS113" s="20"/>
      <c r="AT113" s="19"/>
      <c r="AU113" s="20"/>
      <c r="AV113" s="20"/>
      <c r="AW113" s="20"/>
      <c r="AX113" s="20"/>
      <c r="AY113" s="19"/>
      <c r="AZ113" s="20"/>
      <c r="BA113" s="20"/>
      <c r="BB113" s="20"/>
      <c r="BC113" s="20"/>
      <c r="BD113" s="22"/>
      <c r="BE113" s="23"/>
      <c r="BF113" s="23"/>
      <c r="BG113" s="23"/>
      <c r="BH113" s="23"/>
      <c r="BI113" s="19">
        <v>110</v>
      </c>
      <c r="BJ113" s="20" t="s">
        <v>53</v>
      </c>
      <c r="BK113" s="21">
        <v>5</v>
      </c>
      <c r="BL113" s="21">
        <f t="shared" si="26"/>
        <v>4434.9760000000006</v>
      </c>
      <c r="BM113" s="21">
        <v>22174.880000000001</v>
      </c>
    </row>
    <row r="114" spans="1:65" x14ac:dyDescent="0.3">
      <c r="A114" s="19"/>
      <c r="B114" s="20"/>
      <c r="C114" s="20"/>
      <c r="D114" s="20"/>
      <c r="E114" s="20"/>
      <c r="F114" s="19"/>
      <c r="G114" s="20"/>
      <c r="H114" s="20"/>
      <c r="I114" s="20"/>
      <c r="J114" s="20"/>
      <c r="K114" s="19"/>
      <c r="L114" s="20"/>
      <c r="M114" s="20"/>
      <c r="N114" s="20"/>
      <c r="O114" s="20"/>
      <c r="P114" s="19"/>
      <c r="Q114" s="20"/>
      <c r="R114" s="20"/>
      <c r="S114" s="20"/>
      <c r="T114" s="20"/>
      <c r="U114" s="19"/>
      <c r="V114" s="20"/>
      <c r="W114" s="20"/>
      <c r="X114" s="20"/>
      <c r="Y114" s="20"/>
      <c r="Z114" s="19"/>
      <c r="AA114" s="20"/>
      <c r="AB114" s="20"/>
      <c r="AC114" s="20"/>
      <c r="AD114" s="20"/>
      <c r="AE114" s="19"/>
      <c r="AF114" s="20"/>
      <c r="AG114" s="20"/>
      <c r="AH114" s="20"/>
      <c r="AI114" s="20"/>
      <c r="AJ114" s="19"/>
      <c r="AK114" s="20"/>
      <c r="AL114" s="20"/>
      <c r="AM114" s="20"/>
      <c r="AN114" s="20"/>
      <c r="AO114" s="19"/>
      <c r="AP114" s="20"/>
      <c r="AQ114" s="20"/>
      <c r="AR114" s="20"/>
      <c r="AS114" s="20"/>
      <c r="AT114" s="19"/>
      <c r="AU114" s="20"/>
      <c r="AV114" s="20"/>
      <c r="AW114" s="20"/>
      <c r="AX114" s="20"/>
      <c r="AY114" s="19"/>
      <c r="AZ114" s="20"/>
      <c r="BA114" s="20"/>
      <c r="BB114" s="20"/>
      <c r="BC114" s="20"/>
      <c r="BD114" s="22"/>
      <c r="BE114" s="23"/>
      <c r="BF114" s="23"/>
      <c r="BG114" s="23"/>
      <c r="BH114" s="23"/>
      <c r="BI114" s="19">
        <v>111</v>
      </c>
      <c r="BJ114" s="20" t="s">
        <v>122</v>
      </c>
      <c r="BK114" s="21">
        <v>5</v>
      </c>
      <c r="BL114" s="21">
        <f t="shared" si="26"/>
        <v>4438.402</v>
      </c>
      <c r="BM114" s="21">
        <v>22192.01</v>
      </c>
    </row>
    <row r="115" spans="1:65" x14ac:dyDescent="0.3">
      <c r="A115" s="19"/>
      <c r="B115" s="20"/>
      <c r="C115" s="20"/>
      <c r="D115" s="20"/>
      <c r="E115" s="20"/>
      <c r="F115" s="19"/>
      <c r="G115" s="20"/>
      <c r="H115" s="20"/>
      <c r="I115" s="20"/>
      <c r="J115" s="20"/>
      <c r="K115" s="19"/>
      <c r="L115" s="20"/>
      <c r="M115" s="20"/>
      <c r="N115" s="20"/>
      <c r="O115" s="20"/>
      <c r="P115" s="19"/>
      <c r="Q115" s="20"/>
      <c r="R115" s="20"/>
      <c r="S115" s="20"/>
      <c r="T115" s="20"/>
      <c r="U115" s="19"/>
      <c r="V115" s="20"/>
      <c r="W115" s="20"/>
      <c r="X115" s="20"/>
      <c r="Y115" s="20"/>
      <c r="Z115" s="19"/>
      <c r="AA115" s="20"/>
      <c r="AB115" s="20"/>
      <c r="AC115" s="20"/>
      <c r="AD115" s="20"/>
      <c r="AE115" s="19"/>
      <c r="AF115" s="20"/>
      <c r="AG115" s="20"/>
      <c r="AH115" s="20"/>
      <c r="AI115" s="20"/>
      <c r="AJ115" s="19"/>
      <c r="AK115" s="20"/>
      <c r="AL115" s="20"/>
      <c r="AM115" s="20"/>
      <c r="AN115" s="20"/>
      <c r="AO115" s="19"/>
      <c r="AP115" s="20"/>
      <c r="AQ115" s="20"/>
      <c r="AR115" s="20"/>
      <c r="AS115" s="20"/>
      <c r="AT115" s="19"/>
      <c r="AU115" s="20"/>
      <c r="AV115" s="20"/>
      <c r="AW115" s="20"/>
      <c r="AX115" s="20"/>
      <c r="AY115" s="19"/>
      <c r="AZ115" s="20"/>
      <c r="BA115" s="20"/>
      <c r="BB115" s="20"/>
      <c r="BC115" s="20"/>
      <c r="BD115" s="22"/>
      <c r="BE115" s="23"/>
      <c r="BF115" s="23"/>
      <c r="BG115" s="23"/>
      <c r="BH115" s="23"/>
      <c r="BI115" s="19">
        <v>112</v>
      </c>
      <c r="BJ115" s="20" t="s">
        <v>129</v>
      </c>
      <c r="BK115" s="21">
        <v>4</v>
      </c>
      <c r="BL115" s="21">
        <f t="shared" si="26"/>
        <v>7816.48</v>
      </c>
      <c r="BM115" s="21">
        <v>31265.919999999998</v>
      </c>
    </row>
    <row r="116" spans="1:65" x14ac:dyDescent="0.3">
      <c r="A116" s="19"/>
      <c r="B116" s="20"/>
      <c r="C116" s="20"/>
      <c r="D116" s="20"/>
      <c r="E116" s="20"/>
      <c r="F116" s="19"/>
      <c r="G116" s="20"/>
      <c r="H116" s="20"/>
      <c r="I116" s="20"/>
      <c r="J116" s="20"/>
      <c r="K116" s="19"/>
      <c r="L116" s="20"/>
      <c r="M116" s="20"/>
      <c r="N116" s="20"/>
      <c r="O116" s="20"/>
      <c r="P116" s="19"/>
      <c r="Q116" s="20"/>
      <c r="R116" s="20"/>
      <c r="S116" s="20"/>
      <c r="T116" s="20"/>
      <c r="U116" s="19"/>
      <c r="V116" s="20"/>
      <c r="W116" s="20"/>
      <c r="X116" s="20"/>
      <c r="Y116" s="20"/>
      <c r="Z116" s="19"/>
      <c r="AA116" s="20"/>
      <c r="AB116" s="20"/>
      <c r="AC116" s="20"/>
      <c r="AD116" s="20"/>
      <c r="AE116" s="19"/>
      <c r="AF116" s="20"/>
      <c r="AG116" s="20"/>
      <c r="AH116" s="20"/>
      <c r="AI116" s="20"/>
      <c r="AJ116" s="19"/>
      <c r="AK116" s="20"/>
      <c r="AL116" s="20"/>
      <c r="AM116" s="20"/>
      <c r="AN116" s="20"/>
      <c r="AO116" s="19"/>
      <c r="AP116" s="20"/>
      <c r="AQ116" s="20"/>
      <c r="AR116" s="20"/>
      <c r="AS116" s="20"/>
      <c r="AT116" s="19"/>
      <c r="AU116" s="20"/>
      <c r="AV116" s="20"/>
      <c r="AW116" s="20"/>
      <c r="AX116" s="20"/>
      <c r="AY116" s="19"/>
      <c r="AZ116" s="20"/>
      <c r="BA116" s="20"/>
      <c r="BB116" s="20"/>
      <c r="BC116" s="20"/>
      <c r="BD116" s="22"/>
      <c r="BE116" s="23"/>
      <c r="BF116" s="23"/>
      <c r="BG116" s="23"/>
      <c r="BH116" s="23"/>
      <c r="BI116" s="19">
        <v>113</v>
      </c>
      <c r="BJ116" s="20" t="s">
        <v>99</v>
      </c>
      <c r="BK116" s="21">
        <v>4</v>
      </c>
      <c r="BL116" s="21">
        <f t="shared" si="26"/>
        <v>4449.9549999999999</v>
      </c>
      <c r="BM116" s="21">
        <v>17799.82</v>
      </c>
    </row>
    <row r="117" spans="1:65" x14ac:dyDescent="0.3">
      <c r="A117" s="19"/>
      <c r="B117" s="20"/>
      <c r="C117" s="20"/>
      <c r="D117" s="20"/>
      <c r="E117" s="20"/>
      <c r="F117" s="19"/>
      <c r="G117" s="20"/>
      <c r="H117" s="20"/>
      <c r="I117" s="20"/>
      <c r="J117" s="20"/>
      <c r="K117" s="19"/>
      <c r="L117" s="20"/>
      <c r="M117" s="20"/>
      <c r="N117" s="20"/>
      <c r="O117" s="20"/>
      <c r="P117" s="19"/>
      <c r="Q117" s="20"/>
      <c r="R117" s="20"/>
      <c r="S117" s="20"/>
      <c r="T117" s="20"/>
      <c r="U117" s="19"/>
      <c r="V117" s="20"/>
      <c r="W117" s="20"/>
      <c r="X117" s="20"/>
      <c r="Y117" s="20"/>
      <c r="Z117" s="19"/>
      <c r="AA117" s="20"/>
      <c r="AB117" s="20"/>
      <c r="AC117" s="20"/>
      <c r="AD117" s="20"/>
      <c r="AE117" s="19"/>
      <c r="AF117" s="20"/>
      <c r="AG117" s="20"/>
      <c r="AH117" s="20"/>
      <c r="AI117" s="20"/>
      <c r="AJ117" s="19"/>
      <c r="AK117" s="20"/>
      <c r="AL117" s="20"/>
      <c r="AM117" s="20"/>
      <c r="AN117" s="20"/>
      <c r="AO117" s="19"/>
      <c r="AP117" s="20"/>
      <c r="AQ117" s="20"/>
      <c r="AR117" s="20"/>
      <c r="AS117" s="20"/>
      <c r="AT117" s="19"/>
      <c r="AU117" s="20"/>
      <c r="AV117" s="20"/>
      <c r="AW117" s="20"/>
      <c r="AX117" s="20"/>
      <c r="AY117" s="19"/>
      <c r="AZ117" s="20"/>
      <c r="BA117" s="20"/>
      <c r="BB117" s="20"/>
      <c r="BC117" s="20"/>
      <c r="BD117" s="22"/>
      <c r="BE117" s="23"/>
      <c r="BF117" s="23"/>
      <c r="BG117" s="23"/>
      <c r="BH117" s="23"/>
      <c r="BI117" s="19">
        <v>114</v>
      </c>
      <c r="BJ117" s="20" t="s">
        <v>128</v>
      </c>
      <c r="BK117" s="21">
        <v>4</v>
      </c>
      <c r="BL117" s="21">
        <f t="shared" si="26"/>
        <v>3899.75</v>
      </c>
      <c r="BM117" s="21">
        <v>15599</v>
      </c>
    </row>
    <row r="118" spans="1:65" x14ac:dyDescent="0.3">
      <c r="A118" s="19"/>
      <c r="B118" s="20"/>
      <c r="C118" s="20"/>
      <c r="D118" s="20"/>
      <c r="E118" s="20"/>
      <c r="F118" s="19"/>
      <c r="G118" s="20"/>
      <c r="H118" s="20"/>
      <c r="I118" s="20"/>
      <c r="J118" s="20"/>
      <c r="K118" s="19"/>
      <c r="L118" s="20"/>
      <c r="M118" s="20"/>
      <c r="N118" s="20"/>
      <c r="O118" s="20"/>
      <c r="P118" s="19"/>
      <c r="Q118" s="20"/>
      <c r="R118" s="20"/>
      <c r="S118" s="20"/>
      <c r="T118" s="20"/>
      <c r="U118" s="19"/>
      <c r="V118" s="20"/>
      <c r="W118" s="20"/>
      <c r="X118" s="20"/>
      <c r="Y118" s="20"/>
      <c r="Z118" s="19"/>
      <c r="AA118" s="20"/>
      <c r="AB118" s="20"/>
      <c r="AC118" s="20"/>
      <c r="AD118" s="20"/>
      <c r="AE118" s="19"/>
      <c r="AF118" s="20"/>
      <c r="AG118" s="20"/>
      <c r="AH118" s="20"/>
      <c r="AI118" s="20"/>
      <c r="AJ118" s="19"/>
      <c r="AK118" s="20"/>
      <c r="AL118" s="20"/>
      <c r="AM118" s="20"/>
      <c r="AN118" s="20"/>
      <c r="AO118" s="19"/>
      <c r="AP118" s="20"/>
      <c r="AQ118" s="20"/>
      <c r="AR118" s="20"/>
      <c r="AS118" s="20"/>
      <c r="AT118" s="19"/>
      <c r="AU118" s="20"/>
      <c r="AV118" s="20"/>
      <c r="AW118" s="20"/>
      <c r="AX118" s="20"/>
      <c r="AY118" s="19"/>
      <c r="AZ118" s="20"/>
      <c r="BA118" s="20"/>
      <c r="BB118" s="20"/>
      <c r="BC118" s="20"/>
      <c r="BD118" s="22"/>
      <c r="BE118" s="23"/>
      <c r="BF118" s="23"/>
      <c r="BG118" s="23"/>
      <c r="BH118" s="23"/>
      <c r="BI118" s="19">
        <v>115</v>
      </c>
      <c r="BJ118" s="20" t="s">
        <v>126</v>
      </c>
      <c r="BK118" s="21">
        <v>4</v>
      </c>
      <c r="BL118" s="21">
        <f t="shared" si="26"/>
        <v>5997.58</v>
      </c>
      <c r="BM118" s="21">
        <v>23990.32</v>
      </c>
    </row>
    <row r="119" spans="1:65" x14ac:dyDescent="0.3">
      <c r="A119" s="19"/>
      <c r="B119" s="20"/>
      <c r="C119" s="20"/>
      <c r="D119" s="20"/>
      <c r="E119" s="20"/>
      <c r="F119" s="19"/>
      <c r="G119" s="20"/>
      <c r="H119" s="20"/>
      <c r="I119" s="20"/>
      <c r="J119" s="20"/>
      <c r="K119" s="19"/>
      <c r="L119" s="20"/>
      <c r="M119" s="20"/>
      <c r="N119" s="20"/>
      <c r="O119" s="20"/>
      <c r="P119" s="19"/>
      <c r="Q119" s="20"/>
      <c r="R119" s="20"/>
      <c r="S119" s="20"/>
      <c r="T119" s="20"/>
      <c r="U119" s="19"/>
      <c r="V119" s="20"/>
      <c r="W119" s="20"/>
      <c r="X119" s="20"/>
      <c r="Y119" s="20"/>
      <c r="Z119" s="19"/>
      <c r="AA119" s="20"/>
      <c r="AB119" s="20"/>
      <c r="AC119" s="20"/>
      <c r="AD119" s="20"/>
      <c r="AE119" s="19"/>
      <c r="AF119" s="20"/>
      <c r="AG119" s="20"/>
      <c r="AH119" s="20"/>
      <c r="AI119" s="20"/>
      <c r="AJ119" s="19"/>
      <c r="AK119" s="20"/>
      <c r="AL119" s="20"/>
      <c r="AM119" s="20"/>
      <c r="AN119" s="20"/>
      <c r="AO119" s="19"/>
      <c r="AP119" s="20"/>
      <c r="AQ119" s="20"/>
      <c r="AR119" s="20"/>
      <c r="AS119" s="20"/>
      <c r="AT119" s="19"/>
      <c r="AU119" s="20"/>
      <c r="AV119" s="20"/>
      <c r="AW119" s="20"/>
      <c r="AX119" s="20"/>
      <c r="AY119" s="19"/>
      <c r="AZ119" s="20"/>
      <c r="BA119" s="20"/>
      <c r="BB119" s="20"/>
      <c r="BC119" s="20"/>
      <c r="BD119" s="22"/>
      <c r="BE119" s="23"/>
      <c r="BF119" s="23"/>
      <c r="BG119" s="23"/>
      <c r="BH119" s="23"/>
      <c r="BI119" s="19">
        <v>116</v>
      </c>
      <c r="BJ119" s="20" t="s">
        <v>88</v>
      </c>
      <c r="BK119" s="21">
        <v>4</v>
      </c>
      <c r="BL119" s="21">
        <f t="shared" si="26"/>
        <v>3732.6925000000001</v>
      </c>
      <c r="BM119" s="21">
        <v>14930.77</v>
      </c>
    </row>
    <row r="120" spans="1:65" x14ac:dyDescent="0.3">
      <c r="A120" s="19"/>
      <c r="B120" s="20"/>
      <c r="C120" s="20"/>
      <c r="D120" s="20"/>
      <c r="E120" s="20"/>
      <c r="F120" s="19"/>
      <c r="G120" s="20"/>
      <c r="H120" s="20"/>
      <c r="I120" s="20"/>
      <c r="J120" s="20"/>
      <c r="K120" s="19"/>
      <c r="L120" s="20"/>
      <c r="M120" s="20"/>
      <c r="N120" s="20"/>
      <c r="O120" s="20"/>
      <c r="P120" s="19"/>
      <c r="Q120" s="20"/>
      <c r="R120" s="20"/>
      <c r="S120" s="20"/>
      <c r="T120" s="20"/>
      <c r="U120" s="19"/>
      <c r="V120" s="20"/>
      <c r="W120" s="20"/>
      <c r="X120" s="20"/>
      <c r="Y120" s="20"/>
      <c r="Z120" s="19"/>
      <c r="AA120" s="20"/>
      <c r="AB120" s="20"/>
      <c r="AC120" s="20"/>
      <c r="AD120" s="20"/>
      <c r="AE120" s="19"/>
      <c r="AF120" s="20"/>
      <c r="AG120" s="20"/>
      <c r="AH120" s="20"/>
      <c r="AI120" s="20"/>
      <c r="AJ120" s="19"/>
      <c r="AK120" s="20"/>
      <c r="AL120" s="20"/>
      <c r="AM120" s="20"/>
      <c r="AN120" s="20"/>
      <c r="AO120" s="19"/>
      <c r="AP120" s="20"/>
      <c r="AQ120" s="20"/>
      <c r="AR120" s="20"/>
      <c r="AS120" s="20"/>
      <c r="AT120" s="19"/>
      <c r="AU120" s="20"/>
      <c r="AV120" s="20"/>
      <c r="AW120" s="20"/>
      <c r="AX120" s="20"/>
      <c r="AY120" s="19"/>
      <c r="AZ120" s="20"/>
      <c r="BA120" s="20"/>
      <c r="BB120" s="20"/>
      <c r="BC120" s="20"/>
      <c r="BD120" s="22"/>
      <c r="BE120" s="23"/>
      <c r="BF120" s="23"/>
      <c r="BG120" s="23"/>
      <c r="BH120" s="23"/>
      <c r="BI120" s="19">
        <v>117</v>
      </c>
      <c r="BJ120" s="20" t="s">
        <v>132</v>
      </c>
      <c r="BK120" s="21">
        <v>3</v>
      </c>
      <c r="BL120" s="21">
        <f t="shared" si="26"/>
        <v>3806.0066666666667</v>
      </c>
      <c r="BM120" s="21">
        <v>11418.02</v>
      </c>
    </row>
    <row r="121" spans="1:65" x14ac:dyDescent="0.3">
      <c r="A121" s="19"/>
      <c r="B121" s="20"/>
      <c r="C121" s="20"/>
      <c r="D121" s="20"/>
      <c r="E121" s="20"/>
      <c r="F121" s="19"/>
      <c r="G121" s="20"/>
      <c r="H121" s="20"/>
      <c r="I121" s="20"/>
      <c r="J121" s="20"/>
      <c r="K121" s="19"/>
      <c r="L121" s="20"/>
      <c r="M121" s="20"/>
      <c r="N121" s="20"/>
      <c r="O121" s="20"/>
      <c r="P121" s="19"/>
      <c r="Q121" s="20"/>
      <c r="R121" s="20"/>
      <c r="S121" s="20"/>
      <c r="T121" s="20"/>
      <c r="U121" s="19"/>
      <c r="V121" s="20"/>
      <c r="W121" s="20"/>
      <c r="X121" s="20"/>
      <c r="Y121" s="20"/>
      <c r="Z121" s="19"/>
      <c r="AA121" s="20"/>
      <c r="AB121" s="20"/>
      <c r="AC121" s="20"/>
      <c r="AD121" s="20"/>
      <c r="AE121" s="19"/>
      <c r="AF121" s="20"/>
      <c r="AG121" s="20"/>
      <c r="AH121" s="20"/>
      <c r="AI121" s="20"/>
      <c r="AJ121" s="19"/>
      <c r="AK121" s="20"/>
      <c r="AL121" s="20"/>
      <c r="AM121" s="20"/>
      <c r="AN121" s="20"/>
      <c r="AO121" s="19"/>
      <c r="AP121" s="20"/>
      <c r="AQ121" s="20"/>
      <c r="AR121" s="20"/>
      <c r="AS121" s="20"/>
      <c r="AT121" s="19"/>
      <c r="AU121" s="20"/>
      <c r="AV121" s="20"/>
      <c r="AW121" s="20"/>
      <c r="AX121" s="20"/>
      <c r="AY121" s="19"/>
      <c r="AZ121" s="20"/>
      <c r="BA121" s="20"/>
      <c r="BB121" s="20"/>
      <c r="BC121" s="20"/>
      <c r="BD121" s="22"/>
      <c r="BE121" s="23"/>
      <c r="BF121" s="23"/>
      <c r="BG121" s="23"/>
      <c r="BH121" s="23"/>
      <c r="BI121" s="19">
        <v>118</v>
      </c>
      <c r="BJ121" s="20" t="s">
        <v>144</v>
      </c>
      <c r="BK121" s="21">
        <v>3</v>
      </c>
      <c r="BL121" s="21">
        <f t="shared" si="26"/>
        <v>4409.51</v>
      </c>
      <c r="BM121" s="21">
        <v>13228.53</v>
      </c>
    </row>
    <row r="122" spans="1:65" x14ac:dyDescent="0.3">
      <c r="A122" s="19"/>
      <c r="B122" s="20"/>
      <c r="C122" s="20"/>
      <c r="D122" s="20"/>
      <c r="E122" s="20"/>
      <c r="F122" s="19"/>
      <c r="G122" s="20"/>
      <c r="H122" s="20"/>
      <c r="I122" s="20"/>
      <c r="J122" s="20"/>
      <c r="K122" s="19"/>
      <c r="L122" s="20"/>
      <c r="M122" s="20"/>
      <c r="N122" s="20"/>
      <c r="O122" s="20"/>
      <c r="P122" s="19"/>
      <c r="Q122" s="20"/>
      <c r="R122" s="20"/>
      <c r="S122" s="20"/>
      <c r="T122" s="20"/>
      <c r="U122" s="19"/>
      <c r="V122" s="20"/>
      <c r="W122" s="20"/>
      <c r="X122" s="20"/>
      <c r="Y122" s="20"/>
      <c r="Z122" s="19"/>
      <c r="AA122" s="20"/>
      <c r="AB122" s="20"/>
      <c r="AC122" s="20"/>
      <c r="AD122" s="20"/>
      <c r="AE122" s="19"/>
      <c r="AF122" s="20"/>
      <c r="AG122" s="20"/>
      <c r="AH122" s="20"/>
      <c r="AI122" s="20"/>
      <c r="AJ122" s="19"/>
      <c r="AK122" s="20"/>
      <c r="AL122" s="20"/>
      <c r="AM122" s="20"/>
      <c r="AN122" s="20"/>
      <c r="AO122" s="19"/>
      <c r="AP122" s="20"/>
      <c r="AQ122" s="20"/>
      <c r="AR122" s="20"/>
      <c r="AS122" s="20"/>
      <c r="AT122" s="19"/>
      <c r="AU122" s="20"/>
      <c r="AV122" s="20"/>
      <c r="AW122" s="20"/>
      <c r="AX122" s="20"/>
      <c r="AY122" s="19"/>
      <c r="AZ122" s="20"/>
      <c r="BA122" s="20"/>
      <c r="BB122" s="20"/>
      <c r="BC122" s="20"/>
      <c r="BD122" s="22"/>
      <c r="BE122" s="23"/>
      <c r="BF122" s="23"/>
      <c r="BG122" s="23"/>
      <c r="BH122" s="23"/>
      <c r="BI122" s="19">
        <v>119</v>
      </c>
      <c r="BJ122" s="20" t="s">
        <v>139</v>
      </c>
      <c r="BK122" s="21">
        <v>3</v>
      </c>
      <c r="BL122" s="21">
        <f t="shared" si="26"/>
        <v>4145.96</v>
      </c>
      <c r="BM122" s="21">
        <v>12437.88</v>
      </c>
    </row>
    <row r="123" spans="1:65" x14ac:dyDescent="0.3">
      <c r="A123" s="19"/>
      <c r="B123" s="20"/>
      <c r="C123" s="20"/>
      <c r="D123" s="20"/>
      <c r="E123" s="20"/>
      <c r="F123" s="19"/>
      <c r="G123" s="20"/>
      <c r="H123" s="20"/>
      <c r="I123" s="20"/>
      <c r="J123" s="20"/>
      <c r="K123" s="19"/>
      <c r="L123" s="20"/>
      <c r="M123" s="20"/>
      <c r="N123" s="20"/>
      <c r="O123" s="20"/>
      <c r="P123" s="19"/>
      <c r="Q123" s="20"/>
      <c r="R123" s="20"/>
      <c r="S123" s="20"/>
      <c r="T123" s="20"/>
      <c r="U123" s="19"/>
      <c r="V123" s="20"/>
      <c r="W123" s="20"/>
      <c r="X123" s="20"/>
      <c r="Y123" s="20"/>
      <c r="Z123" s="19"/>
      <c r="AA123" s="20"/>
      <c r="AB123" s="20"/>
      <c r="AC123" s="20"/>
      <c r="AD123" s="20"/>
      <c r="AE123" s="19"/>
      <c r="AF123" s="20"/>
      <c r="AG123" s="20"/>
      <c r="AH123" s="20"/>
      <c r="AI123" s="20"/>
      <c r="AJ123" s="19"/>
      <c r="AK123" s="20"/>
      <c r="AL123" s="20"/>
      <c r="AM123" s="20"/>
      <c r="AN123" s="20"/>
      <c r="AO123" s="19"/>
      <c r="AP123" s="20"/>
      <c r="AQ123" s="20"/>
      <c r="AR123" s="20"/>
      <c r="AS123" s="20"/>
      <c r="AT123" s="19"/>
      <c r="AU123" s="20"/>
      <c r="AV123" s="20"/>
      <c r="AW123" s="20"/>
      <c r="AX123" s="20"/>
      <c r="AY123" s="19"/>
      <c r="AZ123" s="20"/>
      <c r="BA123" s="20"/>
      <c r="BB123" s="20"/>
      <c r="BC123" s="20"/>
      <c r="BD123" s="22"/>
      <c r="BE123" s="23"/>
      <c r="BF123" s="23"/>
      <c r="BG123" s="23"/>
      <c r="BH123" s="23"/>
      <c r="BI123" s="19">
        <v>120</v>
      </c>
      <c r="BJ123" s="20" t="s">
        <v>145</v>
      </c>
      <c r="BK123" s="21">
        <v>3</v>
      </c>
      <c r="BL123" s="21">
        <f t="shared" si="26"/>
        <v>9294.2800000000007</v>
      </c>
      <c r="BM123" s="21">
        <v>27882.84</v>
      </c>
    </row>
    <row r="124" spans="1:65" x14ac:dyDescent="0.3">
      <c r="BI124" s="19">
        <v>121</v>
      </c>
      <c r="BJ124" s="20" t="s">
        <v>107</v>
      </c>
      <c r="BK124" s="21">
        <v>3</v>
      </c>
      <c r="BL124" s="21">
        <f t="shared" si="26"/>
        <v>14443.5</v>
      </c>
      <c r="BM124" s="21">
        <v>43330.5</v>
      </c>
    </row>
    <row r="125" spans="1:65" x14ac:dyDescent="0.3">
      <c r="BI125" s="19">
        <v>122</v>
      </c>
      <c r="BJ125" s="20" t="s">
        <v>134</v>
      </c>
      <c r="BK125" s="21">
        <v>2</v>
      </c>
      <c r="BL125" s="21">
        <f t="shared" si="26"/>
        <v>2633.82</v>
      </c>
      <c r="BM125" s="21">
        <v>5267.64</v>
      </c>
    </row>
    <row r="126" spans="1:65" x14ac:dyDescent="0.3">
      <c r="BI126" s="19">
        <v>123</v>
      </c>
      <c r="BJ126" s="20" t="s">
        <v>80</v>
      </c>
      <c r="BK126" s="21">
        <v>2</v>
      </c>
      <c r="BL126" s="21">
        <f t="shared" si="26"/>
        <v>4275.7299999999996</v>
      </c>
      <c r="BM126" s="21">
        <v>8551.4599999999991</v>
      </c>
    </row>
    <row r="127" spans="1:65" x14ac:dyDescent="0.3">
      <c r="BI127" s="19">
        <v>124</v>
      </c>
      <c r="BJ127" s="20" t="s">
        <v>140</v>
      </c>
      <c r="BK127" s="21">
        <v>2</v>
      </c>
      <c r="BL127" s="21">
        <f t="shared" si="26"/>
        <v>3143.59</v>
      </c>
      <c r="BM127" s="21">
        <v>6287.18</v>
      </c>
    </row>
    <row r="128" spans="1:65" x14ac:dyDescent="0.3">
      <c r="BI128" s="19">
        <v>125</v>
      </c>
      <c r="BJ128" s="20" t="s">
        <v>92</v>
      </c>
      <c r="BK128" s="21">
        <v>2</v>
      </c>
      <c r="BL128" s="21">
        <f t="shared" si="26"/>
        <v>5760.15</v>
      </c>
      <c r="BM128" s="21">
        <v>11520.3</v>
      </c>
    </row>
    <row r="129" spans="61:65" x14ac:dyDescent="0.3">
      <c r="BI129" s="19">
        <v>126</v>
      </c>
      <c r="BJ129" s="20" t="s">
        <v>141</v>
      </c>
      <c r="BK129" s="21">
        <v>2</v>
      </c>
      <c r="BL129" s="21">
        <f t="shared" si="26"/>
        <v>4698.05</v>
      </c>
      <c r="BM129" s="21">
        <v>9396.1</v>
      </c>
    </row>
    <row r="130" spans="61:65" x14ac:dyDescent="0.3">
      <c r="BI130" s="19">
        <v>127</v>
      </c>
      <c r="BJ130" s="20" t="s">
        <v>123</v>
      </c>
      <c r="BK130" s="21">
        <v>1</v>
      </c>
      <c r="BL130" s="21">
        <f t="shared" si="26"/>
        <v>8764.65</v>
      </c>
      <c r="BM130" s="21">
        <v>8764.65</v>
      </c>
    </row>
    <row r="131" spans="61:65" x14ac:dyDescent="0.3">
      <c r="BI131" s="19">
        <v>128</v>
      </c>
      <c r="BJ131" s="20" t="s">
        <v>127</v>
      </c>
      <c r="BK131" s="21">
        <v>1</v>
      </c>
      <c r="BL131" s="21">
        <f t="shared" si="26"/>
        <v>7350</v>
      </c>
      <c r="BM131" s="21">
        <v>7350</v>
      </c>
    </row>
    <row r="132" spans="61:65" x14ac:dyDescent="0.3">
      <c r="BI132" s="19">
        <v>129</v>
      </c>
      <c r="BJ132" s="20" t="s">
        <v>135</v>
      </c>
      <c r="BK132" s="21">
        <v>1</v>
      </c>
      <c r="BL132" s="21">
        <f t="shared" ref="BL132:BL134" si="27">IFERROR(BM132/BK132,0)</f>
        <v>3228.55</v>
      </c>
      <c r="BM132" s="21">
        <v>3228.55</v>
      </c>
    </row>
    <row r="133" spans="61:65" x14ac:dyDescent="0.3">
      <c r="BI133" s="19">
        <v>130</v>
      </c>
      <c r="BJ133" s="20" t="s">
        <v>119</v>
      </c>
      <c r="BK133" s="21">
        <v>1</v>
      </c>
      <c r="BL133" s="21">
        <f t="shared" si="27"/>
        <v>3369.38</v>
      </c>
      <c r="BM133" s="21">
        <v>3369.38</v>
      </c>
    </row>
    <row r="134" spans="61:65" x14ac:dyDescent="0.3">
      <c r="BI134" s="19">
        <v>131</v>
      </c>
      <c r="BJ134" s="20" t="s">
        <v>137</v>
      </c>
      <c r="BK134" s="21">
        <v>0</v>
      </c>
      <c r="BL134" s="21">
        <f t="shared" si="27"/>
        <v>0</v>
      </c>
      <c r="BM134" s="21">
        <v>3058.62</v>
      </c>
    </row>
  </sheetData>
  <mergeCells count="13">
    <mergeCell ref="BK1:BM1"/>
    <mergeCell ref="AG1:AI1"/>
    <mergeCell ref="AL1:AN1"/>
    <mergeCell ref="AQ1:AS1"/>
    <mergeCell ref="AV1:AX1"/>
    <mergeCell ref="BA1:BC1"/>
    <mergeCell ref="BF1:BH1"/>
    <mergeCell ref="C1:E1"/>
    <mergeCell ref="H1:J1"/>
    <mergeCell ref="M1:O1"/>
    <mergeCell ref="R1:T1"/>
    <mergeCell ref="W1:Y1"/>
    <mergeCell ref="A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D68F-7A5D-4097-B68D-71DECEFC3614}">
  <dimension ref="A1:BI123"/>
  <sheetViews>
    <sheetView workbookViewId="0">
      <selection activeCell="Q10" sqref="Q10:Q11"/>
    </sheetView>
  </sheetViews>
  <sheetFormatPr defaultRowHeight="14.4" x14ac:dyDescent="0.3"/>
  <cols>
    <col min="2" max="2" width="20" bestFit="1" customWidth="1"/>
    <col min="5" max="5" width="11.44140625" bestFit="1" customWidth="1"/>
    <col min="7" max="7" width="19.109375" bestFit="1" customWidth="1"/>
    <col min="10" max="10" width="13.33203125" bestFit="1" customWidth="1"/>
    <col min="12" max="12" width="19.109375" bestFit="1" customWidth="1"/>
    <col min="15" max="15" width="12.109375" bestFit="1" customWidth="1"/>
    <col min="17" max="17" width="15" bestFit="1" customWidth="1"/>
    <col min="20" max="20" width="13.33203125" bestFit="1" customWidth="1"/>
    <col min="22" max="22" width="15" bestFit="1" customWidth="1"/>
    <col min="25" max="25" width="12.109375" bestFit="1" customWidth="1"/>
    <col min="27" max="27" width="13.21875" bestFit="1" customWidth="1"/>
    <col min="30" max="30" width="12.109375" bestFit="1" customWidth="1"/>
    <col min="31" max="54" width="0" hidden="1" customWidth="1"/>
    <col min="56" max="56" width="20" bestFit="1" customWidth="1"/>
    <col min="59" max="59" width="12.44140625" bestFit="1" customWidth="1"/>
    <col min="60" max="60" width="11" customWidth="1"/>
    <col min="61" max="61" width="13.109375" bestFit="1" customWidth="1"/>
  </cols>
  <sheetData>
    <row r="1" spans="1:61" ht="15" thickBot="1" x14ac:dyDescent="0.35">
      <c r="A1" s="1"/>
      <c r="B1" s="2">
        <v>46023</v>
      </c>
      <c r="C1" s="33"/>
      <c r="D1" s="33"/>
      <c r="E1" s="33"/>
      <c r="F1" s="1"/>
      <c r="G1" s="2">
        <v>46054</v>
      </c>
      <c r="H1" s="33"/>
      <c r="I1" s="33"/>
      <c r="J1" s="33"/>
      <c r="K1" s="1"/>
      <c r="L1" s="2">
        <v>46082</v>
      </c>
      <c r="M1" s="33"/>
      <c r="N1" s="33"/>
      <c r="O1" s="33"/>
      <c r="P1" s="1"/>
      <c r="Q1" s="2">
        <v>46113</v>
      </c>
      <c r="R1" s="33"/>
      <c r="S1" s="33"/>
      <c r="T1" s="33"/>
      <c r="U1" s="1"/>
      <c r="V1" s="2">
        <v>46143</v>
      </c>
      <c r="W1" s="33"/>
      <c r="X1" s="33"/>
      <c r="Y1" s="33"/>
      <c r="Z1" s="1"/>
      <c r="AA1" s="2">
        <v>46174</v>
      </c>
      <c r="AB1" s="33"/>
      <c r="AC1" s="33"/>
      <c r="AD1" s="33"/>
      <c r="AE1" s="1"/>
      <c r="AF1" s="2">
        <v>46204</v>
      </c>
      <c r="AG1" s="33"/>
      <c r="AH1" s="33"/>
      <c r="AI1" s="1"/>
      <c r="AJ1" s="2">
        <v>46235</v>
      </c>
      <c r="AK1" s="33"/>
      <c r="AL1" s="33"/>
      <c r="AM1" s="1"/>
      <c r="AN1" s="2">
        <v>46266</v>
      </c>
      <c r="AO1" s="33"/>
      <c r="AP1" s="33"/>
      <c r="AQ1" s="1"/>
      <c r="AR1" s="2">
        <v>46296</v>
      </c>
      <c r="AS1" s="33"/>
      <c r="AT1" s="33"/>
      <c r="AU1" s="1"/>
      <c r="AV1" s="2">
        <v>46327</v>
      </c>
      <c r="AW1" s="33"/>
      <c r="AX1" s="33"/>
      <c r="AY1" s="3"/>
      <c r="AZ1" s="2">
        <v>46357</v>
      </c>
      <c r="BA1" s="33"/>
      <c r="BB1" s="33"/>
      <c r="BC1" s="4"/>
      <c r="BD1" s="5" t="s">
        <v>0</v>
      </c>
      <c r="BE1" s="32"/>
      <c r="BF1" s="33"/>
      <c r="BG1" s="33"/>
    </row>
    <row r="2" spans="1:61" ht="15" thickBot="1" x14ac:dyDescent="0.35">
      <c r="A2" s="6"/>
      <c r="B2" s="7" t="s">
        <v>1</v>
      </c>
      <c r="C2" s="8" t="s">
        <v>2</v>
      </c>
      <c r="D2" s="8" t="s">
        <v>115</v>
      </c>
      <c r="E2" s="8" t="s">
        <v>3</v>
      </c>
      <c r="F2" s="6"/>
      <c r="G2" s="7" t="s">
        <v>1</v>
      </c>
      <c r="H2" s="8" t="s">
        <v>2</v>
      </c>
      <c r="I2" s="8" t="s">
        <v>115</v>
      </c>
      <c r="J2" s="8" t="s">
        <v>3</v>
      </c>
      <c r="K2" s="6"/>
      <c r="L2" s="7" t="s">
        <v>1</v>
      </c>
      <c r="M2" s="8" t="s">
        <v>2</v>
      </c>
      <c r="N2" s="8" t="s">
        <v>115</v>
      </c>
      <c r="O2" s="8" t="s">
        <v>3</v>
      </c>
      <c r="P2" s="6"/>
      <c r="Q2" s="7" t="s">
        <v>1</v>
      </c>
      <c r="R2" s="8" t="s">
        <v>2</v>
      </c>
      <c r="S2" s="8" t="s">
        <v>115</v>
      </c>
      <c r="T2" s="8" t="s">
        <v>3</v>
      </c>
      <c r="U2" s="6"/>
      <c r="V2" s="7" t="s">
        <v>1</v>
      </c>
      <c r="W2" s="8" t="s">
        <v>2</v>
      </c>
      <c r="X2" s="8" t="s">
        <v>115</v>
      </c>
      <c r="Y2" s="8" t="s">
        <v>3</v>
      </c>
      <c r="Z2" s="6"/>
      <c r="AA2" s="7" t="s">
        <v>1</v>
      </c>
      <c r="AB2" s="8" t="s">
        <v>2</v>
      </c>
      <c r="AC2" s="8" t="s">
        <v>115</v>
      </c>
      <c r="AD2" s="8" t="s">
        <v>3</v>
      </c>
      <c r="AE2" s="6"/>
      <c r="AF2" s="7" t="s">
        <v>1</v>
      </c>
      <c r="AG2" s="8" t="s">
        <v>2</v>
      </c>
      <c r="AH2" s="8" t="s">
        <v>3</v>
      </c>
      <c r="AI2" s="6"/>
      <c r="AJ2" s="7" t="s">
        <v>1</v>
      </c>
      <c r="AK2" s="8" t="s">
        <v>2</v>
      </c>
      <c r="AL2" s="8" t="s">
        <v>3</v>
      </c>
      <c r="AM2" s="6"/>
      <c r="AN2" s="7" t="s">
        <v>1</v>
      </c>
      <c r="AO2" s="8" t="s">
        <v>2</v>
      </c>
      <c r="AP2" s="8" t="s">
        <v>3</v>
      </c>
      <c r="AQ2" s="6"/>
      <c r="AR2" s="7" t="s">
        <v>1</v>
      </c>
      <c r="AS2" s="8" t="s">
        <v>2</v>
      </c>
      <c r="AT2" s="8" t="s">
        <v>3</v>
      </c>
      <c r="AU2" s="6"/>
      <c r="AV2" s="7" t="s">
        <v>1</v>
      </c>
      <c r="AW2" s="8" t="s">
        <v>2</v>
      </c>
      <c r="AX2" s="8" t="s">
        <v>3</v>
      </c>
      <c r="AY2" s="9"/>
      <c r="AZ2" s="7" t="s">
        <v>1</v>
      </c>
      <c r="BA2" s="8" t="s">
        <v>2</v>
      </c>
      <c r="BB2" s="8" t="s">
        <v>3</v>
      </c>
      <c r="BC2" s="10"/>
      <c r="BD2" s="11" t="s">
        <v>1</v>
      </c>
      <c r="BE2" s="12" t="s">
        <v>2</v>
      </c>
      <c r="BF2" s="12" t="s">
        <v>115</v>
      </c>
      <c r="BG2" s="13" t="s">
        <v>3</v>
      </c>
    </row>
    <row r="3" spans="1:61" ht="15" thickBot="1" x14ac:dyDescent="0.35">
      <c r="A3" s="14"/>
      <c r="B3" s="15" t="s">
        <v>4</v>
      </c>
      <c r="C3" s="16">
        <f>SUM(C4:C63)</f>
        <v>9143</v>
      </c>
      <c r="D3" s="16">
        <f>IFERROR(E3/C3,0)</f>
        <v>3606.0746308651428</v>
      </c>
      <c r="E3" s="16">
        <f>SUM(E4:E90)</f>
        <v>32970340.350000001</v>
      </c>
      <c r="F3" s="14"/>
      <c r="G3" s="15" t="s">
        <v>4</v>
      </c>
      <c r="H3" s="16">
        <f>SUM(H4:H90)</f>
        <v>10203</v>
      </c>
      <c r="I3" s="16">
        <f>IFERROR(J3/H3,0)</f>
        <v>3548.6749005194533</v>
      </c>
      <c r="J3" s="16">
        <f>SUM(J4:J90)</f>
        <v>36207130.009999983</v>
      </c>
      <c r="K3" s="14"/>
      <c r="L3" s="15" t="s">
        <v>4</v>
      </c>
      <c r="M3" s="16">
        <f>SUM(M4:M90)</f>
        <v>9140</v>
      </c>
      <c r="N3" s="16">
        <f>IFERROR(O3/M3,0)</f>
        <v>3117.6438358862147</v>
      </c>
      <c r="O3" s="16">
        <f>SUM(O4:O90)</f>
        <v>28495264.660000004</v>
      </c>
      <c r="P3" s="14"/>
      <c r="Q3" s="15" t="s">
        <v>4</v>
      </c>
      <c r="R3" s="16">
        <f>SUM(R4:R90)</f>
        <v>7609</v>
      </c>
      <c r="S3" s="16">
        <f>IFERROR(T3/R3,0)</f>
        <v>3241.1510329872517</v>
      </c>
      <c r="T3" s="16">
        <f>SUM(T4:T90)</f>
        <v>24661918.209999997</v>
      </c>
      <c r="U3" s="14"/>
      <c r="V3" s="15" t="s">
        <v>4</v>
      </c>
      <c r="W3" s="16">
        <f>SUM(W4:W90)</f>
        <v>7112</v>
      </c>
      <c r="X3" s="16">
        <f>IFERROR(Y3/W3,0)</f>
        <v>3023.4560123734527</v>
      </c>
      <c r="Y3" s="16">
        <f>SUM(Y4:Y90)</f>
        <v>21502819.159999996</v>
      </c>
      <c r="Z3" s="14"/>
      <c r="AA3" s="15" t="s">
        <v>4</v>
      </c>
      <c r="AB3" s="16">
        <f>SUM(AB4:AB90)</f>
        <v>7082</v>
      </c>
      <c r="AC3" s="16">
        <f>IFERROR(AD3/AB3,0)</f>
        <v>3171.9418186952844</v>
      </c>
      <c r="AD3" s="16">
        <f>SUM(AD4:AD90)</f>
        <v>22463691.960000005</v>
      </c>
      <c r="AE3" s="14"/>
      <c r="AF3" s="15" t="s">
        <v>4</v>
      </c>
      <c r="AG3" s="16">
        <f>SUM(AG4:AG90)</f>
        <v>0</v>
      </c>
      <c r="AH3" s="16">
        <f>SUM(AH4:AH90)</f>
        <v>0</v>
      </c>
      <c r="AI3" s="14"/>
      <c r="AJ3" s="15" t="s">
        <v>4</v>
      </c>
      <c r="AK3" s="16">
        <f>SUM(AK4:AK90)</f>
        <v>0</v>
      </c>
      <c r="AL3" s="16">
        <f>SUM(AL4:AL90)</f>
        <v>0</v>
      </c>
      <c r="AM3" s="14"/>
      <c r="AN3" s="15" t="s">
        <v>4</v>
      </c>
      <c r="AO3" s="16">
        <f>SUM(AO4:AO90)</f>
        <v>0</v>
      </c>
      <c r="AP3" s="16">
        <f>SUM(AP4:AP90)</f>
        <v>0</v>
      </c>
      <c r="AQ3" s="14"/>
      <c r="AR3" s="15" t="s">
        <v>4</v>
      </c>
      <c r="AS3" s="16">
        <f>SUM(AS4:AS90)</f>
        <v>0</v>
      </c>
      <c r="AT3" s="16">
        <f>SUM(AT4:AT90)</f>
        <v>0</v>
      </c>
      <c r="AU3" s="14"/>
      <c r="AV3" s="15" t="s">
        <v>4</v>
      </c>
      <c r="AW3" s="16">
        <f>SUM(AW4:AW90)</f>
        <v>0</v>
      </c>
      <c r="AX3" s="16">
        <f>SUM(AX4:AX90)</f>
        <v>0</v>
      </c>
      <c r="AY3" s="17"/>
      <c r="AZ3" s="15" t="s">
        <v>4</v>
      </c>
      <c r="BA3" s="16">
        <f>SUM(BA4:BA90)</f>
        <v>0</v>
      </c>
      <c r="BB3" s="16">
        <f>SUM(BB4:BB90)</f>
        <v>0</v>
      </c>
      <c r="BC3" s="18"/>
      <c r="BD3" s="15" t="s">
        <v>4</v>
      </c>
      <c r="BE3" s="16">
        <f>SUM(BE4:BE153)</f>
        <v>50303</v>
      </c>
      <c r="BF3" s="16">
        <f>IFERROR(BG3/BE3,0)</f>
        <v>3309.7025952726481</v>
      </c>
      <c r="BG3" s="16">
        <f>SUM(BG4:BG159)</f>
        <v>166487969.65000001</v>
      </c>
      <c r="BH3" t="s">
        <v>113</v>
      </c>
      <c r="BI3" t="s">
        <v>114</v>
      </c>
    </row>
    <row r="4" spans="1:61" x14ac:dyDescent="0.3">
      <c r="A4" s="19">
        <v>1</v>
      </c>
      <c r="B4" s="20" t="s">
        <v>5</v>
      </c>
      <c r="C4" s="21">
        <v>2704</v>
      </c>
      <c r="D4" s="21">
        <f t="shared" ref="D4:D67" si="0">IFERROR(E4/C4,0)</f>
        <v>3427.5643934911241</v>
      </c>
      <c r="E4" s="21">
        <v>9268134.1199999992</v>
      </c>
      <c r="F4" s="19">
        <v>1</v>
      </c>
      <c r="G4" s="20" t="s">
        <v>5</v>
      </c>
      <c r="H4" s="21">
        <v>4314</v>
      </c>
      <c r="I4" s="21">
        <f t="shared" ref="I4:I67" si="1">IFERROR(J4/H4,0)</f>
        <v>3575.9913606861383</v>
      </c>
      <c r="J4" s="21">
        <v>15426826.73</v>
      </c>
      <c r="K4" s="19">
        <v>1</v>
      </c>
      <c r="L4" s="20" t="s">
        <v>5</v>
      </c>
      <c r="M4" s="21">
        <v>2522</v>
      </c>
      <c r="N4" s="21">
        <f t="shared" ref="N4:N67" si="2">IFERROR(O4/M4,0)</f>
        <v>3102.9277993655828</v>
      </c>
      <c r="O4" s="21">
        <v>7825583.9100000001</v>
      </c>
      <c r="P4" s="19">
        <v>1</v>
      </c>
      <c r="Q4" s="20" t="s">
        <v>5</v>
      </c>
      <c r="R4" s="21">
        <v>3353</v>
      </c>
      <c r="S4" s="21">
        <f t="shared" ref="S4:S67" si="3">IFERROR(T4/R4,0)</f>
        <v>3230.7556248135998</v>
      </c>
      <c r="T4" s="21">
        <v>10832723.609999999</v>
      </c>
      <c r="U4" s="19">
        <v>1</v>
      </c>
      <c r="V4" s="20" t="s">
        <v>5</v>
      </c>
      <c r="W4" s="21">
        <v>2790</v>
      </c>
      <c r="X4" s="21">
        <f t="shared" ref="X4:X67" si="4">IFERROR(Y4/W4,0)</f>
        <v>2822.3922114695338</v>
      </c>
      <c r="Y4" s="21">
        <v>7874474.2699999996</v>
      </c>
      <c r="Z4" s="19">
        <v>1</v>
      </c>
      <c r="AA4" s="20" t="s">
        <v>5</v>
      </c>
      <c r="AB4" s="21">
        <v>2930</v>
      </c>
      <c r="AC4" s="21">
        <f t="shared" ref="AC4:AC64" si="5">IFERROR(AD4/AB4,0)</f>
        <v>2962.6667781569968</v>
      </c>
      <c r="AD4" s="21">
        <v>8680613.6600000001</v>
      </c>
      <c r="AE4" s="19"/>
      <c r="AF4" s="20"/>
      <c r="AG4" s="20"/>
      <c r="AH4" s="20"/>
      <c r="AI4" s="19"/>
      <c r="AJ4" s="20"/>
      <c r="AK4" s="20"/>
      <c r="AL4" s="20"/>
      <c r="AM4" s="19"/>
      <c r="AN4" s="20"/>
      <c r="AO4" s="20"/>
      <c r="AP4" s="20"/>
      <c r="AQ4" s="19"/>
      <c r="AR4" s="20"/>
      <c r="AS4" s="20"/>
      <c r="AT4" s="20"/>
      <c r="AU4" s="19"/>
      <c r="AV4" s="20"/>
      <c r="AW4" s="20"/>
      <c r="AX4" s="20"/>
      <c r="AY4" s="22"/>
      <c r="AZ4" s="23"/>
      <c r="BA4" s="23"/>
      <c r="BB4" s="23"/>
      <c r="BC4" s="19">
        <v>1</v>
      </c>
      <c r="BD4" s="20" t="s">
        <v>5</v>
      </c>
      <c r="BE4" s="21">
        <v>18621</v>
      </c>
      <c r="BF4" s="21">
        <f t="shared" ref="BF4:BF67" si="6">IFERROR(BG4/BE4,0)</f>
        <v>3218.9923559422155</v>
      </c>
      <c r="BG4" s="21">
        <v>59940856.659999996</v>
      </c>
      <c r="BH4" s="29">
        <f>BE4/$BE$3</f>
        <v>0.37017672902212589</v>
      </c>
      <c r="BI4" s="29">
        <f>BG4/$BG$3</f>
        <v>0.36003115892404058</v>
      </c>
    </row>
    <row r="5" spans="1:61" x14ac:dyDescent="0.3">
      <c r="A5" s="19">
        <v>2</v>
      </c>
      <c r="B5" s="20" t="s">
        <v>6</v>
      </c>
      <c r="C5" s="21">
        <v>777</v>
      </c>
      <c r="D5" s="21">
        <f t="shared" si="0"/>
        <v>2686.5648133848135</v>
      </c>
      <c r="E5" s="21">
        <v>2087460.86</v>
      </c>
      <c r="F5" s="19">
        <v>2</v>
      </c>
      <c r="G5" s="20" t="s">
        <v>7</v>
      </c>
      <c r="H5" s="21">
        <v>1102</v>
      </c>
      <c r="I5" s="21">
        <f t="shared" si="1"/>
        <v>2374.557177858439</v>
      </c>
      <c r="J5" s="21">
        <v>2616762.0099999998</v>
      </c>
      <c r="K5" s="19">
        <v>2</v>
      </c>
      <c r="L5" s="20" t="s">
        <v>7</v>
      </c>
      <c r="M5" s="21">
        <v>1158</v>
      </c>
      <c r="N5" s="21">
        <f t="shared" si="2"/>
        <v>2354.8167875647669</v>
      </c>
      <c r="O5" s="21">
        <v>2726877.84</v>
      </c>
      <c r="P5" s="19">
        <v>2</v>
      </c>
      <c r="Q5" s="20" t="s">
        <v>6</v>
      </c>
      <c r="R5" s="21">
        <v>453</v>
      </c>
      <c r="S5" s="21">
        <f t="shared" si="3"/>
        <v>2729.066048565121</v>
      </c>
      <c r="T5" s="21">
        <v>1236266.92</v>
      </c>
      <c r="U5" s="19">
        <v>2</v>
      </c>
      <c r="V5" s="20" t="s">
        <v>6</v>
      </c>
      <c r="W5" s="21">
        <v>472</v>
      </c>
      <c r="X5" s="21">
        <f t="shared" si="4"/>
        <v>2631.0221822033895</v>
      </c>
      <c r="Y5" s="21">
        <v>1241842.47</v>
      </c>
      <c r="Z5" s="19">
        <v>2</v>
      </c>
      <c r="AA5" s="20" t="s">
        <v>6</v>
      </c>
      <c r="AB5" s="21">
        <v>552</v>
      </c>
      <c r="AC5" s="21">
        <f t="shared" si="5"/>
        <v>2710.7228804347828</v>
      </c>
      <c r="AD5" s="21">
        <v>1496319.03</v>
      </c>
      <c r="AE5" s="19"/>
      <c r="AF5" s="20"/>
      <c r="AG5" s="20"/>
      <c r="AH5" s="20"/>
      <c r="AI5" s="19"/>
      <c r="AJ5" s="20"/>
      <c r="AK5" s="20"/>
      <c r="AL5" s="20"/>
      <c r="AM5" s="19"/>
      <c r="AN5" s="20"/>
      <c r="AO5" s="20"/>
      <c r="AP5" s="20"/>
      <c r="AQ5" s="19"/>
      <c r="AR5" s="20"/>
      <c r="AS5" s="20"/>
      <c r="AT5" s="20"/>
      <c r="AU5" s="19"/>
      <c r="AV5" s="20"/>
      <c r="AW5" s="20"/>
      <c r="AX5" s="20"/>
      <c r="AY5" s="22"/>
      <c r="AZ5" s="23"/>
      <c r="BA5" s="23"/>
      <c r="BB5" s="23"/>
      <c r="BC5" s="19">
        <v>2</v>
      </c>
      <c r="BD5" s="20" t="s">
        <v>6</v>
      </c>
      <c r="BE5" s="21">
        <v>3599</v>
      </c>
      <c r="BF5" s="21">
        <f t="shared" si="6"/>
        <v>2751.02186162823</v>
      </c>
      <c r="BG5" s="21">
        <v>9900927.6799999997</v>
      </c>
      <c r="BH5" s="29">
        <f t="shared" ref="BH5:BH68" si="7">BE5/$BE$3</f>
        <v>7.1546428642426899E-2</v>
      </c>
      <c r="BI5" s="29">
        <f t="shared" ref="BI5:BI68" si="8">BG5/$BG$3</f>
        <v>5.9469328029011732E-2</v>
      </c>
    </row>
    <row r="6" spans="1:61" x14ac:dyDescent="0.3">
      <c r="A6" s="19">
        <v>3</v>
      </c>
      <c r="B6" s="20" t="s">
        <v>7</v>
      </c>
      <c r="C6" s="21">
        <v>649</v>
      </c>
      <c r="D6" s="21">
        <f t="shared" si="0"/>
        <v>2504.437272727273</v>
      </c>
      <c r="E6" s="21">
        <v>1625379.79</v>
      </c>
      <c r="F6" s="19">
        <v>3</v>
      </c>
      <c r="G6" s="20" t="s">
        <v>6</v>
      </c>
      <c r="H6" s="21">
        <v>737</v>
      </c>
      <c r="I6" s="21">
        <f t="shared" si="1"/>
        <v>2948.6239484396201</v>
      </c>
      <c r="J6" s="21">
        <v>2173135.85</v>
      </c>
      <c r="K6" s="19">
        <v>3</v>
      </c>
      <c r="L6" s="20" t="s">
        <v>6</v>
      </c>
      <c r="M6" s="21">
        <v>609</v>
      </c>
      <c r="N6" s="21">
        <f t="shared" si="2"/>
        <v>2742.3655336617408</v>
      </c>
      <c r="O6" s="21">
        <v>1670100.61</v>
      </c>
      <c r="P6" s="19">
        <v>3</v>
      </c>
      <c r="Q6" s="20" t="s">
        <v>8</v>
      </c>
      <c r="R6" s="21">
        <v>297</v>
      </c>
      <c r="S6" s="21">
        <f t="shared" si="3"/>
        <v>3790.2835690235688</v>
      </c>
      <c r="T6" s="21">
        <v>1125714.22</v>
      </c>
      <c r="U6" s="19">
        <v>3</v>
      </c>
      <c r="V6" s="20" t="s">
        <v>9</v>
      </c>
      <c r="W6" s="21">
        <v>360</v>
      </c>
      <c r="X6" s="21">
        <f t="shared" si="4"/>
        <v>3083.7373888888887</v>
      </c>
      <c r="Y6" s="21">
        <v>1110145.46</v>
      </c>
      <c r="Z6" s="19">
        <v>3</v>
      </c>
      <c r="AA6" s="20" t="s">
        <v>9</v>
      </c>
      <c r="AB6" s="21">
        <v>352</v>
      </c>
      <c r="AC6" s="21">
        <f t="shared" si="5"/>
        <v>2993.3260511363637</v>
      </c>
      <c r="AD6" s="21">
        <v>1053650.77</v>
      </c>
      <c r="AE6" s="19"/>
      <c r="AF6" s="20"/>
      <c r="AG6" s="20"/>
      <c r="AH6" s="20"/>
      <c r="AI6" s="19"/>
      <c r="AJ6" s="20"/>
      <c r="AK6" s="20"/>
      <c r="AL6" s="20"/>
      <c r="AM6" s="19"/>
      <c r="AN6" s="20"/>
      <c r="AO6" s="20"/>
      <c r="AP6" s="20"/>
      <c r="AQ6" s="19"/>
      <c r="AR6" s="20"/>
      <c r="AS6" s="20"/>
      <c r="AT6" s="20"/>
      <c r="AU6" s="19"/>
      <c r="AV6" s="20"/>
      <c r="AW6" s="20"/>
      <c r="AX6" s="20"/>
      <c r="AY6" s="22"/>
      <c r="AZ6" s="23"/>
      <c r="BA6" s="23"/>
      <c r="BB6" s="23"/>
      <c r="BC6" s="19">
        <v>3</v>
      </c>
      <c r="BD6" s="20" t="s">
        <v>7</v>
      </c>
      <c r="BE6" s="21">
        <v>2922</v>
      </c>
      <c r="BF6" s="21">
        <f t="shared" si="6"/>
        <v>2404.7139904175224</v>
      </c>
      <c r="BG6" s="21">
        <v>7026574.2800000003</v>
      </c>
      <c r="BH6" s="29">
        <f t="shared" si="7"/>
        <v>5.8087986799992046E-2</v>
      </c>
      <c r="BI6" s="29">
        <f t="shared" si="8"/>
        <v>4.2204696800445363E-2</v>
      </c>
    </row>
    <row r="7" spans="1:61" x14ac:dyDescent="0.3">
      <c r="A7" s="19">
        <v>4</v>
      </c>
      <c r="B7" s="20" t="s">
        <v>10</v>
      </c>
      <c r="C7" s="21">
        <v>383</v>
      </c>
      <c r="D7" s="21">
        <f t="shared" si="0"/>
        <v>3539.0675718015664</v>
      </c>
      <c r="E7" s="21">
        <v>1355462.88</v>
      </c>
      <c r="F7" s="19">
        <v>4</v>
      </c>
      <c r="G7" s="20" t="s">
        <v>10</v>
      </c>
      <c r="H7" s="21">
        <v>350</v>
      </c>
      <c r="I7" s="21">
        <f t="shared" si="1"/>
        <v>3501.1958857142859</v>
      </c>
      <c r="J7" s="21">
        <v>1225418.56</v>
      </c>
      <c r="K7" s="19">
        <v>4</v>
      </c>
      <c r="L7" s="20" t="s">
        <v>10</v>
      </c>
      <c r="M7" s="21">
        <v>385</v>
      </c>
      <c r="N7" s="21">
        <f t="shared" si="2"/>
        <v>3128.7766493506492</v>
      </c>
      <c r="O7" s="21">
        <v>1204579.01</v>
      </c>
      <c r="P7" s="19">
        <v>4</v>
      </c>
      <c r="Q7" s="20" t="s">
        <v>18</v>
      </c>
      <c r="R7" s="21">
        <v>295</v>
      </c>
      <c r="S7" s="21">
        <f t="shared" si="3"/>
        <v>2786.9518644067798</v>
      </c>
      <c r="T7" s="21">
        <v>822150.8</v>
      </c>
      <c r="U7" s="19">
        <v>4</v>
      </c>
      <c r="V7" s="20" t="s">
        <v>8</v>
      </c>
      <c r="W7" s="21">
        <v>276</v>
      </c>
      <c r="X7" s="21">
        <f t="shared" si="4"/>
        <v>3223.9317753623191</v>
      </c>
      <c r="Y7" s="21">
        <v>889805.17</v>
      </c>
      <c r="Z7" s="19">
        <v>4</v>
      </c>
      <c r="AA7" s="20" t="s">
        <v>108</v>
      </c>
      <c r="AB7" s="21">
        <v>348</v>
      </c>
      <c r="AC7" s="21">
        <f t="shared" si="5"/>
        <v>3811.9611781609196</v>
      </c>
      <c r="AD7" s="21">
        <v>1326562.49</v>
      </c>
      <c r="AE7" s="19"/>
      <c r="AF7" s="20"/>
      <c r="AG7" s="20"/>
      <c r="AH7" s="20"/>
      <c r="AI7" s="19"/>
      <c r="AJ7" s="20"/>
      <c r="AK7" s="20"/>
      <c r="AL7" s="20"/>
      <c r="AM7" s="19"/>
      <c r="AN7" s="20"/>
      <c r="AO7" s="20"/>
      <c r="AP7" s="20"/>
      <c r="AQ7" s="19"/>
      <c r="AR7" s="20"/>
      <c r="AS7" s="20"/>
      <c r="AT7" s="20"/>
      <c r="AU7" s="19"/>
      <c r="AV7" s="20"/>
      <c r="AW7" s="20"/>
      <c r="AX7" s="20"/>
      <c r="AY7" s="22"/>
      <c r="AZ7" s="23"/>
      <c r="BA7" s="23"/>
      <c r="BB7" s="23"/>
      <c r="BC7" s="19">
        <v>4</v>
      </c>
      <c r="BD7" s="20" t="s">
        <v>9</v>
      </c>
      <c r="BE7" s="21">
        <v>1964</v>
      </c>
      <c r="BF7" s="21">
        <f t="shared" si="6"/>
        <v>3108.2950560081467</v>
      </c>
      <c r="BG7" s="21">
        <v>6104691.4900000002</v>
      </c>
      <c r="BH7" s="29">
        <f t="shared" si="7"/>
        <v>3.9043397014094587E-2</v>
      </c>
      <c r="BI7" s="29">
        <f t="shared" si="8"/>
        <v>3.6667463137628573E-2</v>
      </c>
    </row>
    <row r="8" spans="1:61" x14ac:dyDescent="0.3">
      <c r="A8" s="19">
        <v>5</v>
      </c>
      <c r="B8" s="20" t="s">
        <v>9</v>
      </c>
      <c r="C8" s="21">
        <v>362</v>
      </c>
      <c r="D8" s="21">
        <f t="shared" si="0"/>
        <v>3029.9117403314917</v>
      </c>
      <c r="E8" s="21">
        <v>1096828.05</v>
      </c>
      <c r="F8" s="19">
        <v>5</v>
      </c>
      <c r="G8" s="20" t="s">
        <v>11</v>
      </c>
      <c r="H8" s="21">
        <v>329</v>
      </c>
      <c r="I8" s="21">
        <f t="shared" si="1"/>
        <v>3858.4915805471123</v>
      </c>
      <c r="J8" s="21">
        <v>1269443.73</v>
      </c>
      <c r="K8" s="19">
        <v>5</v>
      </c>
      <c r="L8" s="20" t="s">
        <v>108</v>
      </c>
      <c r="M8" s="21">
        <v>360</v>
      </c>
      <c r="N8" s="21">
        <f t="shared" si="2"/>
        <v>3247.5559444444443</v>
      </c>
      <c r="O8" s="21">
        <v>1169120.1399999999</v>
      </c>
      <c r="P8" s="19">
        <v>5</v>
      </c>
      <c r="Q8" s="20" t="s">
        <v>108</v>
      </c>
      <c r="R8" s="21">
        <v>290</v>
      </c>
      <c r="S8" s="21">
        <f t="shared" si="3"/>
        <v>3616.9251034482759</v>
      </c>
      <c r="T8" s="21">
        <v>1048908.28</v>
      </c>
      <c r="U8" s="19">
        <v>5</v>
      </c>
      <c r="V8" s="20" t="s">
        <v>110</v>
      </c>
      <c r="W8" s="21">
        <v>256</v>
      </c>
      <c r="X8" s="21">
        <f t="shared" si="4"/>
        <v>3272.0713671875001</v>
      </c>
      <c r="Y8" s="21">
        <v>837650.27</v>
      </c>
      <c r="Z8" s="19">
        <v>5</v>
      </c>
      <c r="AA8" s="20" t="s">
        <v>8</v>
      </c>
      <c r="AB8" s="21">
        <v>218</v>
      </c>
      <c r="AC8" s="21">
        <f t="shared" si="5"/>
        <v>3130.6931651376144</v>
      </c>
      <c r="AD8" s="21">
        <v>682491.11</v>
      </c>
      <c r="AE8" s="19"/>
      <c r="AF8" s="20"/>
      <c r="AG8" s="20"/>
      <c r="AH8" s="20"/>
      <c r="AI8" s="19"/>
      <c r="AJ8" s="20"/>
      <c r="AK8" s="20"/>
      <c r="AL8" s="20"/>
      <c r="AM8" s="19"/>
      <c r="AN8" s="20"/>
      <c r="AO8" s="20"/>
      <c r="AP8" s="20"/>
      <c r="AQ8" s="19"/>
      <c r="AR8" s="20"/>
      <c r="AS8" s="20"/>
      <c r="AT8" s="20"/>
      <c r="AU8" s="19"/>
      <c r="AV8" s="20"/>
      <c r="AW8" s="20"/>
      <c r="AX8" s="20"/>
      <c r="AY8" s="22"/>
      <c r="AZ8" s="23"/>
      <c r="BA8" s="23"/>
      <c r="BB8" s="23"/>
      <c r="BC8" s="19">
        <v>5</v>
      </c>
      <c r="BD8" s="20" t="s">
        <v>108</v>
      </c>
      <c r="BE8" s="21">
        <v>1729</v>
      </c>
      <c r="BF8" s="21">
        <f t="shared" si="6"/>
        <v>3710.6308964719492</v>
      </c>
      <c r="BG8" s="21">
        <v>6415680.8200000003</v>
      </c>
      <c r="BH8" s="29">
        <f t="shared" si="7"/>
        <v>3.4371707452835812E-2</v>
      </c>
      <c r="BI8" s="29">
        <f t="shared" si="8"/>
        <v>3.8535401888120747E-2</v>
      </c>
    </row>
    <row r="9" spans="1:61" x14ac:dyDescent="0.3">
      <c r="A9" s="19">
        <v>6</v>
      </c>
      <c r="B9" s="20" t="s">
        <v>8</v>
      </c>
      <c r="C9" s="21">
        <v>328</v>
      </c>
      <c r="D9" s="21">
        <f t="shared" si="0"/>
        <v>3548.8792378048779</v>
      </c>
      <c r="E9" s="21">
        <v>1164032.3899999999</v>
      </c>
      <c r="F9" s="19">
        <v>6</v>
      </c>
      <c r="G9" s="20" t="s">
        <v>108</v>
      </c>
      <c r="H9" s="21">
        <v>307</v>
      </c>
      <c r="I9" s="21">
        <f t="shared" si="1"/>
        <v>4156.0179478827358</v>
      </c>
      <c r="J9" s="21">
        <v>1275897.51</v>
      </c>
      <c r="K9" s="19">
        <v>6</v>
      </c>
      <c r="L9" s="20" t="s">
        <v>9</v>
      </c>
      <c r="M9" s="21">
        <v>346</v>
      </c>
      <c r="N9" s="21">
        <f t="shared" si="2"/>
        <v>3216.2160115606935</v>
      </c>
      <c r="O9" s="21">
        <v>1112810.74</v>
      </c>
      <c r="P9" s="19">
        <v>6</v>
      </c>
      <c r="Q9" s="20" t="s">
        <v>9</v>
      </c>
      <c r="R9" s="21">
        <v>226</v>
      </c>
      <c r="S9" s="21">
        <f t="shared" si="3"/>
        <v>3039.8595132743362</v>
      </c>
      <c r="T9" s="21">
        <v>687008.25</v>
      </c>
      <c r="U9" s="19">
        <v>6</v>
      </c>
      <c r="V9" s="20" t="s">
        <v>108</v>
      </c>
      <c r="W9" s="21">
        <v>233</v>
      </c>
      <c r="X9" s="21">
        <f t="shared" si="4"/>
        <v>3076.5808154506435</v>
      </c>
      <c r="Y9" s="21">
        <v>716843.33</v>
      </c>
      <c r="Z9" s="19">
        <v>6</v>
      </c>
      <c r="AA9" s="20" t="s">
        <v>111</v>
      </c>
      <c r="AB9" s="21">
        <v>208</v>
      </c>
      <c r="AC9" s="21">
        <f t="shared" si="5"/>
        <v>3314.9179807692303</v>
      </c>
      <c r="AD9" s="21">
        <v>689502.94</v>
      </c>
      <c r="AE9" s="19"/>
      <c r="AF9" s="20"/>
      <c r="AG9" s="20"/>
      <c r="AH9" s="20"/>
      <c r="AI9" s="19"/>
      <c r="AJ9" s="20"/>
      <c r="AK9" s="20"/>
      <c r="AL9" s="20"/>
      <c r="AM9" s="19"/>
      <c r="AN9" s="20"/>
      <c r="AO9" s="20"/>
      <c r="AP9" s="20"/>
      <c r="AQ9" s="19"/>
      <c r="AR9" s="20"/>
      <c r="AS9" s="20"/>
      <c r="AT9" s="20"/>
      <c r="AU9" s="19"/>
      <c r="AV9" s="20"/>
      <c r="AW9" s="20"/>
      <c r="AX9" s="20"/>
      <c r="AY9" s="22"/>
      <c r="AZ9" s="23"/>
      <c r="BA9" s="23"/>
      <c r="BB9" s="23"/>
      <c r="BC9" s="19">
        <v>6</v>
      </c>
      <c r="BD9" s="20" t="s">
        <v>8</v>
      </c>
      <c r="BE9" s="21">
        <v>1628</v>
      </c>
      <c r="BF9" s="21">
        <f t="shared" si="6"/>
        <v>3460.3773095823094</v>
      </c>
      <c r="BG9" s="21">
        <v>5633494.2599999998</v>
      </c>
      <c r="BH9" s="29">
        <f t="shared" si="7"/>
        <v>3.2363874917996936E-2</v>
      </c>
      <c r="BI9" s="29">
        <f t="shared" si="8"/>
        <v>3.3837245248668928E-2</v>
      </c>
    </row>
    <row r="10" spans="1:61" x14ac:dyDescent="0.3">
      <c r="A10" s="19">
        <v>7</v>
      </c>
      <c r="B10" s="20" t="s">
        <v>110</v>
      </c>
      <c r="C10" s="21">
        <v>285</v>
      </c>
      <c r="D10" s="21">
        <f t="shared" si="0"/>
        <v>4330.6911228070176</v>
      </c>
      <c r="E10" s="21">
        <v>1234246.97</v>
      </c>
      <c r="F10" s="19">
        <v>7</v>
      </c>
      <c r="G10" s="20" t="s">
        <v>9</v>
      </c>
      <c r="H10" s="21">
        <v>288</v>
      </c>
      <c r="I10" s="21">
        <f t="shared" si="1"/>
        <v>3596.7906944444444</v>
      </c>
      <c r="J10" s="21">
        <v>1035875.72</v>
      </c>
      <c r="K10" s="19">
        <v>7</v>
      </c>
      <c r="L10" s="20" t="s">
        <v>18</v>
      </c>
      <c r="M10" s="21">
        <v>324</v>
      </c>
      <c r="N10" s="21">
        <f t="shared" si="2"/>
        <v>3177.6165432098765</v>
      </c>
      <c r="O10" s="21">
        <v>1029547.76</v>
      </c>
      <c r="P10" s="19">
        <v>7</v>
      </c>
      <c r="Q10" s="20" t="s">
        <v>11</v>
      </c>
      <c r="R10" s="21">
        <v>226</v>
      </c>
      <c r="S10" s="21">
        <f t="shared" si="3"/>
        <v>3134.7335398230089</v>
      </c>
      <c r="T10" s="21">
        <v>708449.78</v>
      </c>
      <c r="U10" s="19">
        <v>7</v>
      </c>
      <c r="V10" s="20" t="s">
        <v>12</v>
      </c>
      <c r="W10" s="21">
        <v>207</v>
      </c>
      <c r="X10" s="21">
        <f t="shared" si="4"/>
        <v>3465.0729951690819</v>
      </c>
      <c r="Y10" s="21">
        <v>717270.11</v>
      </c>
      <c r="Z10" s="19">
        <v>7</v>
      </c>
      <c r="AA10" s="20" t="s">
        <v>13</v>
      </c>
      <c r="AB10" s="21">
        <v>174</v>
      </c>
      <c r="AC10" s="21">
        <f t="shared" si="5"/>
        <v>3106.6685057471263</v>
      </c>
      <c r="AD10" s="21">
        <v>540560.31999999995</v>
      </c>
      <c r="AE10" s="19"/>
      <c r="AF10" s="20"/>
      <c r="AG10" s="20"/>
      <c r="AH10" s="20"/>
      <c r="AI10" s="19"/>
      <c r="AJ10" s="20"/>
      <c r="AK10" s="20"/>
      <c r="AL10" s="20"/>
      <c r="AM10" s="19"/>
      <c r="AN10" s="20"/>
      <c r="AO10" s="20"/>
      <c r="AP10" s="20"/>
      <c r="AQ10" s="19"/>
      <c r="AR10" s="20"/>
      <c r="AS10" s="20"/>
      <c r="AT10" s="20"/>
      <c r="AU10" s="19"/>
      <c r="AV10" s="20"/>
      <c r="AW10" s="20"/>
      <c r="AX10" s="20"/>
      <c r="AY10" s="22"/>
      <c r="AZ10" s="23"/>
      <c r="BA10" s="23"/>
      <c r="BB10" s="23"/>
      <c r="BC10" s="19">
        <v>7</v>
      </c>
      <c r="BD10" s="20" t="s">
        <v>10</v>
      </c>
      <c r="BE10" s="21">
        <v>1528</v>
      </c>
      <c r="BF10" s="21">
        <f t="shared" si="6"/>
        <v>3293.4734554973825</v>
      </c>
      <c r="BG10" s="21">
        <v>5032427.4400000004</v>
      </c>
      <c r="BH10" s="29">
        <f t="shared" si="7"/>
        <v>3.0375921913205973E-2</v>
      </c>
      <c r="BI10" s="29">
        <f t="shared" si="8"/>
        <v>3.022697345988086E-2</v>
      </c>
    </row>
    <row r="11" spans="1:61" x14ac:dyDescent="0.3">
      <c r="A11" s="19">
        <v>8</v>
      </c>
      <c r="B11" s="20" t="s">
        <v>108</v>
      </c>
      <c r="C11" s="21">
        <v>280</v>
      </c>
      <c r="D11" s="21">
        <f t="shared" si="0"/>
        <v>3910.7198928571429</v>
      </c>
      <c r="E11" s="21">
        <v>1095001.57</v>
      </c>
      <c r="F11" s="19">
        <v>8</v>
      </c>
      <c r="G11" s="20" t="s">
        <v>110</v>
      </c>
      <c r="H11" s="21">
        <v>281</v>
      </c>
      <c r="I11" s="21">
        <f t="shared" si="1"/>
        <v>3951.9170818505336</v>
      </c>
      <c r="J11" s="21">
        <v>1110488.7</v>
      </c>
      <c r="K11" s="19">
        <v>8</v>
      </c>
      <c r="L11" s="20" t="s">
        <v>14</v>
      </c>
      <c r="M11" s="21">
        <v>295</v>
      </c>
      <c r="N11" s="21">
        <f t="shared" si="2"/>
        <v>3693.5221016949154</v>
      </c>
      <c r="O11" s="21">
        <v>1089589.02</v>
      </c>
      <c r="P11" s="19">
        <v>8</v>
      </c>
      <c r="Q11" s="20" t="s">
        <v>15</v>
      </c>
      <c r="R11" s="21">
        <v>216</v>
      </c>
      <c r="S11" s="21">
        <f t="shared" si="3"/>
        <v>3071.5506018518522</v>
      </c>
      <c r="T11" s="21">
        <v>663454.93000000005</v>
      </c>
      <c r="U11" s="19">
        <v>8</v>
      </c>
      <c r="V11" s="20" t="s">
        <v>16</v>
      </c>
      <c r="W11" s="21">
        <v>204</v>
      </c>
      <c r="X11" s="21">
        <f t="shared" si="4"/>
        <v>3504.948823529412</v>
      </c>
      <c r="Y11" s="21">
        <v>715009.56</v>
      </c>
      <c r="Z11" s="19">
        <v>8</v>
      </c>
      <c r="AA11" s="20" t="s">
        <v>17</v>
      </c>
      <c r="AB11" s="21">
        <v>170</v>
      </c>
      <c r="AC11" s="21">
        <f t="shared" si="5"/>
        <v>2872.8662352941178</v>
      </c>
      <c r="AD11" s="21">
        <v>488387.26</v>
      </c>
      <c r="AE11" s="19"/>
      <c r="AF11" s="20"/>
      <c r="AG11" s="20"/>
      <c r="AH11" s="20"/>
      <c r="AI11" s="19"/>
      <c r="AJ11" s="20"/>
      <c r="AK11" s="20"/>
      <c r="AL11" s="20"/>
      <c r="AM11" s="19"/>
      <c r="AN11" s="20"/>
      <c r="AO11" s="20"/>
      <c r="AP11" s="20"/>
      <c r="AQ11" s="19"/>
      <c r="AR11" s="20"/>
      <c r="AS11" s="20"/>
      <c r="AT11" s="20"/>
      <c r="AU11" s="19"/>
      <c r="AV11" s="20"/>
      <c r="AW11" s="20"/>
      <c r="AX11" s="20"/>
      <c r="AY11" s="22"/>
      <c r="AZ11" s="23"/>
      <c r="BA11" s="23"/>
      <c r="BB11" s="23"/>
      <c r="BC11" s="19">
        <v>8</v>
      </c>
      <c r="BD11" s="20" t="s">
        <v>18</v>
      </c>
      <c r="BE11" s="21">
        <v>1385</v>
      </c>
      <c r="BF11" s="21">
        <f t="shared" si="6"/>
        <v>3371.4342599277979</v>
      </c>
      <c r="BG11" s="21">
        <v>4669436.45</v>
      </c>
      <c r="BH11" s="29">
        <f t="shared" si="7"/>
        <v>2.7533149116354891E-2</v>
      </c>
      <c r="BI11" s="29">
        <f t="shared" si="8"/>
        <v>2.8046689858830891E-2</v>
      </c>
    </row>
    <row r="12" spans="1:61" x14ac:dyDescent="0.3">
      <c r="A12" s="19">
        <v>9</v>
      </c>
      <c r="B12" s="20" t="s">
        <v>18</v>
      </c>
      <c r="C12" s="21">
        <v>272</v>
      </c>
      <c r="D12" s="21">
        <f t="shared" si="0"/>
        <v>4202.1583455882355</v>
      </c>
      <c r="E12" s="21">
        <v>1142987.07</v>
      </c>
      <c r="F12" s="19">
        <v>9</v>
      </c>
      <c r="G12" s="20" t="s">
        <v>8</v>
      </c>
      <c r="H12" s="21">
        <v>235</v>
      </c>
      <c r="I12" s="21">
        <f t="shared" si="1"/>
        <v>3720.5244680851065</v>
      </c>
      <c r="J12" s="21">
        <v>874323.25</v>
      </c>
      <c r="K12" s="19">
        <v>9</v>
      </c>
      <c r="L12" s="20" t="s">
        <v>8</v>
      </c>
      <c r="M12" s="21">
        <v>271</v>
      </c>
      <c r="N12" s="21">
        <f t="shared" si="2"/>
        <v>3289.0907749077492</v>
      </c>
      <c r="O12" s="21">
        <v>891343.6</v>
      </c>
      <c r="P12" s="19">
        <v>9</v>
      </c>
      <c r="Q12" s="20" t="s">
        <v>19</v>
      </c>
      <c r="R12" s="21">
        <v>195</v>
      </c>
      <c r="S12" s="21">
        <f t="shared" si="3"/>
        <v>2777.3939487179487</v>
      </c>
      <c r="T12" s="21">
        <v>541591.81999999995</v>
      </c>
      <c r="U12" s="19">
        <v>9</v>
      </c>
      <c r="V12" s="20" t="s">
        <v>15</v>
      </c>
      <c r="W12" s="21">
        <v>177</v>
      </c>
      <c r="X12" s="21">
        <f t="shared" si="4"/>
        <v>3363.6676836158194</v>
      </c>
      <c r="Y12" s="21">
        <v>595369.18000000005</v>
      </c>
      <c r="Z12" s="19">
        <v>9</v>
      </c>
      <c r="AA12" s="20" t="s">
        <v>11</v>
      </c>
      <c r="AB12" s="21">
        <v>165</v>
      </c>
      <c r="AC12" s="21">
        <f t="shared" si="5"/>
        <v>3453.2716969696967</v>
      </c>
      <c r="AD12" s="21">
        <v>569789.82999999996</v>
      </c>
      <c r="AE12" s="19"/>
      <c r="AF12" s="20"/>
      <c r="AG12" s="20"/>
      <c r="AH12" s="20"/>
      <c r="AI12" s="19"/>
      <c r="AJ12" s="20"/>
      <c r="AK12" s="20"/>
      <c r="AL12" s="20"/>
      <c r="AM12" s="19"/>
      <c r="AN12" s="20"/>
      <c r="AO12" s="20"/>
      <c r="AP12" s="20"/>
      <c r="AQ12" s="19"/>
      <c r="AR12" s="20"/>
      <c r="AS12" s="20"/>
      <c r="AT12" s="20"/>
      <c r="AU12" s="19"/>
      <c r="AV12" s="20"/>
      <c r="AW12" s="20"/>
      <c r="AX12" s="20"/>
      <c r="AY12" s="22"/>
      <c r="AZ12" s="23"/>
      <c r="BA12" s="23"/>
      <c r="BB12" s="23"/>
      <c r="BC12" s="19">
        <v>9</v>
      </c>
      <c r="BD12" s="20" t="s">
        <v>110</v>
      </c>
      <c r="BE12" s="21">
        <v>1305</v>
      </c>
      <c r="BF12" s="21">
        <f t="shared" si="6"/>
        <v>3997.6632873563217</v>
      </c>
      <c r="BG12" s="21">
        <v>5216950.59</v>
      </c>
      <c r="BH12" s="29">
        <f t="shared" si="7"/>
        <v>2.5942786712522117E-2</v>
      </c>
      <c r="BI12" s="29">
        <f t="shared" si="8"/>
        <v>3.1335300688496319E-2</v>
      </c>
    </row>
    <row r="13" spans="1:61" ht="15" thickBot="1" x14ac:dyDescent="0.35">
      <c r="A13" s="10">
        <v>10</v>
      </c>
      <c r="B13" s="24" t="s">
        <v>19</v>
      </c>
      <c r="C13" s="25">
        <v>241</v>
      </c>
      <c r="D13" s="25">
        <f t="shared" si="0"/>
        <v>3872.7215767634857</v>
      </c>
      <c r="E13" s="25">
        <v>933325.9</v>
      </c>
      <c r="F13" s="6">
        <v>10</v>
      </c>
      <c r="G13" s="24" t="s">
        <v>19</v>
      </c>
      <c r="H13" s="25">
        <v>199</v>
      </c>
      <c r="I13" s="25">
        <f t="shared" si="1"/>
        <v>4100.502914572864</v>
      </c>
      <c r="J13" s="25">
        <v>816000.08</v>
      </c>
      <c r="K13" s="28">
        <v>10</v>
      </c>
      <c r="L13" s="24" t="s">
        <v>15</v>
      </c>
      <c r="M13" s="25">
        <v>250</v>
      </c>
      <c r="N13" s="25">
        <f t="shared" si="2"/>
        <v>3342.54864</v>
      </c>
      <c r="O13" s="25">
        <v>835637.16</v>
      </c>
      <c r="P13" s="28">
        <v>10</v>
      </c>
      <c r="Q13" s="24" t="s">
        <v>110</v>
      </c>
      <c r="R13" s="25">
        <v>176</v>
      </c>
      <c r="S13" s="25">
        <f t="shared" si="3"/>
        <v>3164.2740909090908</v>
      </c>
      <c r="T13" s="25">
        <v>556912.24</v>
      </c>
      <c r="U13" s="28">
        <v>10</v>
      </c>
      <c r="V13" s="24" t="s">
        <v>18</v>
      </c>
      <c r="W13" s="25">
        <v>168</v>
      </c>
      <c r="X13" s="25">
        <f t="shared" si="4"/>
        <v>2753.8285714285716</v>
      </c>
      <c r="Y13" s="25">
        <v>462643.20000000001</v>
      </c>
      <c r="Z13" s="28">
        <v>10</v>
      </c>
      <c r="AA13" s="24" t="s">
        <v>12</v>
      </c>
      <c r="AB13" s="25">
        <v>152</v>
      </c>
      <c r="AC13" s="25">
        <f t="shared" si="5"/>
        <v>3403.9242763157895</v>
      </c>
      <c r="AD13" s="25">
        <v>517396.49</v>
      </c>
      <c r="AE13" s="10"/>
      <c r="AF13" s="24"/>
      <c r="AG13" s="24"/>
      <c r="AH13" s="24"/>
      <c r="AI13" s="10"/>
      <c r="AJ13" s="24"/>
      <c r="AK13" s="24"/>
      <c r="AL13" s="24"/>
      <c r="AM13" s="10"/>
      <c r="AN13" s="24"/>
      <c r="AO13" s="24"/>
      <c r="AP13" s="24"/>
      <c r="AQ13" s="10"/>
      <c r="AR13" s="24"/>
      <c r="AS13" s="24"/>
      <c r="AT13" s="24"/>
      <c r="AU13" s="10"/>
      <c r="AV13" s="24"/>
      <c r="AW13" s="24"/>
      <c r="AX13" s="24"/>
      <c r="AY13" s="9"/>
      <c r="AZ13" s="26"/>
      <c r="BA13" s="26"/>
      <c r="BB13" s="26"/>
      <c r="BC13" s="10">
        <v>10</v>
      </c>
      <c r="BD13" s="24" t="s">
        <v>11</v>
      </c>
      <c r="BE13" s="25">
        <v>1216</v>
      </c>
      <c r="BF13" s="25">
        <f t="shared" si="6"/>
        <v>3361.3767680921051</v>
      </c>
      <c r="BG13" s="25">
        <v>4087434.15</v>
      </c>
      <c r="BH13" s="29">
        <f t="shared" si="7"/>
        <v>2.4173508538258157E-2</v>
      </c>
      <c r="BI13" s="29">
        <f t="shared" si="8"/>
        <v>2.4550927965503001E-2</v>
      </c>
    </row>
    <row r="14" spans="1:61" x14ac:dyDescent="0.3">
      <c r="A14" s="19">
        <v>11</v>
      </c>
      <c r="B14" s="20" t="s">
        <v>12</v>
      </c>
      <c r="C14" s="21">
        <v>218</v>
      </c>
      <c r="D14" s="21">
        <f t="shared" si="0"/>
        <v>4033.7924311926604</v>
      </c>
      <c r="E14" s="21">
        <v>879366.75</v>
      </c>
      <c r="F14" s="19">
        <v>11</v>
      </c>
      <c r="G14" s="20" t="s">
        <v>18</v>
      </c>
      <c r="H14" s="21">
        <v>197</v>
      </c>
      <c r="I14" s="21">
        <f t="shared" si="1"/>
        <v>3968.1022335025382</v>
      </c>
      <c r="J14" s="21">
        <v>781716.14</v>
      </c>
      <c r="K14" s="19">
        <v>11</v>
      </c>
      <c r="L14" s="20" t="s">
        <v>19</v>
      </c>
      <c r="M14" s="21">
        <v>243</v>
      </c>
      <c r="N14" s="21">
        <f t="shared" si="2"/>
        <v>3552.7731275720166</v>
      </c>
      <c r="O14" s="21">
        <v>863323.87</v>
      </c>
      <c r="P14" s="19">
        <v>11</v>
      </c>
      <c r="Q14" s="20" t="s">
        <v>10</v>
      </c>
      <c r="R14" s="21">
        <v>170</v>
      </c>
      <c r="S14" s="21">
        <f t="shared" si="3"/>
        <v>2941.8684705882356</v>
      </c>
      <c r="T14" s="21">
        <v>500117.64</v>
      </c>
      <c r="U14" s="19">
        <v>11</v>
      </c>
      <c r="V14" s="20" t="s">
        <v>13</v>
      </c>
      <c r="W14" s="21">
        <v>164</v>
      </c>
      <c r="X14" s="21">
        <f t="shared" si="4"/>
        <v>2871.6008536585364</v>
      </c>
      <c r="Y14" s="21">
        <v>470942.54</v>
      </c>
      <c r="Z14" s="19">
        <v>11</v>
      </c>
      <c r="AA14" s="20" t="s">
        <v>109</v>
      </c>
      <c r="AB14" s="21">
        <v>152</v>
      </c>
      <c r="AC14" s="21">
        <f t="shared" si="5"/>
        <v>3746.6550000000002</v>
      </c>
      <c r="AD14" s="21">
        <v>569491.56000000006</v>
      </c>
      <c r="AE14" s="19"/>
      <c r="AF14" s="20"/>
      <c r="AG14" s="20"/>
      <c r="AH14" s="20"/>
      <c r="AI14" s="19"/>
      <c r="AJ14" s="20"/>
      <c r="AK14" s="20"/>
      <c r="AL14" s="20"/>
      <c r="AM14" s="19"/>
      <c r="AN14" s="20"/>
      <c r="AO14" s="20"/>
      <c r="AP14" s="20"/>
      <c r="AQ14" s="19">
        <f>SUM(AO14:AO209)</f>
        <v>0</v>
      </c>
      <c r="AR14" s="20"/>
      <c r="AS14" s="20"/>
      <c r="AT14" s="20"/>
      <c r="AU14" s="19">
        <f>SUM(AS14:AS209)</f>
        <v>0</v>
      </c>
      <c r="AV14" s="20"/>
      <c r="AW14" s="20"/>
      <c r="AX14" s="20"/>
      <c r="AY14" s="22"/>
      <c r="AZ14" s="23"/>
      <c r="BA14" s="23"/>
      <c r="BB14" s="23"/>
      <c r="BC14" s="19">
        <v>11</v>
      </c>
      <c r="BD14" s="20" t="s">
        <v>19</v>
      </c>
      <c r="BE14" s="21">
        <v>1134</v>
      </c>
      <c r="BF14" s="21">
        <f t="shared" si="6"/>
        <v>3522.8817107583773</v>
      </c>
      <c r="BG14" s="21">
        <v>3994947.86</v>
      </c>
      <c r="BH14" s="29">
        <f t="shared" si="7"/>
        <v>2.2543387074329561E-2</v>
      </c>
      <c r="BI14" s="29">
        <f t="shared" si="8"/>
        <v>2.3995414614031242E-2</v>
      </c>
    </row>
    <row r="15" spans="1:61" x14ac:dyDescent="0.3">
      <c r="A15" s="19">
        <v>12</v>
      </c>
      <c r="B15" s="20" t="s">
        <v>14</v>
      </c>
      <c r="C15" s="21">
        <v>208</v>
      </c>
      <c r="D15" s="21">
        <f t="shared" si="0"/>
        <v>4113.6651923076925</v>
      </c>
      <c r="E15" s="21">
        <v>855642.36</v>
      </c>
      <c r="F15" s="19">
        <v>12</v>
      </c>
      <c r="G15" s="20" t="s">
        <v>14</v>
      </c>
      <c r="H15" s="21">
        <v>158</v>
      </c>
      <c r="I15" s="21">
        <f t="shared" si="1"/>
        <v>4132.1858227848097</v>
      </c>
      <c r="J15" s="21">
        <v>652885.36</v>
      </c>
      <c r="K15" s="19">
        <v>12</v>
      </c>
      <c r="L15" s="20" t="s">
        <v>13</v>
      </c>
      <c r="M15" s="21">
        <v>221</v>
      </c>
      <c r="N15" s="21">
        <f t="shared" si="2"/>
        <v>3042.040226244344</v>
      </c>
      <c r="O15" s="21">
        <v>672290.89</v>
      </c>
      <c r="P15" s="19">
        <v>12</v>
      </c>
      <c r="Q15" s="20" t="s">
        <v>17</v>
      </c>
      <c r="R15" s="21">
        <v>165</v>
      </c>
      <c r="S15" s="21">
        <f t="shared" si="3"/>
        <v>3711.4430909090906</v>
      </c>
      <c r="T15" s="21">
        <v>612388.11</v>
      </c>
      <c r="U15" s="19">
        <v>12</v>
      </c>
      <c r="V15" s="20" t="s">
        <v>111</v>
      </c>
      <c r="W15" s="21">
        <v>160</v>
      </c>
      <c r="X15" s="21">
        <f t="shared" si="4"/>
        <v>3158.6624375000001</v>
      </c>
      <c r="Y15" s="21">
        <v>505385.99</v>
      </c>
      <c r="Z15" s="19">
        <v>12</v>
      </c>
      <c r="AA15" s="20" t="s">
        <v>15</v>
      </c>
      <c r="AB15" s="21">
        <v>144</v>
      </c>
      <c r="AC15" s="21">
        <f t="shared" si="5"/>
        <v>4040.5997222222222</v>
      </c>
      <c r="AD15" s="21">
        <v>581846.36</v>
      </c>
      <c r="AE15" s="19"/>
      <c r="AF15" s="20"/>
      <c r="AG15" s="20"/>
      <c r="AH15" s="20"/>
      <c r="AI15" s="19"/>
      <c r="AJ15" s="20"/>
      <c r="AK15" s="20"/>
      <c r="AL15" s="20"/>
      <c r="AM15" s="19"/>
      <c r="AN15" s="20"/>
      <c r="AO15" s="20"/>
      <c r="AP15" s="20"/>
      <c r="AQ15" s="19">
        <f>SUM(AP14:AP209)</f>
        <v>0</v>
      </c>
      <c r="AR15" s="20"/>
      <c r="AS15" s="20"/>
      <c r="AT15" s="20"/>
      <c r="AU15" s="19">
        <f>SUM(AT14:AT209)</f>
        <v>0</v>
      </c>
      <c r="AV15" s="20"/>
      <c r="AW15" s="20"/>
      <c r="AX15" s="20"/>
      <c r="AY15" s="22"/>
      <c r="AZ15" s="23"/>
      <c r="BA15" s="23"/>
      <c r="BB15" s="23"/>
      <c r="BC15" s="19">
        <v>12</v>
      </c>
      <c r="BD15" s="20" t="s">
        <v>13</v>
      </c>
      <c r="BE15" s="21">
        <v>1047</v>
      </c>
      <c r="BF15" s="21">
        <f t="shared" si="6"/>
        <v>3058.5467717287488</v>
      </c>
      <c r="BG15" s="21">
        <v>3202298.47</v>
      </c>
      <c r="BH15" s="29">
        <f t="shared" si="7"/>
        <v>2.0813867960161422E-2</v>
      </c>
      <c r="BI15" s="29">
        <f t="shared" si="8"/>
        <v>1.9234413613980907E-2</v>
      </c>
    </row>
    <row r="16" spans="1:61" x14ac:dyDescent="0.3">
      <c r="A16" s="19">
        <v>13</v>
      </c>
      <c r="B16" s="20" t="s">
        <v>17</v>
      </c>
      <c r="C16" s="21">
        <v>191</v>
      </c>
      <c r="D16" s="21">
        <f t="shared" si="0"/>
        <v>4130.2690575916231</v>
      </c>
      <c r="E16" s="21">
        <v>788881.39</v>
      </c>
      <c r="F16" s="19">
        <v>13</v>
      </c>
      <c r="G16" s="20" t="s">
        <v>13</v>
      </c>
      <c r="H16" s="21">
        <v>152</v>
      </c>
      <c r="I16" s="21">
        <f t="shared" si="1"/>
        <v>3157.3539473684209</v>
      </c>
      <c r="J16" s="21">
        <v>479917.8</v>
      </c>
      <c r="K16" s="19">
        <v>13</v>
      </c>
      <c r="L16" s="20" t="s">
        <v>110</v>
      </c>
      <c r="M16" s="21">
        <v>191</v>
      </c>
      <c r="N16" s="21">
        <f t="shared" si="2"/>
        <v>3158.6350785340314</v>
      </c>
      <c r="O16" s="21">
        <v>603299.30000000005</v>
      </c>
      <c r="P16" s="19">
        <v>13</v>
      </c>
      <c r="Q16" s="20" t="s">
        <v>16</v>
      </c>
      <c r="R16" s="21">
        <v>162</v>
      </c>
      <c r="S16" s="21">
        <f t="shared" si="3"/>
        <v>2907.862222222222</v>
      </c>
      <c r="T16" s="21">
        <v>471073.68</v>
      </c>
      <c r="U16" s="19">
        <v>13</v>
      </c>
      <c r="V16" s="20" t="s">
        <v>11</v>
      </c>
      <c r="W16" s="21">
        <v>155</v>
      </c>
      <c r="X16" s="21">
        <f t="shared" si="4"/>
        <v>2932.1006451612902</v>
      </c>
      <c r="Y16" s="21">
        <v>454475.6</v>
      </c>
      <c r="Z16" s="19">
        <v>13</v>
      </c>
      <c r="AA16" s="20" t="s">
        <v>18</v>
      </c>
      <c r="AB16" s="21">
        <v>129</v>
      </c>
      <c r="AC16" s="21">
        <f t="shared" si="5"/>
        <v>3324.5129457364342</v>
      </c>
      <c r="AD16" s="21">
        <v>428862.17</v>
      </c>
      <c r="AE16" s="19"/>
      <c r="AF16" s="20"/>
      <c r="AG16" s="20"/>
      <c r="AH16" s="20"/>
      <c r="AI16" s="19"/>
      <c r="AJ16" s="20"/>
      <c r="AK16" s="20"/>
      <c r="AL16" s="20"/>
      <c r="AM16" s="19"/>
      <c r="AN16" s="20"/>
      <c r="AO16" s="20"/>
      <c r="AP16" s="20"/>
      <c r="AQ16" s="19"/>
      <c r="AR16" s="20"/>
      <c r="AS16" s="20"/>
      <c r="AT16" s="20"/>
      <c r="AU16" s="19"/>
      <c r="AV16" s="20"/>
      <c r="AW16" s="20"/>
      <c r="AX16" s="20"/>
      <c r="AY16" s="22"/>
      <c r="AZ16" s="23"/>
      <c r="BA16" s="23"/>
      <c r="BB16" s="23"/>
      <c r="BC16" s="19">
        <v>13</v>
      </c>
      <c r="BD16" s="20" t="s">
        <v>15</v>
      </c>
      <c r="BE16" s="21">
        <v>1019</v>
      </c>
      <c r="BF16" s="21">
        <f t="shared" si="6"/>
        <v>3524.4503925417075</v>
      </c>
      <c r="BG16" s="21">
        <v>3591414.95</v>
      </c>
      <c r="BH16" s="29">
        <f t="shared" si="7"/>
        <v>2.0257241118819953E-2</v>
      </c>
      <c r="BI16" s="29">
        <f t="shared" si="8"/>
        <v>2.1571618403119858E-2</v>
      </c>
    </row>
    <row r="17" spans="1:61" x14ac:dyDescent="0.3">
      <c r="A17" s="19">
        <v>14</v>
      </c>
      <c r="B17" s="20" t="s">
        <v>13</v>
      </c>
      <c r="C17" s="21">
        <v>186</v>
      </c>
      <c r="D17" s="21">
        <f t="shared" si="0"/>
        <v>3374.1997849462368</v>
      </c>
      <c r="E17" s="21">
        <v>627601.16</v>
      </c>
      <c r="F17" s="19">
        <v>14</v>
      </c>
      <c r="G17" s="20" t="s">
        <v>111</v>
      </c>
      <c r="H17" s="21">
        <v>148</v>
      </c>
      <c r="I17" s="21">
        <f t="shared" si="1"/>
        <v>4424.0924999999997</v>
      </c>
      <c r="J17" s="21">
        <v>654765.68999999994</v>
      </c>
      <c r="K17" s="19">
        <v>14</v>
      </c>
      <c r="L17" s="20" t="s">
        <v>11</v>
      </c>
      <c r="M17" s="21">
        <v>186</v>
      </c>
      <c r="N17" s="21">
        <f t="shared" si="2"/>
        <v>3024.6858602150537</v>
      </c>
      <c r="O17" s="21">
        <v>562591.56999999995</v>
      </c>
      <c r="P17" s="19">
        <v>14</v>
      </c>
      <c r="Q17" s="20" t="s">
        <v>13</v>
      </c>
      <c r="R17" s="21">
        <v>150</v>
      </c>
      <c r="S17" s="21">
        <f t="shared" si="3"/>
        <v>2704.221133333333</v>
      </c>
      <c r="T17" s="21">
        <v>405633.17</v>
      </c>
      <c r="U17" s="19">
        <v>14</v>
      </c>
      <c r="V17" s="20" t="s">
        <v>14</v>
      </c>
      <c r="W17" s="21">
        <v>148</v>
      </c>
      <c r="X17" s="21">
        <f t="shared" si="4"/>
        <v>3814.2744594594596</v>
      </c>
      <c r="Y17" s="21">
        <v>564512.62</v>
      </c>
      <c r="Z17" s="19">
        <v>14</v>
      </c>
      <c r="AA17" s="20" t="s">
        <v>16</v>
      </c>
      <c r="AB17" s="21">
        <v>127</v>
      </c>
      <c r="AC17" s="21">
        <f t="shared" si="5"/>
        <v>3432.2008661417321</v>
      </c>
      <c r="AD17" s="21">
        <v>435889.51</v>
      </c>
      <c r="AE17" s="19"/>
      <c r="AF17" s="20"/>
      <c r="AG17" s="20"/>
      <c r="AH17" s="20"/>
      <c r="AI17" s="19"/>
      <c r="AJ17" s="20"/>
      <c r="AK17" s="20"/>
      <c r="AL17" s="20"/>
      <c r="AM17" s="19"/>
      <c r="AN17" s="20"/>
      <c r="AO17" s="20"/>
      <c r="AP17" s="20"/>
      <c r="AQ17" s="19"/>
      <c r="AR17" s="20"/>
      <c r="AS17" s="20"/>
      <c r="AT17" s="20"/>
      <c r="AU17" s="19"/>
      <c r="AV17" s="20"/>
      <c r="AW17" s="20"/>
      <c r="AX17" s="20"/>
      <c r="AY17" s="22"/>
      <c r="AZ17" s="23"/>
      <c r="BA17" s="23"/>
      <c r="BB17" s="23"/>
      <c r="BC17" s="19">
        <v>14</v>
      </c>
      <c r="BD17" s="20" t="s">
        <v>14</v>
      </c>
      <c r="BE17" s="21">
        <v>989</v>
      </c>
      <c r="BF17" s="21">
        <f t="shared" si="6"/>
        <v>3876.2894539939334</v>
      </c>
      <c r="BG17" s="21">
        <v>3833650.27</v>
      </c>
      <c r="BH17" s="29">
        <f t="shared" si="7"/>
        <v>1.9660855217382662E-2</v>
      </c>
      <c r="BI17" s="29">
        <f t="shared" si="8"/>
        <v>2.3026590317962954E-2</v>
      </c>
    </row>
    <row r="18" spans="1:61" x14ac:dyDescent="0.3">
      <c r="A18" s="19">
        <v>15</v>
      </c>
      <c r="B18" s="20" t="s">
        <v>16</v>
      </c>
      <c r="C18" s="21">
        <v>186</v>
      </c>
      <c r="D18" s="21">
        <f t="shared" si="0"/>
        <v>3910.5408602150537</v>
      </c>
      <c r="E18" s="21">
        <v>727360.6</v>
      </c>
      <c r="F18" s="19">
        <v>15</v>
      </c>
      <c r="G18" s="20" t="s">
        <v>17</v>
      </c>
      <c r="H18" s="21">
        <v>117</v>
      </c>
      <c r="I18" s="21">
        <f t="shared" si="1"/>
        <v>3421.8535897435895</v>
      </c>
      <c r="J18" s="21">
        <v>400356.87</v>
      </c>
      <c r="K18" s="19">
        <v>15</v>
      </c>
      <c r="L18" s="20" t="s">
        <v>12</v>
      </c>
      <c r="M18" s="21">
        <v>174</v>
      </c>
      <c r="N18" s="21">
        <f t="shared" si="2"/>
        <v>3559.4250574712642</v>
      </c>
      <c r="O18" s="21">
        <v>619339.96</v>
      </c>
      <c r="P18" s="19">
        <v>15</v>
      </c>
      <c r="Q18" s="20" t="s">
        <v>12</v>
      </c>
      <c r="R18" s="21">
        <v>126</v>
      </c>
      <c r="S18" s="21">
        <f t="shared" si="3"/>
        <v>5351.8168253968261</v>
      </c>
      <c r="T18" s="21">
        <v>674328.92</v>
      </c>
      <c r="U18" s="19">
        <v>15</v>
      </c>
      <c r="V18" s="20" t="s">
        <v>19</v>
      </c>
      <c r="W18" s="21">
        <v>135</v>
      </c>
      <c r="X18" s="21">
        <f t="shared" si="4"/>
        <v>3038.1106666666665</v>
      </c>
      <c r="Y18" s="21">
        <v>410144.94</v>
      </c>
      <c r="Z18" s="19">
        <v>15</v>
      </c>
      <c r="AA18" s="20" t="s">
        <v>19</v>
      </c>
      <c r="AB18" s="21">
        <v>121</v>
      </c>
      <c r="AC18" s="21">
        <f t="shared" si="5"/>
        <v>3558.3574380165287</v>
      </c>
      <c r="AD18" s="21">
        <v>430561.25</v>
      </c>
      <c r="AE18" s="19"/>
      <c r="AF18" s="20"/>
      <c r="AG18" s="20"/>
      <c r="AH18" s="20"/>
      <c r="AI18" s="19"/>
      <c r="AJ18" s="20"/>
      <c r="AK18" s="20"/>
      <c r="AL18" s="20"/>
      <c r="AM18" s="19"/>
      <c r="AN18" s="20"/>
      <c r="AO18" s="20"/>
      <c r="AP18" s="20"/>
      <c r="AQ18" s="19"/>
      <c r="AR18" s="20"/>
      <c r="AS18" s="20"/>
      <c r="AT18" s="20"/>
      <c r="AU18" s="19"/>
      <c r="AV18" s="20"/>
      <c r="AW18" s="20"/>
      <c r="AX18" s="20"/>
      <c r="AY18" s="22"/>
      <c r="AZ18" s="23"/>
      <c r="BA18" s="23"/>
      <c r="BB18" s="23"/>
      <c r="BC18" s="19">
        <v>15</v>
      </c>
      <c r="BD18" s="20" t="s">
        <v>12</v>
      </c>
      <c r="BE18" s="21">
        <v>965</v>
      </c>
      <c r="BF18" s="21">
        <f t="shared" si="6"/>
        <v>3919.159512953368</v>
      </c>
      <c r="BG18" s="21">
        <v>3781988.93</v>
      </c>
      <c r="BH18" s="29">
        <f t="shared" si="7"/>
        <v>1.9183746496232831E-2</v>
      </c>
      <c r="BI18" s="29">
        <f t="shared" si="8"/>
        <v>2.2716289579065092E-2</v>
      </c>
    </row>
    <row r="19" spans="1:61" x14ac:dyDescent="0.3">
      <c r="A19" s="19">
        <v>16</v>
      </c>
      <c r="B19" s="20" t="s">
        <v>11</v>
      </c>
      <c r="C19" s="21">
        <v>155</v>
      </c>
      <c r="D19" s="21">
        <f t="shared" si="0"/>
        <v>3391.3374193548389</v>
      </c>
      <c r="E19" s="21">
        <v>525657.30000000005</v>
      </c>
      <c r="F19" s="19">
        <v>16</v>
      </c>
      <c r="G19" s="20" t="s">
        <v>15</v>
      </c>
      <c r="H19" s="21">
        <v>104</v>
      </c>
      <c r="I19" s="21">
        <f t="shared" si="1"/>
        <v>4050.9166346153847</v>
      </c>
      <c r="J19" s="21">
        <v>421295.33</v>
      </c>
      <c r="K19" s="19">
        <v>16</v>
      </c>
      <c r="L19" s="20" t="s">
        <v>17</v>
      </c>
      <c r="M19" s="21">
        <v>173</v>
      </c>
      <c r="N19" s="21">
        <f t="shared" si="2"/>
        <v>3739.942601156069</v>
      </c>
      <c r="O19" s="21">
        <v>647010.06999999995</v>
      </c>
      <c r="P19" s="19">
        <v>16</v>
      </c>
      <c r="Q19" s="20" t="s">
        <v>20</v>
      </c>
      <c r="R19" s="21">
        <v>124</v>
      </c>
      <c r="S19" s="21">
        <f t="shared" si="3"/>
        <v>2537.2889516129035</v>
      </c>
      <c r="T19" s="21">
        <v>314623.83</v>
      </c>
      <c r="U19" s="19">
        <v>16</v>
      </c>
      <c r="V19" s="20" t="s">
        <v>17</v>
      </c>
      <c r="W19" s="21">
        <v>133</v>
      </c>
      <c r="X19" s="21">
        <f t="shared" si="4"/>
        <v>3494.0187218045112</v>
      </c>
      <c r="Y19" s="21">
        <v>464704.49</v>
      </c>
      <c r="Z19" s="19">
        <v>16</v>
      </c>
      <c r="AA19" s="20" t="s">
        <v>110</v>
      </c>
      <c r="AB19" s="21">
        <v>115</v>
      </c>
      <c r="AC19" s="21">
        <f t="shared" si="5"/>
        <v>4093.4698260869568</v>
      </c>
      <c r="AD19" s="21">
        <v>470749.03</v>
      </c>
      <c r="AE19" s="19"/>
      <c r="AF19" s="20"/>
      <c r="AG19" s="20"/>
      <c r="AH19" s="20"/>
      <c r="AI19" s="19"/>
      <c r="AJ19" s="20"/>
      <c r="AK19" s="20"/>
      <c r="AL19" s="20"/>
      <c r="AM19" s="19"/>
      <c r="AN19" s="20"/>
      <c r="AO19" s="20"/>
      <c r="AP19" s="20"/>
      <c r="AQ19" s="19"/>
      <c r="AR19" s="20"/>
      <c r="AS19" s="20"/>
      <c r="AT19" s="20"/>
      <c r="AU19" s="19"/>
      <c r="AV19" s="20"/>
      <c r="AW19" s="20"/>
      <c r="AX19" s="20"/>
      <c r="AY19" s="22"/>
      <c r="AZ19" s="23"/>
      <c r="BA19" s="23"/>
      <c r="BB19" s="23"/>
      <c r="BC19" s="19">
        <v>16</v>
      </c>
      <c r="BD19" s="20" t="s">
        <v>17</v>
      </c>
      <c r="BE19" s="21">
        <v>950</v>
      </c>
      <c r="BF19" s="21">
        <f t="shared" si="6"/>
        <v>3583.4495157894739</v>
      </c>
      <c r="BG19" s="21">
        <v>3404277.04</v>
      </c>
      <c r="BH19" s="29">
        <f t="shared" si="7"/>
        <v>1.8885553545514185E-2</v>
      </c>
      <c r="BI19" s="29">
        <f t="shared" si="8"/>
        <v>2.0447585775456658E-2</v>
      </c>
    </row>
    <row r="20" spans="1:61" x14ac:dyDescent="0.3">
      <c r="A20" s="19">
        <v>17</v>
      </c>
      <c r="B20" s="20" t="s">
        <v>111</v>
      </c>
      <c r="C20" s="21">
        <v>136</v>
      </c>
      <c r="D20" s="21">
        <f t="shared" si="0"/>
        <v>3983.4308823529409</v>
      </c>
      <c r="E20" s="21">
        <v>541746.6</v>
      </c>
      <c r="F20" s="19">
        <v>17</v>
      </c>
      <c r="G20" s="20" t="s">
        <v>16</v>
      </c>
      <c r="H20" s="21">
        <v>101</v>
      </c>
      <c r="I20" s="21">
        <f t="shared" si="1"/>
        <v>3876.3682178217823</v>
      </c>
      <c r="J20" s="21">
        <v>391513.19</v>
      </c>
      <c r="K20" s="19">
        <v>17</v>
      </c>
      <c r="L20" s="20" t="s">
        <v>16</v>
      </c>
      <c r="M20" s="21">
        <v>131</v>
      </c>
      <c r="N20" s="21">
        <f t="shared" si="2"/>
        <v>3359.7948854961833</v>
      </c>
      <c r="O20" s="21">
        <v>440133.13</v>
      </c>
      <c r="P20" s="19">
        <v>17</v>
      </c>
      <c r="Q20" s="20" t="s">
        <v>109</v>
      </c>
      <c r="R20" s="21">
        <v>96</v>
      </c>
      <c r="S20" s="21">
        <f t="shared" si="3"/>
        <v>3500.84375</v>
      </c>
      <c r="T20" s="21">
        <v>336081</v>
      </c>
      <c r="U20" s="19">
        <v>17</v>
      </c>
      <c r="V20" s="20" t="s">
        <v>10</v>
      </c>
      <c r="W20" s="21">
        <v>125</v>
      </c>
      <c r="X20" s="21">
        <f t="shared" si="4"/>
        <v>2938.1995999999999</v>
      </c>
      <c r="Y20" s="21">
        <v>367274.95</v>
      </c>
      <c r="Z20" s="19">
        <v>17</v>
      </c>
      <c r="AA20" s="20" t="s">
        <v>10</v>
      </c>
      <c r="AB20" s="21">
        <v>113</v>
      </c>
      <c r="AC20" s="21">
        <f t="shared" si="5"/>
        <v>3345.5317699115049</v>
      </c>
      <c r="AD20" s="21">
        <v>378045.09</v>
      </c>
      <c r="AE20" s="19"/>
      <c r="AF20" s="20"/>
      <c r="AG20" s="20"/>
      <c r="AH20" s="20"/>
      <c r="AI20" s="19"/>
      <c r="AJ20" s="20"/>
      <c r="AK20" s="20"/>
      <c r="AL20" s="20"/>
      <c r="AM20" s="19"/>
      <c r="AN20" s="20"/>
      <c r="AO20" s="20"/>
      <c r="AP20" s="20"/>
      <c r="AQ20" s="19"/>
      <c r="AR20" s="20"/>
      <c r="AS20" s="20"/>
      <c r="AT20" s="20"/>
      <c r="AU20" s="19"/>
      <c r="AV20" s="20"/>
      <c r="AW20" s="20"/>
      <c r="AX20" s="20"/>
      <c r="AY20" s="22"/>
      <c r="AZ20" s="23"/>
      <c r="BA20" s="23"/>
      <c r="BB20" s="23"/>
      <c r="BC20" s="19">
        <v>17</v>
      </c>
      <c r="BD20" s="20" t="s">
        <v>16</v>
      </c>
      <c r="BE20" s="21">
        <v>881</v>
      </c>
      <c r="BF20" s="21">
        <f t="shared" si="6"/>
        <v>3601.1432122587967</v>
      </c>
      <c r="BG20" s="21">
        <v>3172607.17</v>
      </c>
      <c r="BH20" s="29">
        <f t="shared" si="7"/>
        <v>1.7513865972208418E-2</v>
      </c>
      <c r="BI20" s="29">
        <f t="shared" si="8"/>
        <v>1.9056074602084618E-2</v>
      </c>
    </row>
    <row r="21" spans="1:61" x14ac:dyDescent="0.3">
      <c r="A21" s="19">
        <v>18</v>
      </c>
      <c r="B21" s="20" t="s">
        <v>15</v>
      </c>
      <c r="C21" s="21">
        <v>128</v>
      </c>
      <c r="D21" s="21">
        <f t="shared" si="0"/>
        <v>3857.9061718749999</v>
      </c>
      <c r="E21" s="21">
        <v>493811.99</v>
      </c>
      <c r="F21" s="19">
        <v>18</v>
      </c>
      <c r="G21" s="20" t="s">
        <v>12</v>
      </c>
      <c r="H21" s="21">
        <v>88</v>
      </c>
      <c r="I21" s="21">
        <f t="shared" si="1"/>
        <v>4253.2579545454546</v>
      </c>
      <c r="J21" s="21">
        <v>374286.7</v>
      </c>
      <c r="K21" s="19">
        <v>18</v>
      </c>
      <c r="L21" s="20" t="s">
        <v>20</v>
      </c>
      <c r="M21" s="21">
        <v>111</v>
      </c>
      <c r="N21" s="21">
        <f t="shared" si="2"/>
        <v>3076.5798198198195</v>
      </c>
      <c r="O21" s="21">
        <v>341500.36</v>
      </c>
      <c r="P21" s="19">
        <v>18</v>
      </c>
      <c r="Q21" s="20" t="s">
        <v>111</v>
      </c>
      <c r="R21" s="21">
        <v>93</v>
      </c>
      <c r="S21" s="21">
        <f t="shared" si="3"/>
        <v>4191.141182795699</v>
      </c>
      <c r="T21" s="21">
        <v>389776.13</v>
      </c>
      <c r="U21" s="19">
        <v>18</v>
      </c>
      <c r="V21" s="20" t="s">
        <v>21</v>
      </c>
      <c r="W21" s="21">
        <v>102</v>
      </c>
      <c r="X21" s="21">
        <f t="shared" si="4"/>
        <v>4402.0493137254907</v>
      </c>
      <c r="Y21" s="21">
        <v>449009.03</v>
      </c>
      <c r="Z21" s="19">
        <v>18</v>
      </c>
      <c r="AA21" s="20" t="s">
        <v>14</v>
      </c>
      <c r="AB21" s="21">
        <v>98</v>
      </c>
      <c r="AC21" s="21">
        <f t="shared" si="5"/>
        <v>3600.0711224489792</v>
      </c>
      <c r="AD21" s="21">
        <v>352806.97</v>
      </c>
      <c r="AE21" s="19"/>
      <c r="AF21" s="20"/>
      <c r="AG21" s="20"/>
      <c r="AH21" s="20"/>
      <c r="AI21" s="19"/>
      <c r="AJ21" s="20"/>
      <c r="AK21" s="20"/>
      <c r="AL21" s="20"/>
      <c r="AM21" s="19"/>
      <c r="AN21" s="20"/>
      <c r="AO21" s="20"/>
      <c r="AP21" s="20"/>
      <c r="AQ21" s="19"/>
      <c r="AR21" s="20"/>
      <c r="AS21" s="20"/>
      <c r="AT21" s="20"/>
      <c r="AU21" s="19"/>
      <c r="AV21" s="20"/>
      <c r="AW21" s="20"/>
      <c r="AX21" s="20"/>
      <c r="AY21" s="22"/>
      <c r="AZ21" s="23"/>
      <c r="BA21" s="23"/>
      <c r="BB21" s="23"/>
      <c r="BC21" s="19">
        <v>18</v>
      </c>
      <c r="BD21" s="20" t="s">
        <v>111</v>
      </c>
      <c r="BE21" s="21">
        <v>847</v>
      </c>
      <c r="BF21" s="21">
        <f t="shared" si="6"/>
        <v>3699.8434474616292</v>
      </c>
      <c r="BG21" s="21">
        <v>3133767.4</v>
      </c>
      <c r="BH21" s="29">
        <f t="shared" si="7"/>
        <v>1.6837961950579489E-2</v>
      </c>
      <c r="BI21" s="29">
        <f t="shared" si="8"/>
        <v>1.8822785854064859E-2</v>
      </c>
    </row>
    <row r="22" spans="1:61" x14ac:dyDescent="0.3">
      <c r="A22" s="19">
        <v>19</v>
      </c>
      <c r="B22" s="20" t="s">
        <v>22</v>
      </c>
      <c r="C22" s="21">
        <v>109</v>
      </c>
      <c r="D22" s="21">
        <f t="shared" si="0"/>
        <v>8222.58128440367</v>
      </c>
      <c r="E22" s="21">
        <v>896261.36</v>
      </c>
      <c r="F22" s="19">
        <v>19</v>
      </c>
      <c r="G22" s="20" t="s">
        <v>109</v>
      </c>
      <c r="H22" s="21">
        <v>84</v>
      </c>
      <c r="I22" s="21">
        <f t="shared" si="1"/>
        <v>4520.4554761904765</v>
      </c>
      <c r="J22" s="21">
        <v>379718.26</v>
      </c>
      <c r="K22" s="19">
        <v>19</v>
      </c>
      <c r="L22" s="20" t="s">
        <v>111</v>
      </c>
      <c r="M22" s="21">
        <v>108</v>
      </c>
      <c r="N22" s="21">
        <f t="shared" si="2"/>
        <v>3424.0260185185184</v>
      </c>
      <c r="O22" s="21">
        <v>369794.81</v>
      </c>
      <c r="P22" s="19">
        <v>19</v>
      </c>
      <c r="Q22" s="20" t="s">
        <v>14</v>
      </c>
      <c r="R22" s="21">
        <v>82</v>
      </c>
      <c r="S22" s="21">
        <f t="shared" si="3"/>
        <v>3880.6578048780489</v>
      </c>
      <c r="T22" s="21">
        <v>318213.94</v>
      </c>
      <c r="U22" s="19">
        <v>19</v>
      </c>
      <c r="V22" s="20" t="s">
        <v>109</v>
      </c>
      <c r="W22" s="21">
        <v>94</v>
      </c>
      <c r="X22" s="21">
        <f t="shared" si="4"/>
        <v>3445.0444680851065</v>
      </c>
      <c r="Y22" s="21">
        <v>323834.18</v>
      </c>
      <c r="Z22" s="19">
        <v>19</v>
      </c>
      <c r="AA22" s="20" t="s">
        <v>21</v>
      </c>
      <c r="AB22" s="21">
        <v>95</v>
      </c>
      <c r="AC22" s="21">
        <f t="shared" si="5"/>
        <v>3532.9103157894733</v>
      </c>
      <c r="AD22" s="21">
        <v>335626.48</v>
      </c>
      <c r="AE22" s="19"/>
      <c r="AF22" s="20"/>
      <c r="AG22" s="20"/>
      <c r="AH22" s="20"/>
      <c r="AI22" s="19"/>
      <c r="AJ22" s="20"/>
      <c r="AK22" s="20"/>
      <c r="AL22" s="20"/>
      <c r="AM22" s="19"/>
      <c r="AN22" s="20"/>
      <c r="AO22" s="20"/>
      <c r="AP22" s="20"/>
      <c r="AQ22" s="19"/>
      <c r="AR22" s="20"/>
      <c r="AS22" s="20"/>
      <c r="AT22" s="20"/>
      <c r="AU22" s="19"/>
      <c r="AV22" s="20"/>
      <c r="AW22" s="20"/>
      <c r="AX22" s="20"/>
      <c r="AY22" s="22"/>
      <c r="AZ22" s="23"/>
      <c r="BA22" s="23"/>
      <c r="BB22" s="23"/>
      <c r="BC22" s="19">
        <v>19</v>
      </c>
      <c r="BD22" s="20" t="s">
        <v>109</v>
      </c>
      <c r="BE22" s="21">
        <v>617</v>
      </c>
      <c r="BF22" s="21">
        <f t="shared" si="6"/>
        <v>3693.450615883306</v>
      </c>
      <c r="BG22" s="21">
        <v>2278859.0299999998</v>
      </c>
      <c r="BH22" s="29">
        <f t="shared" si="7"/>
        <v>1.2265670039560264E-2</v>
      </c>
      <c r="BI22" s="29">
        <f t="shared" si="8"/>
        <v>1.3687830026342085E-2</v>
      </c>
    </row>
    <row r="23" spans="1:61" x14ac:dyDescent="0.3">
      <c r="A23" s="19">
        <v>20</v>
      </c>
      <c r="B23" s="20" t="s">
        <v>20</v>
      </c>
      <c r="C23" s="21">
        <v>101</v>
      </c>
      <c r="D23" s="21">
        <f t="shared" si="0"/>
        <v>3025.1487128712874</v>
      </c>
      <c r="E23" s="21">
        <v>305540.02</v>
      </c>
      <c r="F23" s="19">
        <v>20</v>
      </c>
      <c r="G23" s="20" t="s">
        <v>20</v>
      </c>
      <c r="H23" s="21">
        <v>63</v>
      </c>
      <c r="I23" s="21">
        <f t="shared" si="1"/>
        <v>3533.5876190476188</v>
      </c>
      <c r="J23" s="21">
        <v>222616.02</v>
      </c>
      <c r="K23" s="19">
        <v>20</v>
      </c>
      <c r="L23" s="20" t="s">
        <v>109</v>
      </c>
      <c r="M23" s="21">
        <v>93</v>
      </c>
      <c r="N23" s="21">
        <f t="shared" si="2"/>
        <v>3582.2001075268818</v>
      </c>
      <c r="O23" s="21">
        <v>333144.61</v>
      </c>
      <c r="P23" s="19">
        <v>20</v>
      </c>
      <c r="Q23" s="20" t="s">
        <v>23</v>
      </c>
      <c r="R23" s="21">
        <v>60</v>
      </c>
      <c r="S23" s="21">
        <f t="shared" si="3"/>
        <v>2356.774166666667</v>
      </c>
      <c r="T23" s="21">
        <v>141406.45000000001</v>
      </c>
      <c r="U23" s="19">
        <v>20</v>
      </c>
      <c r="V23" s="20" t="s">
        <v>24</v>
      </c>
      <c r="W23" s="21">
        <v>81</v>
      </c>
      <c r="X23" s="21">
        <f t="shared" si="4"/>
        <v>2786.4683950617286</v>
      </c>
      <c r="Y23" s="21">
        <v>225703.94</v>
      </c>
      <c r="Z23" s="19">
        <v>20</v>
      </c>
      <c r="AA23" s="20" t="s">
        <v>25</v>
      </c>
      <c r="AB23" s="21">
        <v>68</v>
      </c>
      <c r="AC23" s="21">
        <f t="shared" si="5"/>
        <v>3639.7554411764704</v>
      </c>
      <c r="AD23" s="21">
        <v>247503.37</v>
      </c>
      <c r="AE23" s="19"/>
      <c r="AF23" s="20"/>
      <c r="AG23" s="20"/>
      <c r="AH23" s="20"/>
      <c r="AI23" s="19"/>
      <c r="AJ23" s="20"/>
      <c r="AK23" s="20"/>
      <c r="AL23" s="20"/>
      <c r="AM23" s="19"/>
      <c r="AN23" s="20"/>
      <c r="AO23" s="20"/>
      <c r="AP23" s="20"/>
      <c r="AQ23" s="19"/>
      <c r="AR23" s="20"/>
      <c r="AS23" s="20"/>
      <c r="AT23" s="20"/>
      <c r="AU23" s="19"/>
      <c r="AV23" s="20"/>
      <c r="AW23" s="20"/>
      <c r="AX23" s="20"/>
      <c r="AY23" s="22"/>
      <c r="AZ23" s="23"/>
      <c r="BA23" s="23"/>
      <c r="BB23" s="23"/>
      <c r="BC23" s="19">
        <v>20</v>
      </c>
      <c r="BD23" s="20" t="s">
        <v>20</v>
      </c>
      <c r="BE23" s="21">
        <v>499</v>
      </c>
      <c r="BF23" s="21">
        <f t="shared" si="6"/>
        <v>3080.1588577154307</v>
      </c>
      <c r="BG23" s="21">
        <v>1536999.27</v>
      </c>
      <c r="BH23" s="29">
        <f t="shared" si="7"/>
        <v>9.9198854939069239E-3</v>
      </c>
      <c r="BI23" s="29">
        <f t="shared" si="8"/>
        <v>9.231893891379437E-3</v>
      </c>
    </row>
    <row r="24" spans="1:61" x14ac:dyDescent="0.3">
      <c r="A24" s="19">
        <v>21</v>
      </c>
      <c r="B24" s="20" t="s">
        <v>109</v>
      </c>
      <c r="C24" s="21">
        <v>98</v>
      </c>
      <c r="D24" s="21">
        <f t="shared" si="0"/>
        <v>3500.4744897959185</v>
      </c>
      <c r="E24" s="21">
        <v>343046.5</v>
      </c>
      <c r="F24" s="19">
        <v>21</v>
      </c>
      <c r="G24" s="20" t="s">
        <v>26</v>
      </c>
      <c r="H24" s="21">
        <v>58</v>
      </c>
      <c r="I24" s="21">
        <f t="shared" si="1"/>
        <v>4145.3081034482757</v>
      </c>
      <c r="J24" s="21">
        <v>240427.87</v>
      </c>
      <c r="K24" s="19">
        <v>21</v>
      </c>
      <c r="L24" s="20" t="s">
        <v>24</v>
      </c>
      <c r="M24" s="21">
        <v>67</v>
      </c>
      <c r="N24" s="21">
        <f t="shared" si="2"/>
        <v>2895.7240298507463</v>
      </c>
      <c r="O24" s="21">
        <v>194013.51</v>
      </c>
      <c r="P24" s="19">
        <v>21</v>
      </c>
      <c r="Q24" s="20" t="s">
        <v>27</v>
      </c>
      <c r="R24" s="21">
        <v>52</v>
      </c>
      <c r="S24" s="21">
        <f t="shared" si="3"/>
        <v>3974.8407692307692</v>
      </c>
      <c r="T24" s="21">
        <v>206691.72</v>
      </c>
      <c r="U24" s="19">
        <v>21</v>
      </c>
      <c r="V24" s="20" t="s">
        <v>28</v>
      </c>
      <c r="W24" s="21">
        <v>74</v>
      </c>
      <c r="X24" s="21">
        <f t="shared" si="4"/>
        <v>2170.2483783783782</v>
      </c>
      <c r="Y24" s="21">
        <v>160598.38</v>
      </c>
      <c r="Z24" s="19">
        <v>21</v>
      </c>
      <c r="AA24" s="20" t="s">
        <v>24</v>
      </c>
      <c r="AB24" s="21">
        <v>64</v>
      </c>
      <c r="AC24" s="21">
        <f t="shared" si="5"/>
        <v>2324.0846875000002</v>
      </c>
      <c r="AD24" s="21">
        <v>148741.42000000001</v>
      </c>
      <c r="AE24" s="19"/>
      <c r="AF24" s="20"/>
      <c r="AG24" s="20"/>
      <c r="AH24" s="20"/>
      <c r="AI24" s="19"/>
      <c r="AJ24" s="20"/>
      <c r="AK24" s="20"/>
      <c r="AL24" s="20"/>
      <c r="AM24" s="19"/>
      <c r="AN24" s="20"/>
      <c r="AO24" s="20"/>
      <c r="AP24" s="20"/>
      <c r="AQ24" s="19"/>
      <c r="AR24" s="20"/>
      <c r="AS24" s="20"/>
      <c r="AT24" s="20"/>
      <c r="AU24" s="19"/>
      <c r="AV24" s="20"/>
      <c r="AW24" s="20"/>
      <c r="AX24" s="20"/>
      <c r="AY24" s="22"/>
      <c r="AZ24" s="23"/>
      <c r="BA24" s="23"/>
      <c r="BB24" s="23"/>
      <c r="BC24" s="19">
        <v>21</v>
      </c>
      <c r="BD24" s="20" t="s">
        <v>21</v>
      </c>
      <c r="BE24" s="21">
        <v>349</v>
      </c>
      <c r="BF24" s="21">
        <f t="shared" si="6"/>
        <v>4026.9446131805157</v>
      </c>
      <c r="BG24" s="21">
        <v>1405403.67</v>
      </c>
      <c r="BH24" s="29">
        <f t="shared" si="7"/>
        <v>6.9379559867204735E-3</v>
      </c>
      <c r="BI24" s="29">
        <f t="shared" si="8"/>
        <v>8.4414728160510065E-3</v>
      </c>
    </row>
    <row r="25" spans="1:61" x14ac:dyDescent="0.3">
      <c r="A25" s="19">
        <v>22</v>
      </c>
      <c r="B25" s="20" t="s">
        <v>21</v>
      </c>
      <c r="C25" s="21">
        <v>97</v>
      </c>
      <c r="D25" s="21">
        <f t="shared" si="0"/>
        <v>4376.43</v>
      </c>
      <c r="E25" s="21">
        <v>424513.71</v>
      </c>
      <c r="F25" s="19">
        <v>22</v>
      </c>
      <c r="G25" s="20" t="s">
        <v>27</v>
      </c>
      <c r="H25" s="21">
        <v>47</v>
      </c>
      <c r="I25" s="21">
        <f t="shared" si="1"/>
        <v>4039.0359574468084</v>
      </c>
      <c r="J25" s="21">
        <v>189834.69</v>
      </c>
      <c r="K25" s="19">
        <v>22</v>
      </c>
      <c r="L25" s="20" t="s">
        <v>29</v>
      </c>
      <c r="M25" s="21">
        <v>61</v>
      </c>
      <c r="N25" s="21">
        <f t="shared" si="2"/>
        <v>3534.062295081967</v>
      </c>
      <c r="O25" s="21">
        <v>215577.8</v>
      </c>
      <c r="P25" s="19">
        <v>22</v>
      </c>
      <c r="Q25" s="20" t="s">
        <v>26</v>
      </c>
      <c r="R25" s="21">
        <v>42</v>
      </c>
      <c r="S25" s="21">
        <f t="shared" si="3"/>
        <v>4662.3495238095238</v>
      </c>
      <c r="T25" s="21">
        <v>195818.68</v>
      </c>
      <c r="U25" s="19">
        <v>22</v>
      </c>
      <c r="V25" s="20" t="s">
        <v>20</v>
      </c>
      <c r="W25" s="21">
        <v>69</v>
      </c>
      <c r="X25" s="21">
        <f t="shared" si="4"/>
        <v>2971.5052173913041</v>
      </c>
      <c r="Y25" s="21">
        <v>205033.86</v>
      </c>
      <c r="Z25" s="19">
        <v>22</v>
      </c>
      <c r="AA25" s="20" t="s">
        <v>30</v>
      </c>
      <c r="AB25" s="21">
        <v>60</v>
      </c>
      <c r="AC25" s="21">
        <f t="shared" si="5"/>
        <v>4332.0511666666671</v>
      </c>
      <c r="AD25" s="21">
        <v>259923.07</v>
      </c>
      <c r="AE25" s="19"/>
      <c r="AF25" s="20"/>
      <c r="AG25" s="20"/>
      <c r="AH25" s="20"/>
      <c r="AI25" s="19"/>
      <c r="AJ25" s="20"/>
      <c r="AK25" s="20"/>
      <c r="AL25" s="20"/>
      <c r="AM25" s="19"/>
      <c r="AN25" s="20"/>
      <c r="AO25" s="20"/>
      <c r="AP25" s="20"/>
      <c r="AQ25" s="19"/>
      <c r="AR25" s="20"/>
      <c r="AS25" s="20"/>
      <c r="AT25" s="20"/>
      <c r="AU25" s="19"/>
      <c r="AV25" s="20"/>
      <c r="AW25" s="20"/>
      <c r="AX25" s="20"/>
      <c r="AY25" s="22"/>
      <c r="AZ25" s="23"/>
      <c r="BA25" s="23"/>
      <c r="BB25" s="23"/>
      <c r="BC25" s="19">
        <v>22</v>
      </c>
      <c r="BD25" s="20" t="s">
        <v>24</v>
      </c>
      <c r="BE25" s="21">
        <v>317</v>
      </c>
      <c r="BF25" s="21">
        <f t="shared" si="6"/>
        <v>2649.4373501577288</v>
      </c>
      <c r="BG25" s="21">
        <v>839871.64</v>
      </c>
      <c r="BH25" s="29">
        <f t="shared" si="7"/>
        <v>6.3018110251873644E-3</v>
      </c>
      <c r="BI25" s="29">
        <f t="shared" si="8"/>
        <v>5.044638611219919E-3</v>
      </c>
    </row>
    <row r="26" spans="1:61" x14ac:dyDescent="0.3">
      <c r="A26" s="19">
        <v>23</v>
      </c>
      <c r="B26" s="20" t="s">
        <v>26</v>
      </c>
      <c r="C26" s="21">
        <v>74</v>
      </c>
      <c r="D26" s="21">
        <f t="shared" si="0"/>
        <v>4212.2516216216218</v>
      </c>
      <c r="E26" s="21">
        <v>311706.62</v>
      </c>
      <c r="F26" s="19">
        <v>23</v>
      </c>
      <c r="G26" s="20" t="s">
        <v>31</v>
      </c>
      <c r="H26" s="21">
        <v>44</v>
      </c>
      <c r="I26" s="21">
        <f t="shared" si="1"/>
        <v>4833.721590909091</v>
      </c>
      <c r="J26" s="21">
        <v>212683.75</v>
      </c>
      <c r="K26" s="19">
        <v>23</v>
      </c>
      <c r="L26" s="20" t="s">
        <v>26</v>
      </c>
      <c r="M26" s="21">
        <v>59</v>
      </c>
      <c r="N26" s="21">
        <f t="shared" si="2"/>
        <v>4819.1854237288135</v>
      </c>
      <c r="O26" s="21">
        <v>284331.94</v>
      </c>
      <c r="P26" s="19">
        <v>23</v>
      </c>
      <c r="Q26" s="20" t="s">
        <v>32</v>
      </c>
      <c r="R26" s="21">
        <v>37</v>
      </c>
      <c r="S26" s="21">
        <f t="shared" si="3"/>
        <v>2281.0389189189191</v>
      </c>
      <c r="T26" s="21">
        <v>84398.44</v>
      </c>
      <c r="U26" s="19">
        <v>23</v>
      </c>
      <c r="V26" s="20" t="s">
        <v>26</v>
      </c>
      <c r="W26" s="21">
        <v>47</v>
      </c>
      <c r="X26" s="21">
        <f t="shared" si="4"/>
        <v>3543.2963829787232</v>
      </c>
      <c r="Y26" s="21">
        <v>166534.93</v>
      </c>
      <c r="Z26" s="19">
        <v>23</v>
      </c>
      <c r="AA26" s="20" t="s">
        <v>22</v>
      </c>
      <c r="AB26" s="21">
        <v>43</v>
      </c>
      <c r="AC26" s="21">
        <f t="shared" si="5"/>
        <v>4355.3099999999995</v>
      </c>
      <c r="AD26" s="21">
        <v>187278.33</v>
      </c>
      <c r="AE26" s="19"/>
      <c r="AF26" s="20"/>
      <c r="AG26" s="20"/>
      <c r="AH26" s="20"/>
      <c r="AI26" s="19"/>
      <c r="AJ26" s="20"/>
      <c r="AK26" s="20"/>
      <c r="AL26" s="20"/>
      <c r="AM26" s="19"/>
      <c r="AN26" s="20"/>
      <c r="AO26" s="20"/>
      <c r="AP26" s="20"/>
      <c r="AQ26" s="19"/>
      <c r="AR26" s="20"/>
      <c r="AS26" s="20"/>
      <c r="AT26" s="20"/>
      <c r="AU26" s="19"/>
      <c r="AV26" s="20"/>
      <c r="AW26" s="20"/>
      <c r="AX26" s="20"/>
      <c r="AY26" s="22"/>
      <c r="AZ26" s="23"/>
      <c r="BA26" s="23"/>
      <c r="BB26" s="23"/>
      <c r="BC26" s="19">
        <v>23</v>
      </c>
      <c r="BD26" s="20" t="s">
        <v>26</v>
      </c>
      <c r="BE26" s="21">
        <v>309</v>
      </c>
      <c r="BF26" s="21">
        <f t="shared" si="6"/>
        <v>4231.543398058252</v>
      </c>
      <c r="BG26" s="21">
        <v>1307546.9099999999</v>
      </c>
      <c r="BH26" s="29">
        <f t="shared" si="7"/>
        <v>6.1427747848040873E-3</v>
      </c>
      <c r="BI26" s="29">
        <f t="shared" si="8"/>
        <v>7.8537020587661419E-3</v>
      </c>
    </row>
    <row r="27" spans="1:61" x14ac:dyDescent="0.3">
      <c r="A27" s="19">
        <v>24</v>
      </c>
      <c r="B27" s="20" t="s">
        <v>39</v>
      </c>
      <c r="C27" s="21">
        <v>64</v>
      </c>
      <c r="D27" s="21">
        <f t="shared" si="0"/>
        <v>4163.9156249999996</v>
      </c>
      <c r="E27" s="21">
        <v>266490.59999999998</v>
      </c>
      <c r="F27" s="19">
        <v>24</v>
      </c>
      <c r="G27" s="20" t="s">
        <v>29</v>
      </c>
      <c r="H27" s="21">
        <v>41</v>
      </c>
      <c r="I27" s="21">
        <f t="shared" si="1"/>
        <v>3120.8573170731706</v>
      </c>
      <c r="J27" s="21">
        <v>127955.15</v>
      </c>
      <c r="K27" s="19">
        <v>24</v>
      </c>
      <c r="L27" s="20" t="s">
        <v>33</v>
      </c>
      <c r="M27" s="21">
        <v>56</v>
      </c>
      <c r="N27" s="21">
        <f t="shared" si="2"/>
        <v>3241.1273214285716</v>
      </c>
      <c r="O27" s="21">
        <v>181503.13</v>
      </c>
      <c r="P27" s="19">
        <v>24</v>
      </c>
      <c r="Q27" s="20" t="s">
        <v>34</v>
      </c>
      <c r="R27" s="21">
        <v>37</v>
      </c>
      <c r="S27" s="21">
        <f t="shared" si="3"/>
        <v>3198.4859459459458</v>
      </c>
      <c r="T27" s="21">
        <v>118343.98</v>
      </c>
      <c r="U27" s="19">
        <v>24</v>
      </c>
      <c r="V27" s="20" t="s">
        <v>112</v>
      </c>
      <c r="W27" s="21">
        <v>46</v>
      </c>
      <c r="X27" s="21">
        <f t="shared" si="4"/>
        <v>2825.7182608695653</v>
      </c>
      <c r="Y27" s="21">
        <v>129983.03999999999</v>
      </c>
      <c r="Z27" s="19">
        <v>24</v>
      </c>
      <c r="AA27" s="20" t="s">
        <v>38</v>
      </c>
      <c r="AB27" s="21">
        <v>31</v>
      </c>
      <c r="AC27" s="21">
        <f t="shared" si="5"/>
        <v>3284.923870967742</v>
      </c>
      <c r="AD27" s="21">
        <v>101832.64</v>
      </c>
      <c r="AE27" s="19"/>
      <c r="AF27" s="20"/>
      <c r="AG27" s="20"/>
      <c r="AH27" s="20"/>
      <c r="AI27" s="19"/>
      <c r="AJ27" s="20"/>
      <c r="AK27" s="20"/>
      <c r="AL27" s="20"/>
      <c r="AM27" s="19"/>
      <c r="AN27" s="20"/>
      <c r="AO27" s="20"/>
      <c r="AP27" s="20"/>
      <c r="AQ27" s="19"/>
      <c r="AR27" s="20"/>
      <c r="AS27" s="20"/>
      <c r="AT27" s="20"/>
      <c r="AU27" s="19"/>
      <c r="AV27" s="20"/>
      <c r="AW27" s="20"/>
      <c r="AX27" s="20"/>
      <c r="AY27" s="22"/>
      <c r="AZ27" s="23"/>
      <c r="BA27" s="23"/>
      <c r="BB27" s="23"/>
      <c r="BC27" s="19">
        <v>24</v>
      </c>
      <c r="BD27" s="20" t="s">
        <v>27</v>
      </c>
      <c r="BE27" s="21">
        <v>237</v>
      </c>
      <c r="BF27" s="21">
        <f t="shared" si="6"/>
        <v>3718.4859493670888</v>
      </c>
      <c r="BG27" s="21">
        <v>881281.17</v>
      </c>
      <c r="BH27" s="29">
        <f t="shared" si="7"/>
        <v>4.7114486213545911E-3</v>
      </c>
      <c r="BI27" s="29">
        <f t="shared" si="8"/>
        <v>5.2933624684875242E-3</v>
      </c>
    </row>
    <row r="28" spans="1:61" x14ac:dyDescent="0.3">
      <c r="A28" s="19">
        <v>25</v>
      </c>
      <c r="B28" s="20" t="s">
        <v>27</v>
      </c>
      <c r="C28" s="21">
        <v>62</v>
      </c>
      <c r="D28" s="21">
        <f t="shared" si="0"/>
        <v>3656.5195161290321</v>
      </c>
      <c r="E28" s="21">
        <v>226704.21</v>
      </c>
      <c r="F28" s="19">
        <v>25</v>
      </c>
      <c r="G28" s="20" t="s">
        <v>33</v>
      </c>
      <c r="H28" s="21">
        <v>39</v>
      </c>
      <c r="I28" s="21">
        <f t="shared" si="1"/>
        <v>2818.9248717948722</v>
      </c>
      <c r="J28" s="21">
        <v>109938.07</v>
      </c>
      <c r="K28" s="19">
        <v>25</v>
      </c>
      <c r="L28" s="20" t="s">
        <v>28</v>
      </c>
      <c r="M28" s="21">
        <v>52</v>
      </c>
      <c r="N28" s="21">
        <f t="shared" si="2"/>
        <v>3081.8440384615387</v>
      </c>
      <c r="O28" s="21">
        <v>160255.89000000001</v>
      </c>
      <c r="P28" s="19">
        <v>25</v>
      </c>
      <c r="Q28" s="20" t="s">
        <v>37</v>
      </c>
      <c r="R28" s="21">
        <v>36</v>
      </c>
      <c r="S28" s="21">
        <f t="shared" si="3"/>
        <v>2148.4122222222222</v>
      </c>
      <c r="T28" s="21">
        <v>77342.84</v>
      </c>
      <c r="U28" s="19">
        <v>25</v>
      </c>
      <c r="V28" s="20" t="s">
        <v>37</v>
      </c>
      <c r="W28" s="21">
        <v>36</v>
      </c>
      <c r="X28" s="21">
        <f t="shared" si="4"/>
        <v>3047.922222222222</v>
      </c>
      <c r="Y28" s="21">
        <v>109725.2</v>
      </c>
      <c r="Z28" s="19">
        <v>25</v>
      </c>
      <c r="AA28" s="20" t="s">
        <v>20</v>
      </c>
      <c r="AB28" s="21">
        <v>31</v>
      </c>
      <c r="AC28" s="21">
        <f t="shared" si="5"/>
        <v>4764.0380645161285</v>
      </c>
      <c r="AD28" s="21">
        <v>147685.18</v>
      </c>
      <c r="AE28" s="19"/>
      <c r="AF28" s="20"/>
      <c r="AG28" s="20"/>
      <c r="AH28" s="20"/>
      <c r="AI28" s="19"/>
      <c r="AJ28" s="20"/>
      <c r="AK28" s="20"/>
      <c r="AL28" s="20"/>
      <c r="AM28" s="19"/>
      <c r="AN28" s="20"/>
      <c r="AO28" s="20"/>
      <c r="AP28" s="20"/>
      <c r="AQ28" s="19"/>
      <c r="AR28" s="20"/>
      <c r="AS28" s="20"/>
      <c r="AT28" s="20"/>
      <c r="AU28" s="19"/>
      <c r="AV28" s="20"/>
      <c r="AW28" s="20"/>
      <c r="AX28" s="20"/>
      <c r="AY28" s="22"/>
      <c r="AZ28" s="23"/>
      <c r="BA28" s="23"/>
      <c r="BB28" s="23"/>
      <c r="BC28" s="19">
        <v>25</v>
      </c>
      <c r="BD28" s="20" t="s">
        <v>37</v>
      </c>
      <c r="BE28" s="21">
        <v>217</v>
      </c>
      <c r="BF28" s="21">
        <f t="shared" si="6"/>
        <v>3017.6136866359448</v>
      </c>
      <c r="BG28" s="21">
        <v>654822.17000000004</v>
      </c>
      <c r="BH28" s="29">
        <f t="shared" si="7"/>
        <v>4.3138580203963975E-3</v>
      </c>
      <c r="BI28" s="29">
        <f t="shared" si="8"/>
        <v>3.9331500731049967E-3</v>
      </c>
    </row>
    <row r="29" spans="1:61" x14ac:dyDescent="0.3">
      <c r="A29" s="19">
        <v>26</v>
      </c>
      <c r="B29" s="20" t="s">
        <v>31</v>
      </c>
      <c r="C29" s="21">
        <v>60</v>
      </c>
      <c r="D29" s="21">
        <f t="shared" si="0"/>
        <v>4242.2484999999997</v>
      </c>
      <c r="E29" s="21">
        <v>254534.91</v>
      </c>
      <c r="F29" s="19">
        <v>26</v>
      </c>
      <c r="G29" s="20" t="s">
        <v>39</v>
      </c>
      <c r="H29" s="21">
        <v>39</v>
      </c>
      <c r="I29" s="21">
        <f t="shared" si="1"/>
        <v>4562.6541025641027</v>
      </c>
      <c r="J29" s="21">
        <v>177943.51</v>
      </c>
      <c r="K29" s="19">
        <v>26</v>
      </c>
      <c r="L29" s="20" t="s">
        <v>37</v>
      </c>
      <c r="M29" s="21">
        <v>52</v>
      </c>
      <c r="N29" s="21">
        <f t="shared" si="2"/>
        <v>2785.2032692307694</v>
      </c>
      <c r="O29" s="21">
        <v>144830.57</v>
      </c>
      <c r="P29" s="19">
        <v>26</v>
      </c>
      <c r="Q29" s="20" t="s">
        <v>24</v>
      </c>
      <c r="R29" s="21">
        <v>34</v>
      </c>
      <c r="S29" s="21">
        <f t="shared" si="3"/>
        <v>2383.9264705882351</v>
      </c>
      <c r="T29" s="21">
        <v>81053.5</v>
      </c>
      <c r="U29" s="19">
        <v>26</v>
      </c>
      <c r="V29" s="20" t="s">
        <v>40</v>
      </c>
      <c r="W29" s="21">
        <v>33</v>
      </c>
      <c r="X29" s="21">
        <f t="shared" si="4"/>
        <v>3645.530303030303</v>
      </c>
      <c r="Y29" s="21">
        <v>120302.5</v>
      </c>
      <c r="Z29" s="19">
        <v>26</v>
      </c>
      <c r="AA29" s="20" t="s">
        <v>27</v>
      </c>
      <c r="AB29" s="21">
        <v>30</v>
      </c>
      <c r="AC29" s="21">
        <f t="shared" si="5"/>
        <v>3431.0003333333329</v>
      </c>
      <c r="AD29" s="21">
        <v>102930.01</v>
      </c>
      <c r="AE29" s="19"/>
      <c r="AF29" s="20"/>
      <c r="AG29" s="20"/>
      <c r="AH29" s="20"/>
      <c r="AI29" s="19"/>
      <c r="AJ29" s="20"/>
      <c r="AK29" s="20"/>
      <c r="AL29" s="20"/>
      <c r="AM29" s="19"/>
      <c r="AN29" s="20"/>
      <c r="AO29" s="20"/>
      <c r="AP29" s="20"/>
      <c r="AQ29" s="19"/>
      <c r="AR29" s="20"/>
      <c r="AS29" s="20"/>
      <c r="AT29" s="20"/>
      <c r="AU29" s="19"/>
      <c r="AV29" s="20"/>
      <c r="AW29" s="20"/>
      <c r="AX29" s="20"/>
      <c r="AY29" s="22"/>
      <c r="AZ29" s="23"/>
      <c r="BA29" s="23"/>
      <c r="BB29" s="23"/>
      <c r="BC29" s="19">
        <v>26</v>
      </c>
      <c r="BD29" s="20" t="s">
        <v>25</v>
      </c>
      <c r="BE29" s="21">
        <v>207</v>
      </c>
      <c r="BF29" s="21">
        <f t="shared" si="6"/>
        <v>3523.9084057971018</v>
      </c>
      <c r="BG29" s="21">
        <v>729449.04</v>
      </c>
      <c r="BH29" s="29">
        <f t="shared" si="7"/>
        <v>4.1150627199173012E-3</v>
      </c>
      <c r="BI29" s="29">
        <f t="shared" si="8"/>
        <v>4.3813918899574976E-3</v>
      </c>
    </row>
    <row r="30" spans="1:61" x14ac:dyDescent="0.3">
      <c r="A30" s="19">
        <v>27</v>
      </c>
      <c r="B30" s="20" t="s">
        <v>37</v>
      </c>
      <c r="C30" s="21">
        <v>55</v>
      </c>
      <c r="D30" s="21">
        <f t="shared" si="0"/>
        <v>3584.6821818181816</v>
      </c>
      <c r="E30" s="21">
        <v>197157.52</v>
      </c>
      <c r="F30" s="19">
        <v>27</v>
      </c>
      <c r="G30" s="20" t="s">
        <v>40</v>
      </c>
      <c r="H30" s="21">
        <v>37</v>
      </c>
      <c r="I30" s="21">
        <f t="shared" si="1"/>
        <v>4360.9997297297296</v>
      </c>
      <c r="J30" s="21">
        <v>161356.99</v>
      </c>
      <c r="K30" s="19">
        <v>27</v>
      </c>
      <c r="L30" s="20" t="s">
        <v>41</v>
      </c>
      <c r="M30" s="21">
        <v>50</v>
      </c>
      <c r="N30" s="21">
        <f t="shared" si="2"/>
        <v>3617.652</v>
      </c>
      <c r="O30" s="21">
        <v>180882.6</v>
      </c>
      <c r="P30" s="19">
        <v>27</v>
      </c>
      <c r="Q30" s="20" t="s">
        <v>31</v>
      </c>
      <c r="R30" s="21">
        <v>32</v>
      </c>
      <c r="S30" s="21">
        <f t="shared" si="3"/>
        <v>2447.8218750000001</v>
      </c>
      <c r="T30" s="21">
        <v>78330.3</v>
      </c>
      <c r="U30" s="19">
        <v>27</v>
      </c>
      <c r="V30" s="20" t="s">
        <v>44</v>
      </c>
      <c r="W30" s="21">
        <v>32</v>
      </c>
      <c r="X30" s="21">
        <f t="shared" si="4"/>
        <v>3603.57375</v>
      </c>
      <c r="Y30" s="21">
        <v>115314.36</v>
      </c>
      <c r="Z30" s="19">
        <v>27</v>
      </c>
      <c r="AA30" s="20" t="s">
        <v>29</v>
      </c>
      <c r="AB30" s="21">
        <v>30</v>
      </c>
      <c r="AC30" s="21">
        <f t="shared" si="5"/>
        <v>2563.0129999999999</v>
      </c>
      <c r="AD30" s="21">
        <v>76890.39</v>
      </c>
      <c r="AE30" s="19"/>
      <c r="AF30" s="20"/>
      <c r="AG30" s="20"/>
      <c r="AH30" s="20"/>
      <c r="AI30" s="19"/>
      <c r="AJ30" s="20"/>
      <c r="AK30" s="20"/>
      <c r="AL30" s="20"/>
      <c r="AM30" s="19"/>
      <c r="AN30" s="20"/>
      <c r="AO30" s="20"/>
      <c r="AP30" s="20"/>
      <c r="AQ30" s="19"/>
      <c r="AR30" s="20"/>
      <c r="AS30" s="20"/>
      <c r="AT30" s="20"/>
      <c r="AU30" s="19"/>
      <c r="AV30" s="20"/>
      <c r="AW30" s="20"/>
      <c r="AX30" s="20"/>
      <c r="AY30" s="22"/>
      <c r="AZ30" s="23"/>
      <c r="BA30" s="23"/>
      <c r="BB30" s="23"/>
      <c r="BC30" s="19">
        <v>27</v>
      </c>
      <c r="BD30" s="20" t="s">
        <v>31</v>
      </c>
      <c r="BE30" s="21">
        <v>190</v>
      </c>
      <c r="BF30" s="21">
        <f t="shared" si="6"/>
        <v>3709.7582105263159</v>
      </c>
      <c r="BG30" s="21">
        <v>704854.06</v>
      </c>
      <c r="BH30" s="29">
        <f t="shared" si="7"/>
        <v>3.777110709102837E-3</v>
      </c>
      <c r="BI30" s="29">
        <f t="shared" si="8"/>
        <v>4.2336636183490156E-3</v>
      </c>
    </row>
    <row r="31" spans="1:61" x14ac:dyDescent="0.3">
      <c r="A31" s="19">
        <v>28</v>
      </c>
      <c r="B31" s="20" t="s">
        <v>45</v>
      </c>
      <c r="C31" s="21">
        <v>52</v>
      </c>
      <c r="D31" s="21">
        <f t="shared" si="0"/>
        <v>2411.7298076923075</v>
      </c>
      <c r="E31" s="21">
        <v>125409.95</v>
      </c>
      <c r="F31" s="19">
        <v>28</v>
      </c>
      <c r="G31" s="20" t="s">
        <v>42</v>
      </c>
      <c r="H31" s="21">
        <v>35</v>
      </c>
      <c r="I31" s="21">
        <f t="shared" si="1"/>
        <v>3299.2294285714283</v>
      </c>
      <c r="J31" s="21">
        <v>115473.03</v>
      </c>
      <c r="K31" s="19">
        <v>28</v>
      </c>
      <c r="L31" s="20" t="s">
        <v>43</v>
      </c>
      <c r="M31" s="21">
        <v>49</v>
      </c>
      <c r="N31" s="21">
        <f t="shared" si="2"/>
        <v>3651.985714285714</v>
      </c>
      <c r="O31" s="21">
        <v>178947.3</v>
      </c>
      <c r="P31" s="19">
        <v>28</v>
      </c>
      <c r="Q31" s="20" t="s">
        <v>33</v>
      </c>
      <c r="R31" s="21">
        <v>31</v>
      </c>
      <c r="S31" s="21">
        <f t="shared" si="3"/>
        <v>2370.8551612903225</v>
      </c>
      <c r="T31" s="21">
        <v>73496.509999999995</v>
      </c>
      <c r="U31" s="19">
        <v>28</v>
      </c>
      <c r="V31" s="20" t="s">
        <v>25</v>
      </c>
      <c r="W31" s="21">
        <v>32</v>
      </c>
      <c r="X31" s="21">
        <f t="shared" si="4"/>
        <v>3770.4234375000001</v>
      </c>
      <c r="Y31" s="21">
        <v>120653.55</v>
      </c>
      <c r="Z31" s="19">
        <v>28</v>
      </c>
      <c r="AA31" s="20" t="s">
        <v>26</v>
      </c>
      <c r="AB31" s="21">
        <v>29</v>
      </c>
      <c r="AC31" s="21">
        <f t="shared" si="5"/>
        <v>3749.2024137931035</v>
      </c>
      <c r="AD31" s="21">
        <v>108726.87</v>
      </c>
      <c r="AE31" s="19"/>
      <c r="AF31" s="20"/>
      <c r="AG31" s="20"/>
      <c r="AH31" s="20"/>
      <c r="AI31" s="19"/>
      <c r="AJ31" s="20"/>
      <c r="AK31" s="20"/>
      <c r="AL31" s="20"/>
      <c r="AM31" s="19"/>
      <c r="AN31" s="20"/>
      <c r="AO31" s="20"/>
      <c r="AP31" s="20"/>
      <c r="AQ31" s="19"/>
      <c r="AR31" s="20"/>
      <c r="AS31" s="20"/>
      <c r="AT31" s="20"/>
      <c r="AU31" s="19"/>
      <c r="AV31" s="20"/>
      <c r="AW31" s="20"/>
      <c r="AX31" s="20"/>
      <c r="AY31" s="22"/>
      <c r="AZ31" s="23"/>
      <c r="BA31" s="23"/>
      <c r="BB31" s="23"/>
      <c r="BC31" s="19">
        <v>28</v>
      </c>
      <c r="BD31" s="20" t="s">
        <v>33</v>
      </c>
      <c r="BE31" s="21">
        <v>185</v>
      </c>
      <c r="BF31" s="21">
        <f t="shared" si="6"/>
        <v>2902.6417297297294</v>
      </c>
      <c r="BG31" s="21">
        <v>536988.72</v>
      </c>
      <c r="BH31" s="29">
        <f t="shared" si="7"/>
        <v>3.6777130588632884E-3</v>
      </c>
      <c r="BI31" s="29">
        <f t="shared" si="8"/>
        <v>3.225390525987473E-3</v>
      </c>
    </row>
    <row r="32" spans="1:61" x14ac:dyDescent="0.3">
      <c r="A32" s="19">
        <v>29</v>
      </c>
      <c r="B32" s="20" t="s">
        <v>47</v>
      </c>
      <c r="C32" s="21">
        <v>49</v>
      </c>
      <c r="D32" s="21">
        <f t="shared" si="0"/>
        <v>4089.9612244897962</v>
      </c>
      <c r="E32" s="21">
        <v>200408.1</v>
      </c>
      <c r="F32" s="19">
        <v>29</v>
      </c>
      <c r="G32" s="20" t="s">
        <v>24</v>
      </c>
      <c r="H32" s="21">
        <v>32</v>
      </c>
      <c r="I32" s="21">
        <f t="shared" si="1"/>
        <v>2589.3715625</v>
      </c>
      <c r="J32" s="21">
        <v>82859.89</v>
      </c>
      <c r="K32" s="19">
        <v>29</v>
      </c>
      <c r="L32" s="20" t="s">
        <v>39</v>
      </c>
      <c r="M32" s="21">
        <v>40</v>
      </c>
      <c r="N32" s="21">
        <f t="shared" si="2"/>
        <v>3703.8265000000001</v>
      </c>
      <c r="O32" s="21">
        <v>148153.06</v>
      </c>
      <c r="P32" s="19">
        <v>29</v>
      </c>
      <c r="Q32" s="20" t="s">
        <v>46</v>
      </c>
      <c r="R32" s="21">
        <v>31</v>
      </c>
      <c r="S32" s="21">
        <f t="shared" si="3"/>
        <v>2131.054193548387</v>
      </c>
      <c r="T32" s="21">
        <v>66062.679999999993</v>
      </c>
      <c r="U32" s="19">
        <v>29</v>
      </c>
      <c r="V32" s="20" t="s">
        <v>27</v>
      </c>
      <c r="W32" s="21">
        <v>30</v>
      </c>
      <c r="X32" s="21">
        <f t="shared" si="4"/>
        <v>3355.498</v>
      </c>
      <c r="Y32" s="21">
        <v>100664.94</v>
      </c>
      <c r="Z32" s="19">
        <v>29</v>
      </c>
      <c r="AA32" s="20" t="s">
        <v>42</v>
      </c>
      <c r="AB32" s="21">
        <v>26</v>
      </c>
      <c r="AC32" s="21">
        <f t="shared" si="5"/>
        <v>2868.0769230769229</v>
      </c>
      <c r="AD32" s="21">
        <v>74570</v>
      </c>
      <c r="AE32" s="19"/>
      <c r="AF32" s="20"/>
      <c r="AG32" s="20"/>
      <c r="AH32" s="20"/>
      <c r="AI32" s="19"/>
      <c r="AJ32" s="20"/>
      <c r="AK32" s="20"/>
      <c r="AL32" s="20"/>
      <c r="AM32" s="19"/>
      <c r="AN32" s="20"/>
      <c r="AO32" s="20"/>
      <c r="AP32" s="20"/>
      <c r="AQ32" s="19"/>
      <c r="AR32" s="20"/>
      <c r="AS32" s="20"/>
      <c r="AT32" s="20"/>
      <c r="AU32" s="19"/>
      <c r="AV32" s="20"/>
      <c r="AW32" s="20"/>
      <c r="AX32" s="20"/>
      <c r="AY32" s="22"/>
      <c r="AZ32" s="23"/>
      <c r="BA32" s="23"/>
      <c r="BB32" s="23"/>
      <c r="BC32" s="19">
        <v>29</v>
      </c>
      <c r="BD32" s="20" t="s">
        <v>22</v>
      </c>
      <c r="BE32" s="21">
        <v>173</v>
      </c>
      <c r="BF32" s="21">
        <f t="shared" si="6"/>
        <v>7791.362890173411</v>
      </c>
      <c r="BG32" s="21">
        <v>1347905.78</v>
      </c>
      <c r="BH32" s="29">
        <f t="shared" si="7"/>
        <v>3.4391586982883723E-3</v>
      </c>
      <c r="BI32" s="29">
        <f t="shared" si="8"/>
        <v>8.0961151897860264E-3</v>
      </c>
    </row>
    <row r="33" spans="1:61" x14ac:dyDescent="0.3">
      <c r="A33" s="19">
        <v>30</v>
      </c>
      <c r="B33" s="20" t="s">
        <v>50</v>
      </c>
      <c r="C33" s="21">
        <v>39</v>
      </c>
      <c r="D33" s="21">
        <f t="shared" si="0"/>
        <v>4195.5620512820515</v>
      </c>
      <c r="E33" s="21">
        <v>163626.92000000001</v>
      </c>
      <c r="F33" s="19">
        <v>30</v>
      </c>
      <c r="G33" s="20" t="s">
        <v>21</v>
      </c>
      <c r="H33" s="21">
        <v>31</v>
      </c>
      <c r="I33" s="21">
        <f t="shared" si="1"/>
        <v>3823.2445161290325</v>
      </c>
      <c r="J33" s="21">
        <v>118520.58</v>
      </c>
      <c r="K33" s="19">
        <v>30</v>
      </c>
      <c r="L33" s="20" t="s">
        <v>25</v>
      </c>
      <c r="M33" s="21">
        <v>37</v>
      </c>
      <c r="N33" s="21">
        <f t="shared" si="2"/>
        <v>3209.0918918918919</v>
      </c>
      <c r="O33" s="21">
        <v>118736.4</v>
      </c>
      <c r="P33" s="19">
        <v>30</v>
      </c>
      <c r="Q33" s="20" t="s">
        <v>41</v>
      </c>
      <c r="R33" s="21">
        <v>30</v>
      </c>
      <c r="S33" s="21">
        <f t="shared" si="3"/>
        <v>3794.987333333333</v>
      </c>
      <c r="T33" s="21">
        <v>113849.62</v>
      </c>
      <c r="U33" s="19">
        <v>30</v>
      </c>
      <c r="V33" s="20" t="s">
        <v>23</v>
      </c>
      <c r="W33" s="21">
        <v>28</v>
      </c>
      <c r="X33" s="21">
        <f t="shared" si="4"/>
        <v>2407.25</v>
      </c>
      <c r="Y33" s="21">
        <v>67403</v>
      </c>
      <c r="Z33" s="19">
        <v>30</v>
      </c>
      <c r="AA33" s="20" t="s">
        <v>40</v>
      </c>
      <c r="AB33" s="21">
        <v>22</v>
      </c>
      <c r="AC33" s="21">
        <f t="shared" si="5"/>
        <v>3504.0631818181819</v>
      </c>
      <c r="AD33" s="21">
        <v>77089.39</v>
      </c>
      <c r="AE33" s="19"/>
      <c r="AF33" s="20"/>
      <c r="AG33" s="20"/>
      <c r="AH33" s="20"/>
      <c r="AI33" s="19"/>
      <c r="AJ33" s="20"/>
      <c r="AK33" s="20"/>
      <c r="AL33" s="20"/>
      <c r="AM33" s="19"/>
      <c r="AN33" s="20"/>
      <c r="AO33" s="20"/>
      <c r="AP33" s="20"/>
      <c r="AQ33" s="19"/>
      <c r="AR33" s="20"/>
      <c r="AS33" s="20"/>
      <c r="AT33" s="20"/>
      <c r="AU33" s="19"/>
      <c r="AV33" s="20"/>
      <c r="AW33" s="20"/>
      <c r="AX33" s="20"/>
      <c r="AY33" s="22"/>
      <c r="AZ33" s="23"/>
      <c r="BA33" s="23"/>
      <c r="BB33" s="23"/>
      <c r="BC33" s="19">
        <v>30</v>
      </c>
      <c r="BD33" s="20" t="s">
        <v>39</v>
      </c>
      <c r="BE33" s="21">
        <v>173</v>
      </c>
      <c r="BF33" s="21">
        <f t="shared" si="6"/>
        <v>4229.3056069364166</v>
      </c>
      <c r="BG33" s="21">
        <v>731669.87</v>
      </c>
      <c r="BH33" s="29">
        <f t="shared" si="7"/>
        <v>3.4391586982883723E-3</v>
      </c>
      <c r="BI33" s="29">
        <f t="shared" si="8"/>
        <v>4.3947311720970344E-3</v>
      </c>
    </row>
    <row r="34" spans="1:61" x14ac:dyDescent="0.3">
      <c r="A34" s="19">
        <v>31</v>
      </c>
      <c r="B34" s="20" t="s">
        <v>24</v>
      </c>
      <c r="C34" s="21">
        <v>39</v>
      </c>
      <c r="D34" s="21">
        <f t="shared" si="0"/>
        <v>2756.394358974359</v>
      </c>
      <c r="E34" s="21">
        <v>107499.38</v>
      </c>
      <c r="F34" s="19">
        <v>31</v>
      </c>
      <c r="G34" s="20" t="s">
        <v>44</v>
      </c>
      <c r="H34" s="21">
        <v>30</v>
      </c>
      <c r="I34" s="21">
        <f t="shared" si="1"/>
        <v>4839.8310000000001</v>
      </c>
      <c r="J34" s="21">
        <v>145194.93</v>
      </c>
      <c r="K34" s="19">
        <v>31</v>
      </c>
      <c r="L34" s="20" t="s">
        <v>31</v>
      </c>
      <c r="M34" s="21">
        <v>36</v>
      </c>
      <c r="N34" s="21">
        <f t="shared" si="2"/>
        <v>2907.452777777778</v>
      </c>
      <c r="O34" s="21">
        <v>104668.3</v>
      </c>
      <c r="P34" s="19">
        <v>31</v>
      </c>
      <c r="Q34" s="20" t="s">
        <v>49</v>
      </c>
      <c r="R34" s="21">
        <v>30</v>
      </c>
      <c r="S34" s="21">
        <f t="shared" si="3"/>
        <v>2527.6116666666667</v>
      </c>
      <c r="T34" s="21">
        <v>75828.350000000006</v>
      </c>
      <c r="U34" s="19">
        <v>31</v>
      </c>
      <c r="V34" s="20" t="s">
        <v>33</v>
      </c>
      <c r="W34" s="21">
        <v>18</v>
      </c>
      <c r="X34" s="21">
        <f t="shared" si="4"/>
        <v>2513.8411111111109</v>
      </c>
      <c r="Y34" s="21">
        <v>45249.14</v>
      </c>
      <c r="Z34" s="19">
        <v>31</v>
      </c>
      <c r="AA34" s="20" t="s">
        <v>44</v>
      </c>
      <c r="AB34" s="21">
        <v>20</v>
      </c>
      <c r="AC34" s="21">
        <f t="shared" si="5"/>
        <v>3170.7115000000003</v>
      </c>
      <c r="AD34" s="21">
        <v>63414.23</v>
      </c>
      <c r="AE34" s="19"/>
      <c r="AF34" s="20"/>
      <c r="AG34" s="20"/>
      <c r="AH34" s="20"/>
      <c r="AI34" s="19"/>
      <c r="AJ34" s="20"/>
      <c r="AK34" s="20"/>
      <c r="AL34" s="20"/>
      <c r="AM34" s="19"/>
      <c r="AN34" s="20"/>
      <c r="AO34" s="20"/>
      <c r="AP34" s="20"/>
      <c r="AQ34" s="19"/>
      <c r="AR34" s="20"/>
      <c r="AS34" s="20"/>
      <c r="AT34" s="20"/>
      <c r="AU34" s="19"/>
      <c r="AV34" s="20"/>
      <c r="AW34" s="20"/>
      <c r="AX34" s="20"/>
      <c r="AY34" s="22"/>
      <c r="AZ34" s="23"/>
      <c r="BA34" s="23"/>
      <c r="BB34" s="23"/>
      <c r="BC34" s="19">
        <v>31</v>
      </c>
      <c r="BD34" s="20" t="s">
        <v>28</v>
      </c>
      <c r="BE34" s="21">
        <v>170</v>
      </c>
      <c r="BF34" s="21">
        <f t="shared" si="6"/>
        <v>2820.0486470588235</v>
      </c>
      <c r="BG34" s="21">
        <v>479408.27</v>
      </c>
      <c r="BH34" s="29">
        <f t="shared" si="7"/>
        <v>3.3795201081446434E-3</v>
      </c>
      <c r="BI34" s="29">
        <f t="shared" si="8"/>
        <v>2.879537008036304E-3</v>
      </c>
    </row>
    <row r="35" spans="1:61" x14ac:dyDescent="0.3">
      <c r="A35" s="19">
        <v>32</v>
      </c>
      <c r="B35" s="20" t="s">
        <v>25</v>
      </c>
      <c r="C35" s="21">
        <v>39</v>
      </c>
      <c r="D35" s="21">
        <f t="shared" si="0"/>
        <v>3554.1889743589741</v>
      </c>
      <c r="E35" s="21">
        <v>138613.37</v>
      </c>
      <c r="F35" s="19">
        <v>32</v>
      </c>
      <c r="G35" s="20" t="s">
        <v>51</v>
      </c>
      <c r="H35" s="21">
        <v>27</v>
      </c>
      <c r="I35" s="21">
        <f t="shared" si="1"/>
        <v>4005.7496296296299</v>
      </c>
      <c r="J35" s="21">
        <v>108155.24</v>
      </c>
      <c r="K35" s="19">
        <v>32</v>
      </c>
      <c r="L35" s="20" t="s">
        <v>52</v>
      </c>
      <c r="M35" s="21">
        <v>30</v>
      </c>
      <c r="N35" s="21">
        <f t="shared" si="2"/>
        <v>3822.6236666666668</v>
      </c>
      <c r="O35" s="21">
        <v>114678.71</v>
      </c>
      <c r="P35" s="19">
        <v>32</v>
      </c>
      <c r="Q35" s="20" t="s">
        <v>44</v>
      </c>
      <c r="R35" s="21">
        <v>21</v>
      </c>
      <c r="S35" s="21">
        <f t="shared" si="3"/>
        <v>4769.8847619047619</v>
      </c>
      <c r="T35" s="21">
        <v>100167.58</v>
      </c>
      <c r="U35" s="19">
        <v>32</v>
      </c>
      <c r="V35" s="20" t="s">
        <v>54</v>
      </c>
      <c r="W35" s="21">
        <v>16</v>
      </c>
      <c r="X35" s="21">
        <f t="shared" si="4"/>
        <v>3868.55</v>
      </c>
      <c r="Y35" s="21">
        <v>61896.800000000003</v>
      </c>
      <c r="Z35" s="19">
        <v>32</v>
      </c>
      <c r="AA35" s="20" t="s">
        <v>28</v>
      </c>
      <c r="AB35" s="21">
        <v>16</v>
      </c>
      <c r="AC35" s="21">
        <f t="shared" si="5"/>
        <v>2969.125</v>
      </c>
      <c r="AD35" s="21">
        <v>47506</v>
      </c>
      <c r="AE35" s="19"/>
      <c r="AF35" s="20"/>
      <c r="AG35" s="20"/>
      <c r="AH35" s="20"/>
      <c r="AI35" s="19"/>
      <c r="AJ35" s="20"/>
      <c r="AK35" s="20"/>
      <c r="AL35" s="20"/>
      <c r="AM35" s="19"/>
      <c r="AN35" s="20"/>
      <c r="AO35" s="20"/>
      <c r="AP35" s="20"/>
      <c r="AQ35" s="19"/>
      <c r="AR35" s="20"/>
      <c r="AS35" s="20"/>
      <c r="AT35" s="20"/>
      <c r="AU35" s="19"/>
      <c r="AV35" s="20"/>
      <c r="AW35" s="20"/>
      <c r="AX35" s="20"/>
      <c r="AY35" s="22"/>
      <c r="AZ35" s="23"/>
      <c r="BA35" s="23"/>
      <c r="BB35" s="23"/>
      <c r="BC35" s="19">
        <v>32</v>
      </c>
      <c r="BD35" s="20" t="s">
        <v>29</v>
      </c>
      <c r="BE35" s="21">
        <v>155</v>
      </c>
      <c r="BF35" s="21">
        <f t="shared" si="6"/>
        <v>3107.7543870967743</v>
      </c>
      <c r="BG35" s="21">
        <v>481701.93</v>
      </c>
      <c r="BH35" s="29">
        <f t="shared" si="7"/>
        <v>3.0813271574259985E-3</v>
      </c>
      <c r="BI35" s="29">
        <f t="shared" si="8"/>
        <v>2.8933137392008553E-3</v>
      </c>
    </row>
    <row r="36" spans="1:61" x14ac:dyDescent="0.3">
      <c r="A36" s="19">
        <v>33</v>
      </c>
      <c r="B36" s="20" t="s">
        <v>33</v>
      </c>
      <c r="C36" s="21">
        <v>36</v>
      </c>
      <c r="D36" s="21">
        <f t="shared" si="0"/>
        <v>3128.4380555555558</v>
      </c>
      <c r="E36" s="21">
        <v>112623.77</v>
      </c>
      <c r="F36" s="19">
        <v>33</v>
      </c>
      <c r="G36" s="20" t="s">
        <v>30</v>
      </c>
      <c r="H36" s="21">
        <v>24</v>
      </c>
      <c r="I36" s="21">
        <f t="shared" si="1"/>
        <v>4793.2391666666672</v>
      </c>
      <c r="J36" s="21">
        <v>115037.74</v>
      </c>
      <c r="K36" s="19">
        <v>33</v>
      </c>
      <c r="L36" s="20" t="s">
        <v>42</v>
      </c>
      <c r="M36" s="21">
        <v>27</v>
      </c>
      <c r="N36" s="21">
        <f t="shared" si="2"/>
        <v>3552.9966666666669</v>
      </c>
      <c r="O36" s="21">
        <v>95930.91</v>
      </c>
      <c r="P36" s="19">
        <v>33</v>
      </c>
      <c r="Q36" s="20" t="s">
        <v>53</v>
      </c>
      <c r="R36" s="21">
        <v>19</v>
      </c>
      <c r="S36" s="21">
        <f t="shared" si="3"/>
        <v>7487.8826315789465</v>
      </c>
      <c r="T36" s="21">
        <v>142269.76999999999</v>
      </c>
      <c r="U36" s="19">
        <v>33</v>
      </c>
      <c r="V36" s="20" t="s">
        <v>55</v>
      </c>
      <c r="W36" s="21">
        <v>14</v>
      </c>
      <c r="X36" s="21">
        <f t="shared" si="4"/>
        <v>2896.4264285714285</v>
      </c>
      <c r="Y36" s="21">
        <v>40549.97</v>
      </c>
      <c r="Z36" s="19">
        <v>33</v>
      </c>
      <c r="AA36" s="20" t="s">
        <v>56</v>
      </c>
      <c r="AB36" s="21">
        <v>16</v>
      </c>
      <c r="AC36" s="21">
        <f t="shared" si="5"/>
        <v>2994.6149999999998</v>
      </c>
      <c r="AD36" s="21">
        <v>47913.84</v>
      </c>
      <c r="AE36" s="19"/>
      <c r="AF36" s="20"/>
      <c r="AG36" s="20"/>
      <c r="AH36" s="20"/>
      <c r="AI36" s="19"/>
      <c r="AJ36" s="20"/>
      <c r="AK36" s="20"/>
      <c r="AL36" s="20"/>
      <c r="AM36" s="19"/>
      <c r="AN36" s="20"/>
      <c r="AO36" s="20"/>
      <c r="AP36" s="20"/>
      <c r="AQ36" s="19"/>
      <c r="AR36" s="20"/>
      <c r="AS36" s="20"/>
      <c r="AT36" s="20"/>
      <c r="AU36" s="19"/>
      <c r="AV36" s="20"/>
      <c r="AW36" s="20"/>
      <c r="AX36" s="20"/>
      <c r="AY36" s="22"/>
      <c r="AZ36" s="23"/>
      <c r="BA36" s="23"/>
      <c r="BB36" s="23"/>
      <c r="BC36" s="19">
        <v>33</v>
      </c>
      <c r="BD36" s="20" t="s">
        <v>44</v>
      </c>
      <c r="BE36" s="21">
        <v>144</v>
      </c>
      <c r="BF36" s="21">
        <f t="shared" si="6"/>
        <v>3975.1773611111112</v>
      </c>
      <c r="BG36" s="21">
        <v>572425.54</v>
      </c>
      <c r="BH36" s="29">
        <f t="shared" si="7"/>
        <v>2.8626523268989921E-3</v>
      </c>
      <c r="BI36" s="29">
        <f t="shared" si="8"/>
        <v>3.4382396590179093E-3</v>
      </c>
    </row>
    <row r="37" spans="1:61" x14ac:dyDescent="0.3">
      <c r="A37" s="19">
        <v>34</v>
      </c>
      <c r="B37" s="20" t="s">
        <v>57</v>
      </c>
      <c r="C37" s="21">
        <v>32</v>
      </c>
      <c r="D37" s="21">
        <f t="shared" si="0"/>
        <v>2916.6887499999998</v>
      </c>
      <c r="E37" s="21">
        <v>93334.04</v>
      </c>
      <c r="F37" s="19">
        <v>34</v>
      </c>
      <c r="G37" s="20" t="s">
        <v>37</v>
      </c>
      <c r="H37" s="21">
        <v>24</v>
      </c>
      <c r="I37" s="21">
        <f t="shared" si="1"/>
        <v>3703.3041666666668</v>
      </c>
      <c r="J37" s="21">
        <v>88879.3</v>
      </c>
      <c r="K37" s="19">
        <v>34</v>
      </c>
      <c r="L37" s="20" t="s">
        <v>32</v>
      </c>
      <c r="M37" s="21">
        <v>26</v>
      </c>
      <c r="N37" s="21">
        <f t="shared" si="2"/>
        <v>3057.2126923076921</v>
      </c>
      <c r="O37" s="21">
        <v>79487.53</v>
      </c>
      <c r="P37" s="19">
        <v>34</v>
      </c>
      <c r="Q37" s="20" t="s">
        <v>47</v>
      </c>
      <c r="R37" s="21">
        <v>19</v>
      </c>
      <c r="S37" s="21">
        <f t="shared" si="3"/>
        <v>4508.402631578947</v>
      </c>
      <c r="T37" s="21">
        <v>85659.65</v>
      </c>
      <c r="U37" s="19">
        <v>34</v>
      </c>
      <c r="V37" s="20" t="s">
        <v>34</v>
      </c>
      <c r="W37" s="21">
        <v>14</v>
      </c>
      <c r="X37" s="21">
        <f t="shared" si="4"/>
        <v>2407.25</v>
      </c>
      <c r="Y37" s="21">
        <v>33701.5</v>
      </c>
      <c r="Z37" s="19">
        <v>34</v>
      </c>
      <c r="AA37" s="20" t="s">
        <v>47</v>
      </c>
      <c r="AB37" s="21">
        <v>16</v>
      </c>
      <c r="AC37" s="21">
        <f t="shared" si="5"/>
        <v>3135.0968750000002</v>
      </c>
      <c r="AD37" s="21">
        <v>50161.55</v>
      </c>
      <c r="AE37" s="19"/>
      <c r="AF37" s="20"/>
      <c r="AG37" s="20"/>
      <c r="AH37" s="20"/>
      <c r="AI37" s="19"/>
      <c r="AJ37" s="20"/>
      <c r="AK37" s="20"/>
      <c r="AL37" s="20"/>
      <c r="AM37" s="19"/>
      <c r="AN37" s="20"/>
      <c r="AO37" s="20"/>
      <c r="AP37" s="20"/>
      <c r="AQ37" s="19"/>
      <c r="AR37" s="20"/>
      <c r="AS37" s="20"/>
      <c r="AT37" s="20"/>
      <c r="AU37" s="19"/>
      <c r="AV37" s="20"/>
      <c r="AW37" s="20"/>
      <c r="AX37" s="20"/>
      <c r="AY37" s="22"/>
      <c r="AZ37" s="23"/>
      <c r="BA37" s="23"/>
      <c r="BB37" s="23"/>
      <c r="BC37" s="19">
        <v>34</v>
      </c>
      <c r="BD37" s="20" t="s">
        <v>41</v>
      </c>
      <c r="BE37" s="21">
        <v>133</v>
      </c>
      <c r="BF37" s="21">
        <f t="shared" si="6"/>
        <v>4031.0807518796992</v>
      </c>
      <c r="BG37" s="21">
        <v>536133.74</v>
      </c>
      <c r="BH37" s="29">
        <f t="shared" si="7"/>
        <v>2.6439774963719857E-3</v>
      </c>
      <c r="BI37" s="29">
        <f t="shared" si="8"/>
        <v>3.2202551399184536E-3</v>
      </c>
    </row>
    <row r="38" spans="1:61" x14ac:dyDescent="0.3">
      <c r="A38" s="19">
        <v>35</v>
      </c>
      <c r="B38" s="20" t="s">
        <v>58</v>
      </c>
      <c r="C38" s="21">
        <v>30</v>
      </c>
      <c r="D38" s="21">
        <f t="shared" si="0"/>
        <v>4768.0036666666665</v>
      </c>
      <c r="E38" s="21">
        <v>143040.10999999999</v>
      </c>
      <c r="F38" s="19">
        <v>35</v>
      </c>
      <c r="G38" s="20" t="s">
        <v>57</v>
      </c>
      <c r="H38" s="21">
        <v>21</v>
      </c>
      <c r="I38" s="21">
        <f t="shared" si="1"/>
        <v>3657.0690476190475</v>
      </c>
      <c r="J38" s="21">
        <v>76798.45</v>
      </c>
      <c r="K38" s="19">
        <v>35</v>
      </c>
      <c r="L38" s="20" t="s">
        <v>46</v>
      </c>
      <c r="M38" s="21">
        <v>26</v>
      </c>
      <c r="N38" s="21">
        <f t="shared" si="2"/>
        <v>2375.835</v>
      </c>
      <c r="O38" s="21">
        <v>61771.71</v>
      </c>
      <c r="P38" s="19">
        <v>35</v>
      </c>
      <c r="Q38" s="20" t="s">
        <v>25</v>
      </c>
      <c r="R38" s="21">
        <v>17</v>
      </c>
      <c r="S38" s="21">
        <f t="shared" si="3"/>
        <v>3321.6358823529408</v>
      </c>
      <c r="T38" s="21">
        <v>56467.81</v>
      </c>
      <c r="U38" s="19">
        <v>35</v>
      </c>
      <c r="V38" s="20" t="s">
        <v>49</v>
      </c>
      <c r="W38" s="21">
        <v>14</v>
      </c>
      <c r="X38" s="21">
        <f t="shared" si="4"/>
        <v>2407.25</v>
      </c>
      <c r="Y38" s="21">
        <v>33701.5</v>
      </c>
      <c r="Z38" s="19">
        <v>35</v>
      </c>
      <c r="AA38" s="20" t="s">
        <v>39</v>
      </c>
      <c r="AB38" s="21">
        <v>15</v>
      </c>
      <c r="AC38" s="21">
        <f t="shared" si="5"/>
        <v>3935.8799999999997</v>
      </c>
      <c r="AD38" s="21">
        <v>59038.2</v>
      </c>
      <c r="AE38" s="19"/>
      <c r="AF38" s="20"/>
      <c r="AG38" s="20"/>
      <c r="AH38" s="20"/>
      <c r="AI38" s="19"/>
      <c r="AJ38" s="20"/>
      <c r="AK38" s="20"/>
      <c r="AL38" s="20"/>
      <c r="AM38" s="19"/>
      <c r="AN38" s="20"/>
      <c r="AO38" s="20"/>
      <c r="AP38" s="20"/>
      <c r="AQ38" s="19"/>
      <c r="AR38" s="20"/>
      <c r="AS38" s="20"/>
      <c r="AT38" s="20"/>
      <c r="AU38" s="19"/>
      <c r="AV38" s="20"/>
      <c r="AW38" s="20"/>
      <c r="AX38" s="20"/>
      <c r="AY38" s="22"/>
      <c r="AZ38" s="23"/>
      <c r="BA38" s="23"/>
      <c r="BB38" s="23"/>
      <c r="BC38" s="19">
        <v>35</v>
      </c>
      <c r="BD38" s="20" t="s">
        <v>40</v>
      </c>
      <c r="BE38" s="21">
        <v>128</v>
      </c>
      <c r="BF38" s="21">
        <f t="shared" si="6"/>
        <v>4043.2739843750001</v>
      </c>
      <c r="BG38" s="21">
        <v>517539.07</v>
      </c>
      <c r="BH38" s="29">
        <f t="shared" si="7"/>
        <v>2.5445798461324375E-3</v>
      </c>
      <c r="BI38" s="29">
        <f t="shared" si="8"/>
        <v>3.10856737029107E-3</v>
      </c>
    </row>
    <row r="39" spans="1:61" x14ac:dyDescent="0.3">
      <c r="A39" s="19">
        <v>36</v>
      </c>
      <c r="B39" s="20" t="s">
        <v>48</v>
      </c>
      <c r="C39" s="21">
        <v>28</v>
      </c>
      <c r="D39" s="21">
        <f t="shared" si="0"/>
        <v>3027.07</v>
      </c>
      <c r="E39" s="21">
        <v>84757.96</v>
      </c>
      <c r="F39" s="19">
        <v>36</v>
      </c>
      <c r="G39" s="20" t="s">
        <v>43</v>
      </c>
      <c r="H39" s="21">
        <v>20</v>
      </c>
      <c r="I39" s="21">
        <f t="shared" si="1"/>
        <v>4250.8649999999998</v>
      </c>
      <c r="J39" s="21">
        <v>85017.3</v>
      </c>
      <c r="K39" s="19">
        <v>36</v>
      </c>
      <c r="L39" s="20" t="s">
        <v>34</v>
      </c>
      <c r="M39" s="21">
        <v>23</v>
      </c>
      <c r="N39" s="21">
        <f t="shared" si="2"/>
        <v>3805.449565217391</v>
      </c>
      <c r="O39" s="21">
        <v>87525.34</v>
      </c>
      <c r="P39" s="19">
        <v>36</v>
      </c>
      <c r="Q39" s="20" t="s">
        <v>21</v>
      </c>
      <c r="R39" s="21">
        <v>15</v>
      </c>
      <c r="S39" s="21">
        <f t="shared" si="3"/>
        <v>3245.4766666666669</v>
      </c>
      <c r="T39" s="21">
        <v>48682.15</v>
      </c>
      <c r="U39" s="19">
        <v>36</v>
      </c>
      <c r="V39" s="20" t="s">
        <v>59</v>
      </c>
      <c r="W39" s="21">
        <v>11</v>
      </c>
      <c r="X39" s="21">
        <f t="shared" si="4"/>
        <v>3049.5827272727274</v>
      </c>
      <c r="Y39" s="21">
        <v>33545.410000000003</v>
      </c>
      <c r="Z39" s="19">
        <v>36</v>
      </c>
      <c r="AA39" s="20" t="s">
        <v>59</v>
      </c>
      <c r="AB39" s="21">
        <v>14</v>
      </c>
      <c r="AC39" s="21">
        <f t="shared" si="5"/>
        <v>2682.5678571428571</v>
      </c>
      <c r="AD39" s="21">
        <v>37555.949999999997</v>
      </c>
      <c r="AE39" s="19"/>
      <c r="AF39" s="20"/>
      <c r="AG39" s="20"/>
      <c r="AH39" s="20"/>
      <c r="AI39" s="19"/>
      <c r="AJ39" s="20"/>
      <c r="AK39" s="20"/>
      <c r="AL39" s="20"/>
      <c r="AM39" s="19"/>
      <c r="AN39" s="20"/>
      <c r="AO39" s="20"/>
      <c r="AP39" s="20"/>
      <c r="AQ39" s="19"/>
      <c r="AR39" s="20"/>
      <c r="AS39" s="20"/>
      <c r="AT39" s="20"/>
      <c r="AU39" s="19"/>
      <c r="AV39" s="20"/>
      <c r="AW39" s="20"/>
      <c r="AX39" s="20"/>
      <c r="AY39" s="22"/>
      <c r="AZ39" s="23"/>
      <c r="BA39" s="23"/>
      <c r="BB39" s="23"/>
      <c r="BC39" s="19">
        <v>36</v>
      </c>
      <c r="BD39" s="20" t="s">
        <v>42</v>
      </c>
      <c r="BE39" s="21">
        <v>113</v>
      </c>
      <c r="BF39" s="21">
        <f t="shared" si="6"/>
        <v>3399.6344247787611</v>
      </c>
      <c r="BG39" s="21">
        <v>384158.69</v>
      </c>
      <c r="BH39" s="29">
        <f t="shared" si="7"/>
        <v>2.2463868954137925E-3</v>
      </c>
      <c r="BI39" s="29">
        <f t="shared" si="8"/>
        <v>2.3074261209839915E-3</v>
      </c>
    </row>
    <row r="40" spans="1:61" x14ac:dyDescent="0.3">
      <c r="A40" s="19">
        <v>37</v>
      </c>
      <c r="B40" s="20" t="s">
        <v>54</v>
      </c>
      <c r="C40" s="21">
        <v>27</v>
      </c>
      <c r="D40" s="21">
        <f t="shared" si="0"/>
        <v>3729.1522222222225</v>
      </c>
      <c r="E40" s="21">
        <v>100687.11</v>
      </c>
      <c r="F40" s="19">
        <v>37</v>
      </c>
      <c r="G40" s="20" t="s">
        <v>41</v>
      </c>
      <c r="H40" s="21">
        <v>20</v>
      </c>
      <c r="I40" s="21">
        <f t="shared" si="1"/>
        <v>5735.74</v>
      </c>
      <c r="J40" s="21">
        <v>114714.8</v>
      </c>
      <c r="K40" s="19">
        <v>37</v>
      </c>
      <c r="L40" s="20" t="s">
        <v>23</v>
      </c>
      <c r="M40" s="21">
        <v>21</v>
      </c>
      <c r="N40" s="21">
        <f t="shared" si="2"/>
        <v>2551.4666666666667</v>
      </c>
      <c r="O40" s="21">
        <v>53580.800000000003</v>
      </c>
      <c r="P40" s="19">
        <v>37</v>
      </c>
      <c r="Q40" s="20" t="s">
        <v>55</v>
      </c>
      <c r="R40" s="21">
        <v>11</v>
      </c>
      <c r="S40" s="21">
        <f t="shared" si="3"/>
        <v>2758.7609090909091</v>
      </c>
      <c r="T40" s="21">
        <v>30346.37</v>
      </c>
      <c r="U40" s="19">
        <v>37</v>
      </c>
      <c r="V40" s="20" t="s">
        <v>57</v>
      </c>
      <c r="W40" s="21">
        <v>11</v>
      </c>
      <c r="X40" s="21">
        <f t="shared" si="4"/>
        <v>3754.5336363636366</v>
      </c>
      <c r="Y40" s="21">
        <v>41299.870000000003</v>
      </c>
      <c r="Z40" s="19">
        <v>37</v>
      </c>
      <c r="AA40" s="20" t="s">
        <v>112</v>
      </c>
      <c r="AB40" s="21">
        <v>14</v>
      </c>
      <c r="AC40" s="21">
        <f t="shared" si="5"/>
        <v>2848.2621428571429</v>
      </c>
      <c r="AD40" s="21">
        <v>39875.67</v>
      </c>
      <c r="AE40" s="19"/>
      <c r="AF40" s="20"/>
      <c r="AG40" s="20"/>
      <c r="AH40" s="20"/>
      <c r="AI40" s="19"/>
      <c r="AJ40" s="20"/>
      <c r="AK40" s="20"/>
      <c r="AL40" s="20"/>
      <c r="AM40" s="19"/>
      <c r="AN40" s="20"/>
      <c r="AO40" s="20"/>
      <c r="AP40" s="20"/>
      <c r="AQ40" s="19"/>
      <c r="AR40" s="20"/>
      <c r="AS40" s="20"/>
      <c r="AT40" s="20"/>
      <c r="AU40" s="19"/>
      <c r="AV40" s="20"/>
      <c r="AW40" s="20"/>
      <c r="AX40" s="20"/>
      <c r="AY40" s="22"/>
      <c r="AZ40" s="23"/>
      <c r="BA40" s="23"/>
      <c r="BB40" s="23"/>
      <c r="BC40" s="19">
        <v>37</v>
      </c>
      <c r="BD40" s="20" t="s">
        <v>47</v>
      </c>
      <c r="BE40" s="21">
        <v>111</v>
      </c>
      <c r="BF40" s="21">
        <f t="shared" si="6"/>
        <v>3882.8991891891892</v>
      </c>
      <c r="BG40" s="21">
        <v>431001.81</v>
      </c>
      <c r="BH40" s="29">
        <f t="shared" si="7"/>
        <v>2.2066278353179733E-3</v>
      </c>
      <c r="BI40" s="29">
        <f t="shared" si="8"/>
        <v>2.5887865105573408E-3</v>
      </c>
    </row>
    <row r="41" spans="1:61" x14ac:dyDescent="0.3">
      <c r="A41" s="19">
        <v>38</v>
      </c>
      <c r="B41" s="20" t="s">
        <v>60</v>
      </c>
      <c r="C41" s="21">
        <v>25</v>
      </c>
      <c r="D41" s="21">
        <f t="shared" si="0"/>
        <v>3924.5984000000003</v>
      </c>
      <c r="E41" s="21">
        <v>98114.96</v>
      </c>
      <c r="F41" s="19">
        <v>38</v>
      </c>
      <c r="G41" s="20" t="s">
        <v>58</v>
      </c>
      <c r="H41" s="21">
        <v>20</v>
      </c>
      <c r="I41" s="21">
        <f t="shared" si="1"/>
        <v>4751.1625000000004</v>
      </c>
      <c r="J41" s="21">
        <v>95023.25</v>
      </c>
      <c r="K41" s="19">
        <v>38</v>
      </c>
      <c r="L41" s="20" t="s">
        <v>61</v>
      </c>
      <c r="M41" s="21">
        <v>20</v>
      </c>
      <c r="N41" s="21">
        <f t="shared" si="2"/>
        <v>3725.4995000000004</v>
      </c>
      <c r="O41" s="21">
        <v>74509.990000000005</v>
      </c>
      <c r="P41" s="19">
        <v>38</v>
      </c>
      <c r="Q41" s="20" t="s">
        <v>56</v>
      </c>
      <c r="R41" s="21">
        <v>11</v>
      </c>
      <c r="S41" s="21">
        <f t="shared" si="3"/>
        <v>2420.2481818181818</v>
      </c>
      <c r="T41" s="21">
        <v>26622.73</v>
      </c>
      <c r="U41" s="19">
        <v>38</v>
      </c>
      <c r="V41" s="20" t="s">
        <v>31</v>
      </c>
      <c r="W41" s="21">
        <v>10</v>
      </c>
      <c r="X41" s="21">
        <f t="shared" si="4"/>
        <v>2513.0160000000001</v>
      </c>
      <c r="Y41" s="21">
        <v>25130.16</v>
      </c>
      <c r="Z41" s="19">
        <v>38</v>
      </c>
      <c r="AA41" s="20" t="s">
        <v>37</v>
      </c>
      <c r="AB41" s="21">
        <v>14</v>
      </c>
      <c r="AC41" s="21">
        <f t="shared" si="5"/>
        <v>2702.1292857142857</v>
      </c>
      <c r="AD41" s="21">
        <v>37829.81</v>
      </c>
      <c r="AE41" s="19"/>
      <c r="AF41" s="20"/>
      <c r="AG41" s="20"/>
      <c r="AH41" s="20"/>
      <c r="AI41" s="19"/>
      <c r="AJ41" s="20"/>
      <c r="AK41" s="20"/>
      <c r="AL41" s="20"/>
      <c r="AM41" s="19"/>
      <c r="AN41" s="20"/>
      <c r="AO41" s="20"/>
      <c r="AP41" s="20"/>
      <c r="AQ41" s="19"/>
      <c r="AR41" s="20"/>
      <c r="AS41" s="20"/>
      <c r="AT41" s="20"/>
      <c r="AU41" s="19"/>
      <c r="AV41" s="20"/>
      <c r="AW41" s="20"/>
      <c r="AX41" s="20"/>
      <c r="AY41" s="22"/>
      <c r="AZ41" s="23"/>
      <c r="BA41" s="23"/>
      <c r="BB41" s="23"/>
      <c r="BC41" s="19">
        <v>38</v>
      </c>
      <c r="BD41" s="20" t="s">
        <v>23</v>
      </c>
      <c r="BE41" s="21">
        <v>109</v>
      </c>
      <c r="BF41" s="21">
        <f t="shared" si="6"/>
        <v>2407.25</v>
      </c>
      <c r="BG41" s="21">
        <v>262390.25</v>
      </c>
      <c r="BH41" s="29">
        <f t="shared" si="7"/>
        <v>2.1668687752221536E-3</v>
      </c>
      <c r="BI41" s="29">
        <f t="shared" si="8"/>
        <v>1.5760312925409022E-3</v>
      </c>
    </row>
    <row r="42" spans="1:61" x14ac:dyDescent="0.3">
      <c r="A42" s="19">
        <v>39</v>
      </c>
      <c r="B42" s="20" t="s">
        <v>41</v>
      </c>
      <c r="C42" s="21">
        <v>24</v>
      </c>
      <c r="D42" s="21">
        <f t="shared" si="0"/>
        <v>3487.1237500000002</v>
      </c>
      <c r="E42" s="21">
        <v>83690.97</v>
      </c>
      <c r="F42" s="19">
        <v>39</v>
      </c>
      <c r="G42" s="20" t="s">
        <v>22</v>
      </c>
      <c r="H42" s="21">
        <v>20</v>
      </c>
      <c r="I42" s="21">
        <f t="shared" si="1"/>
        <v>13035.558000000001</v>
      </c>
      <c r="J42" s="21">
        <v>260711.16</v>
      </c>
      <c r="K42" s="19">
        <v>39</v>
      </c>
      <c r="L42" s="20" t="s">
        <v>44</v>
      </c>
      <c r="M42" s="21">
        <v>18</v>
      </c>
      <c r="N42" s="21">
        <f t="shared" si="2"/>
        <v>3644.3072222222222</v>
      </c>
      <c r="O42" s="21">
        <v>65597.53</v>
      </c>
      <c r="P42" s="19">
        <v>39</v>
      </c>
      <c r="Q42" s="20" t="s">
        <v>42</v>
      </c>
      <c r="R42" s="21">
        <v>11</v>
      </c>
      <c r="S42" s="21">
        <f t="shared" si="3"/>
        <v>3487.0400000000004</v>
      </c>
      <c r="T42" s="21">
        <v>38357.440000000002</v>
      </c>
      <c r="U42" s="19">
        <v>39</v>
      </c>
      <c r="V42" s="20" t="s">
        <v>46</v>
      </c>
      <c r="W42" s="21">
        <v>9</v>
      </c>
      <c r="X42" s="21">
        <f t="shared" si="4"/>
        <v>2124.0511111111109</v>
      </c>
      <c r="Y42" s="21">
        <v>19116.46</v>
      </c>
      <c r="Z42" s="19">
        <v>39</v>
      </c>
      <c r="AA42" s="20" t="s">
        <v>51</v>
      </c>
      <c r="AB42" s="21">
        <v>14</v>
      </c>
      <c r="AC42" s="21">
        <f t="shared" si="5"/>
        <v>3399.2057142857143</v>
      </c>
      <c r="AD42" s="21">
        <v>47588.88</v>
      </c>
      <c r="AE42" s="19"/>
      <c r="AF42" s="20"/>
      <c r="AG42" s="20"/>
      <c r="AH42" s="20"/>
      <c r="AI42" s="19"/>
      <c r="AJ42" s="20"/>
      <c r="AK42" s="20"/>
      <c r="AL42" s="20"/>
      <c r="AM42" s="19"/>
      <c r="AN42" s="20"/>
      <c r="AO42" s="20"/>
      <c r="AP42" s="20"/>
      <c r="AQ42" s="19"/>
      <c r="AR42" s="20"/>
      <c r="AS42" s="20"/>
      <c r="AT42" s="20"/>
      <c r="AU42" s="19"/>
      <c r="AV42" s="20"/>
      <c r="AW42" s="20"/>
      <c r="AX42" s="20"/>
      <c r="AY42" s="22"/>
      <c r="AZ42" s="23"/>
      <c r="BA42" s="23"/>
      <c r="BB42" s="23"/>
      <c r="BC42" s="19">
        <v>39</v>
      </c>
      <c r="BD42" s="20" t="s">
        <v>43</v>
      </c>
      <c r="BE42" s="21">
        <v>103</v>
      </c>
      <c r="BF42" s="21">
        <f t="shared" si="6"/>
        <v>3980.6697087378639</v>
      </c>
      <c r="BG42" s="21">
        <v>410008.98</v>
      </c>
      <c r="BH42" s="29">
        <f t="shared" si="7"/>
        <v>2.0475915949346958E-3</v>
      </c>
      <c r="BI42" s="29">
        <f t="shared" si="8"/>
        <v>2.4626943367856728E-3</v>
      </c>
    </row>
    <row r="43" spans="1:61" x14ac:dyDescent="0.3">
      <c r="A43" s="19">
        <v>40</v>
      </c>
      <c r="B43" s="20" t="s">
        <v>43</v>
      </c>
      <c r="C43" s="21">
        <v>23</v>
      </c>
      <c r="D43" s="21">
        <f t="shared" si="0"/>
        <v>4673.6586956521733</v>
      </c>
      <c r="E43" s="21">
        <v>107494.15</v>
      </c>
      <c r="F43" s="19">
        <v>40</v>
      </c>
      <c r="G43" s="20" t="s">
        <v>63</v>
      </c>
      <c r="H43" s="21">
        <v>18</v>
      </c>
      <c r="I43" s="21">
        <f t="shared" si="1"/>
        <v>3772.6555555555556</v>
      </c>
      <c r="J43" s="21">
        <v>67907.8</v>
      </c>
      <c r="K43" s="19">
        <v>40</v>
      </c>
      <c r="L43" s="20" t="s">
        <v>64</v>
      </c>
      <c r="M43" s="21">
        <v>17</v>
      </c>
      <c r="N43" s="21">
        <f t="shared" si="2"/>
        <v>6547.5764705882357</v>
      </c>
      <c r="O43" s="21">
        <v>111308.8</v>
      </c>
      <c r="P43" s="19">
        <v>40</v>
      </c>
      <c r="Q43" s="20" t="s">
        <v>54</v>
      </c>
      <c r="R43" s="21">
        <v>10</v>
      </c>
      <c r="S43" s="21">
        <f t="shared" si="3"/>
        <v>3016.1400000000003</v>
      </c>
      <c r="T43" s="21">
        <v>30161.4</v>
      </c>
      <c r="U43" s="19">
        <v>40</v>
      </c>
      <c r="V43" s="20" t="s">
        <v>39</v>
      </c>
      <c r="W43" s="21">
        <v>9</v>
      </c>
      <c r="X43" s="21">
        <f t="shared" si="4"/>
        <v>6664.2655555555557</v>
      </c>
      <c r="Y43" s="21">
        <v>59978.39</v>
      </c>
      <c r="Z43" s="19">
        <v>40</v>
      </c>
      <c r="AA43" s="20" t="s">
        <v>63</v>
      </c>
      <c r="AB43" s="21">
        <v>13</v>
      </c>
      <c r="AC43" s="21">
        <f t="shared" si="5"/>
        <v>2579.0384615384614</v>
      </c>
      <c r="AD43" s="21">
        <v>33527.5</v>
      </c>
      <c r="AE43" s="19"/>
      <c r="AF43" s="20"/>
      <c r="AG43" s="20"/>
      <c r="AH43" s="20"/>
      <c r="AI43" s="19"/>
      <c r="AJ43" s="20"/>
      <c r="AK43" s="20"/>
      <c r="AL43" s="20"/>
      <c r="AM43" s="19"/>
      <c r="AN43" s="20"/>
      <c r="AO43" s="20"/>
      <c r="AP43" s="20"/>
      <c r="AQ43" s="19"/>
      <c r="AR43" s="20"/>
      <c r="AS43" s="20"/>
      <c r="AT43" s="20"/>
      <c r="AU43" s="19"/>
      <c r="AV43" s="20"/>
      <c r="AW43" s="20"/>
      <c r="AX43" s="20"/>
      <c r="AY43" s="22"/>
      <c r="AZ43" s="23"/>
      <c r="BA43" s="23"/>
      <c r="BB43" s="23"/>
      <c r="BC43" s="19">
        <v>40</v>
      </c>
      <c r="BD43" s="20" t="s">
        <v>30</v>
      </c>
      <c r="BE43" s="21">
        <v>95</v>
      </c>
      <c r="BF43" s="21">
        <f t="shared" si="6"/>
        <v>4445.9546315789476</v>
      </c>
      <c r="BG43" s="21">
        <v>422365.69</v>
      </c>
      <c r="BH43" s="29">
        <f t="shared" si="7"/>
        <v>1.8885553545514185E-3</v>
      </c>
      <c r="BI43" s="29">
        <f t="shared" si="8"/>
        <v>2.5369141739665633E-3</v>
      </c>
    </row>
    <row r="44" spans="1:61" x14ac:dyDescent="0.3">
      <c r="A44" s="19">
        <v>41</v>
      </c>
      <c r="B44" s="20" t="s">
        <v>44</v>
      </c>
      <c r="C44" s="21">
        <v>23</v>
      </c>
      <c r="D44" s="21">
        <f t="shared" si="0"/>
        <v>3597.2569565217391</v>
      </c>
      <c r="E44" s="21">
        <v>82736.91</v>
      </c>
      <c r="F44" s="19">
        <v>41</v>
      </c>
      <c r="G44" s="20" t="s">
        <v>61</v>
      </c>
      <c r="H44" s="21">
        <v>17</v>
      </c>
      <c r="I44" s="21">
        <f t="shared" si="1"/>
        <v>5482.5</v>
      </c>
      <c r="J44" s="21">
        <v>93202.5</v>
      </c>
      <c r="K44" s="19">
        <v>41</v>
      </c>
      <c r="L44" s="20" t="s">
        <v>47</v>
      </c>
      <c r="M44" s="21">
        <v>17</v>
      </c>
      <c r="N44" s="21">
        <f t="shared" si="2"/>
        <v>3398.3176470588237</v>
      </c>
      <c r="O44" s="21">
        <v>57771.4</v>
      </c>
      <c r="P44" s="19">
        <v>41</v>
      </c>
      <c r="Q44" s="20" t="s">
        <v>7</v>
      </c>
      <c r="R44" s="21">
        <v>10</v>
      </c>
      <c r="S44" s="21">
        <f t="shared" si="3"/>
        <v>4947.8050000000003</v>
      </c>
      <c r="T44" s="21">
        <v>49478.05</v>
      </c>
      <c r="U44" s="19">
        <v>41</v>
      </c>
      <c r="V44" s="20" t="s">
        <v>61</v>
      </c>
      <c r="W44" s="21">
        <v>9</v>
      </c>
      <c r="X44" s="21">
        <f t="shared" si="4"/>
        <v>2436.7988888888885</v>
      </c>
      <c r="Y44" s="21">
        <v>21931.19</v>
      </c>
      <c r="Z44" s="19">
        <v>41</v>
      </c>
      <c r="AA44" s="20" t="s">
        <v>66</v>
      </c>
      <c r="AB44" s="21">
        <v>12</v>
      </c>
      <c r="AC44" s="21">
        <f t="shared" si="5"/>
        <v>2795.6299999999997</v>
      </c>
      <c r="AD44" s="21">
        <v>33547.56</v>
      </c>
      <c r="AE44" s="19"/>
      <c r="AF44" s="20"/>
      <c r="AG44" s="20"/>
      <c r="AH44" s="20"/>
      <c r="AI44" s="19"/>
      <c r="AJ44" s="20"/>
      <c r="AK44" s="20"/>
      <c r="AL44" s="20"/>
      <c r="AM44" s="19"/>
      <c r="AN44" s="20"/>
      <c r="AO44" s="20"/>
      <c r="AP44" s="20"/>
      <c r="AQ44" s="19"/>
      <c r="AR44" s="20"/>
      <c r="AS44" s="20"/>
      <c r="AT44" s="20"/>
      <c r="AU44" s="19"/>
      <c r="AV44" s="20"/>
      <c r="AW44" s="20"/>
      <c r="AX44" s="20"/>
      <c r="AY44" s="22"/>
      <c r="AZ44" s="23"/>
      <c r="BA44" s="23"/>
      <c r="BB44" s="23"/>
      <c r="BC44" s="19">
        <v>41</v>
      </c>
      <c r="BD44" s="20" t="s">
        <v>46</v>
      </c>
      <c r="BE44" s="21">
        <v>87</v>
      </c>
      <c r="BF44" s="21">
        <f t="shared" si="6"/>
        <v>2568.0162068965519</v>
      </c>
      <c r="BG44" s="21">
        <v>223417.41</v>
      </c>
      <c r="BH44" s="29">
        <f t="shared" si="7"/>
        <v>1.729519114168141E-3</v>
      </c>
      <c r="BI44" s="29">
        <f t="shared" si="8"/>
        <v>1.3419432675506834E-3</v>
      </c>
    </row>
    <row r="45" spans="1:61" x14ac:dyDescent="0.3">
      <c r="A45" s="19">
        <v>42</v>
      </c>
      <c r="B45" s="20" t="s">
        <v>62</v>
      </c>
      <c r="C45" s="21">
        <v>23</v>
      </c>
      <c r="D45" s="21">
        <f t="shared" si="0"/>
        <v>4317.2782608695652</v>
      </c>
      <c r="E45" s="21">
        <v>99297.4</v>
      </c>
      <c r="F45" s="19">
        <v>42</v>
      </c>
      <c r="G45" s="20" t="s">
        <v>64</v>
      </c>
      <c r="H45" s="21">
        <v>15</v>
      </c>
      <c r="I45" s="21">
        <f t="shared" si="1"/>
        <v>3320.1460000000002</v>
      </c>
      <c r="J45" s="21">
        <v>49802.19</v>
      </c>
      <c r="K45" s="19">
        <v>42</v>
      </c>
      <c r="L45" s="20" t="s">
        <v>58</v>
      </c>
      <c r="M45" s="21">
        <v>17</v>
      </c>
      <c r="N45" s="21">
        <f t="shared" si="2"/>
        <v>4752.9147058823528</v>
      </c>
      <c r="O45" s="21">
        <v>80799.55</v>
      </c>
      <c r="P45" s="19">
        <v>42</v>
      </c>
      <c r="Q45" s="20" t="s">
        <v>65</v>
      </c>
      <c r="R45" s="21">
        <v>10</v>
      </c>
      <c r="S45" s="21">
        <f t="shared" si="3"/>
        <v>4300.5529999999999</v>
      </c>
      <c r="T45" s="21">
        <v>43005.53</v>
      </c>
      <c r="U45" s="19">
        <v>42</v>
      </c>
      <c r="V45" s="20" t="s">
        <v>67</v>
      </c>
      <c r="W45" s="21">
        <v>8</v>
      </c>
      <c r="X45" s="21">
        <f t="shared" si="4"/>
        <v>3584.8537500000002</v>
      </c>
      <c r="Y45" s="21">
        <v>28678.83</v>
      </c>
      <c r="Z45" s="19">
        <v>42</v>
      </c>
      <c r="AA45" s="20" t="s">
        <v>54</v>
      </c>
      <c r="AB45" s="21">
        <v>11</v>
      </c>
      <c r="AC45" s="21">
        <f t="shared" si="5"/>
        <v>3008.4100000000003</v>
      </c>
      <c r="AD45" s="21">
        <v>33092.51</v>
      </c>
      <c r="AE45" s="19"/>
      <c r="AF45" s="20"/>
      <c r="AG45" s="20"/>
      <c r="AH45" s="20"/>
      <c r="AI45" s="19"/>
      <c r="AJ45" s="20"/>
      <c r="AK45" s="20"/>
      <c r="AL45" s="20"/>
      <c r="AM45" s="19"/>
      <c r="AN45" s="20"/>
      <c r="AO45" s="20"/>
      <c r="AP45" s="20"/>
      <c r="AQ45" s="19"/>
      <c r="AR45" s="20"/>
      <c r="AS45" s="20"/>
      <c r="AT45" s="20"/>
      <c r="AU45" s="19"/>
      <c r="AV45" s="20"/>
      <c r="AW45" s="20"/>
      <c r="AX45" s="20"/>
      <c r="AY45" s="22"/>
      <c r="AZ45" s="23"/>
      <c r="BA45" s="23"/>
      <c r="BB45" s="23"/>
      <c r="BC45" s="19">
        <v>42</v>
      </c>
      <c r="BD45" s="20" t="s">
        <v>112</v>
      </c>
      <c r="BE45" s="21">
        <v>81</v>
      </c>
      <c r="BF45" s="21">
        <f t="shared" si="6"/>
        <v>3597.7148148148153</v>
      </c>
      <c r="BG45" s="21">
        <v>291414.90000000002</v>
      </c>
      <c r="BH45" s="29">
        <f t="shared" si="7"/>
        <v>1.610241933880683E-3</v>
      </c>
      <c r="BI45" s="29">
        <f t="shared" si="8"/>
        <v>1.7503661112128891E-3</v>
      </c>
    </row>
    <row r="46" spans="1:61" x14ac:dyDescent="0.3">
      <c r="A46" s="19">
        <v>43</v>
      </c>
      <c r="B46" s="20" t="s">
        <v>105</v>
      </c>
      <c r="C46" s="21">
        <v>22</v>
      </c>
      <c r="D46" s="21">
        <f t="shared" si="0"/>
        <v>3227.5040909090908</v>
      </c>
      <c r="E46" s="21">
        <v>71005.09</v>
      </c>
      <c r="F46" s="19">
        <v>43</v>
      </c>
      <c r="G46" s="20" t="s">
        <v>38</v>
      </c>
      <c r="H46" s="21">
        <v>14</v>
      </c>
      <c r="I46" s="21">
        <f t="shared" si="1"/>
        <v>3767.94</v>
      </c>
      <c r="J46" s="21">
        <v>52751.16</v>
      </c>
      <c r="K46" s="19">
        <v>43</v>
      </c>
      <c r="L46" s="20" t="s">
        <v>27</v>
      </c>
      <c r="M46" s="21">
        <v>16</v>
      </c>
      <c r="N46" s="21">
        <f t="shared" si="2"/>
        <v>3403.4749999999999</v>
      </c>
      <c r="O46" s="21">
        <v>54455.6</v>
      </c>
      <c r="P46" s="19">
        <v>43</v>
      </c>
      <c r="Q46" s="20" t="s">
        <v>58</v>
      </c>
      <c r="R46" s="21">
        <v>9</v>
      </c>
      <c r="S46" s="21">
        <f t="shared" si="3"/>
        <v>4305.1355555555556</v>
      </c>
      <c r="T46" s="21">
        <v>38746.22</v>
      </c>
      <c r="U46" s="19">
        <v>43</v>
      </c>
      <c r="V46" s="20" t="s">
        <v>70</v>
      </c>
      <c r="W46" s="21">
        <v>8</v>
      </c>
      <c r="X46" s="21">
        <f t="shared" si="4"/>
        <v>3072.9650000000001</v>
      </c>
      <c r="Y46" s="21">
        <v>24583.72</v>
      </c>
      <c r="Z46" s="19">
        <v>43</v>
      </c>
      <c r="AA46" s="20" t="s">
        <v>49</v>
      </c>
      <c r="AB46" s="21">
        <v>11</v>
      </c>
      <c r="AC46" s="21">
        <f t="shared" si="5"/>
        <v>2981.5836363636363</v>
      </c>
      <c r="AD46" s="21">
        <v>32797.42</v>
      </c>
      <c r="AE46" s="19"/>
      <c r="AF46" s="20"/>
      <c r="AG46" s="20"/>
      <c r="AH46" s="20"/>
      <c r="AI46" s="19"/>
      <c r="AJ46" s="20"/>
      <c r="AK46" s="20"/>
      <c r="AL46" s="20"/>
      <c r="AM46" s="19"/>
      <c r="AN46" s="20"/>
      <c r="AO46" s="20"/>
      <c r="AP46" s="20"/>
      <c r="AQ46" s="19"/>
      <c r="AR46" s="20"/>
      <c r="AS46" s="20"/>
      <c r="AT46" s="20"/>
      <c r="AU46" s="19"/>
      <c r="AV46" s="20"/>
      <c r="AW46" s="20"/>
      <c r="AX46" s="20"/>
      <c r="AY46" s="22"/>
      <c r="AZ46" s="23"/>
      <c r="BA46" s="23"/>
      <c r="BB46" s="23"/>
      <c r="BC46" s="19">
        <v>43</v>
      </c>
      <c r="BD46" s="20" t="s">
        <v>58</v>
      </c>
      <c r="BE46" s="21">
        <v>81</v>
      </c>
      <c r="BF46" s="21">
        <f t="shared" si="6"/>
        <v>4639.7622222222217</v>
      </c>
      <c r="BG46" s="21">
        <v>375820.74</v>
      </c>
      <c r="BH46" s="29">
        <f t="shared" si="7"/>
        <v>1.610241933880683E-3</v>
      </c>
      <c r="BI46" s="29">
        <f t="shared" si="8"/>
        <v>2.2573447246072532E-3</v>
      </c>
    </row>
    <row r="47" spans="1:61" x14ac:dyDescent="0.3">
      <c r="A47" s="19">
        <v>44</v>
      </c>
      <c r="B47" s="20" t="s">
        <v>40</v>
      </c>
      <c r="C47" s="21">
        <v>21</v>
      </c>
      <c r="D47" s="21">
        <f t="shared" si="0"/>
        <v>4604.7333333333327</v>
      </c>
      <c r="E47" s="21">
        <v>96699.4</v>
      </c>
      <c r="F47" s="19">
        <v>44</v>
      </c>
      <c r="G47" s="20" t="s">
        <v>68</v>
      </c>
      <c r="H47" s="21">
        <v>14</v>
      </c>
      <c r="I47" s="21">
        <f t="shared" si="1"/>
        <v>3476.4392857142857</v>
      </c>
      <c r="J47" s="21">
        <v>48670.15</v>
      </c>
      <c r="K47" s="19">
        <v>44</v>
      </c>
      <c r="L47" s="20" t="s">
        <v>69</v>
      </c>
      <c r="M47" s="21">
        <v>15</v>
      </c>
      <c r="N47" s="21">
        <f t="shared" si="2"/>
        <v>3118.5246666666667</v>
      </c>
      <c r="O47" s="21">
        <v>46777.87</v>
      </c>
      <c r="P47" s="19">
        <v>44</v>
      </c>
      <c r="Q47" s="20" t="s">
        <v>63</v>
      </c>
      <c r="R47" s="21">
        <v>8</v>
      </c>
      <c r="S47" s="21">
        <f t="shared" si="3"/>
        <v>3708.8</v>
      </c>
      <c r="T47" s="21">
        <v>29670.400000000001</v>
      </c>
      <c r="U47" s="19">
        <v>44</v>
      </c>
      <c r="V47" s="20" t="s">
        <v>29</v>
      </c>
      <c r="W47" s="21">
        <v>7</v>
      </c>
      <c r="X47" s="21">
        <f t="shared" si="4"/>
        <v>2756.1571428571428</v>
      </c>
      <c r="Y47" s="21">
        <v>19293.099999999999</v>
      </c>
      <c r="Z47" s="19">
        <v>44</v>
      </c>
      <c r="AA47" s="20" t="s">
        <v>72</v>
      </c>
      <c r="AB47" s="21">
        <v>10</v>
      </c>
      <c r="AC47" s="21">
        <f t="shared" si="5"/>
        <v>3103.674</v>
      </c>
      <c r="AD47" s="21">
        <v>31036.74</v>
      </c>
      <c r="AE47" s="19"/>
      <c r="AF47" s="20"/>
      <c r="AG47" s="20"/>
      <c r="AH47" s="20"/>
      <c r="AI47" s="19"/>
      <c r="AJ47" s="20"/>
      <c r="AK47" s="20"/>
      <c r="AL47" s="20"/>
      <c r="AM47" s="19"/>
      <c r="AN47" s="20"/>
      <c r="AO47" s="20"/>
      <c r="AP47" s="20"/>
      <c r="AQ47" s="19"/>
      <c r="AR47" s="20"/>
      <c r="AS47" s="20"/>
      <c r="AT47" s="20"/>
      <c r="AU47" s="19"/>
      <c r="AV47" s="20"/>
      <c r="AW47" s="20"/>
      <c r="AX47" s="20"/>
      <c r="AY47" s="22"/>
      <c r="AZ47" s="23"/>
      <c r="BA47" s="23"/>
      <c r="BB47" s="23"/>
      <c r="BC47" s="19">
        <v>44</v>
      </c>
      <c r="BD47" s="20" t="s">
        <v>32</v>
      </c>
      <c r="BE47" s="21">
        <v>78</v>
      </c>
      <c r="BF47" s="21">
        <f t="shared" si="6"/>
        <v>2741.0882051282051</v>
      </c>
      <c r="BG47" s="21">
        <v>213804.88</v>
      </c>
      <c r="BH47" s="29">
        <f t="shared" si="7"/>
        <v>1.5506033437369541E-3</v>
      </c>
      <c r="BI47" s="29">
        <f t="shared" si="8"/>
        <v>1.2842061828819953E-3</v>
      </c>
    </row>
    <row r="48" spans="1:61" x14ac:dyDescent="0.3">
      <c r="A48" s="19">
        <v>45</v>
      </c>
      <c r="B48" s="20" t="s">
        <v>59</v>
      </c>
      <c r="C48" s="21">
        <v>18</v>
      </c>
      <c r="D48" s="21">
        <f t="shared" si="0"/>
        <v>5576.9449999999997</v>
      </c>
      <c r="E48" s="21">
        <v>100385.01</v>
      </c>
      <c r="F48" s="19">
        <v>45</v>
      </c>
      <c r="G48" s="20" t="s">
        <v>25</v>
      </c>
      <c r="H48" s="21">
        <v>14</v>
      </c>
      <c r="I48" s="21">
        <f t="shared" si="1"/>
        <v>3391.0385714285717</v>
      </c>
      <c r="J48" s="21">
        <v>47474.54</v>
      </c>
      <c r="K48" s="19">
        <v>45</v>
      </c>
      <c r="L48" s="20" t="s">
        <v>71</v>
      </c>
      <c r="M48" s="21">
        <v>14</v>
      </c>
      <c r="N48" s="21">
        <f t="shared" si="2"/>
        <v>4010.3614285714284</v>
      </c>
      <c r="O48" s="21">
        <v>56145.06</v>
      </c>
      <c r="P48" s="19">
        <v>45</v>
      </c>
      <c r="Q48" s="20" t="s">
        <v>67</v>
      </c>
      <c r="R48" s="21">
        <v>6</v>
      </c>
      <c r="S48" s="21">
        <f t="shared" si="3"/>
        <v>4000.3050000000003</v>
      </c>
      <c r="T48" s="21">
        <v>24001.83</v>
      </c>
      <c r="U48" s="19">
        <v>45</v>
      </c>
      <c r="V48" s="20" t="s">
        <v>71</v>
      </c>
      <c r="W48" s="21">
        <v>6</v>
      </c>
      <c r="X48" s="21">
        <f t="shared" si="4"/>
        <v>4234.2816666666668</v>
      </c>
      <c r="Y48" s="21">
        <v>25405.69</v>
      </c>
      <c r="Z48" s="19">
        <v>45</v>
      </c>
      <c r="AA48" s="20" t="s">
        <v>43</v>
      </c>
      <c r="AB48" s="21">
        <v>8</v>
      </c>
      <c r="AC48" s="21">
        <f t="shared" si="5"/>
        <v>3559.9850000000001</v>
      </c>
      <c r="AD48" s="21">
        <v>28479.88</v>
      </c>
      <c r="AE48" s="19"/>
      <c r="AF48" s="20"/>
      <c r="AG48" s="20"/>
      <c r="AH48" s="20"/>
      <c r="AI48" s="19"/>
      <c r="AJ48" s="20"/>
      <c r="AK48" s="20"/>
      <c r="AL48" s="20"/>
      <c r="AM48" s="19"/>
      <c r="AN48" s="20"/>
      <c r="AO48" s="20"/>
      <c r="AP48" s="20"/>
      <c r="AQ48" s="19"/>
      <c r="AR48" s="20"/>
      <c r="AS48" s="20"/>
      <c r="AT48" s="20"/>
      <c r="AU48" s="19"/>
      <c r="AV48" s="20"/>
      <c r="AW48" s="20"/>
      <c r="AX48" s="20"/>
      <c r="AY48" s="22"/>
      <c r="AZ48" s="23"/>
      <c r="BA48" s="23"/>
      <c r="BB48" s="23"/>
      <c r="BC48" s="19">
        <v>45</v>
      </c>
      <c r="BD48" s="20" t="s">
        <v>34</v>
      </c>
      <c r="BE48" s="21">
        <v>78</v>
      </c>
      <c r="BF48" s="21">
        <f t="shared" si="6"/>
        <v>3247.6623076923079</v>
      </c>
      <c r="BG48" s="21">
        <v>253317.66</v>
      </c>
      <c r="BH48" s="29">
        <f t="shared" si="7"/>
        <v>1.5506033437369541E-3</v>
      </c>
      <c r="BI48" s="29">
        <f t="shared" si="8"/>
        <v>1.5215373250844373E-3</v>
      </c>
    </row>
    <row r="49" spans="1:61" x14ac:dyDescent="0.3">
      <c r="A49" s="19">
        <v>46</v>
      </c>
      <c r="B49" s="20" t="s">
        <v>73</v>
      </c>
      <c r="C49" s="21">
        <v>17</v>
      </c>
      <c r="D49" s="21">
        <f t="shared" si="0"/>
        <v>3738.2511764705882</v>
      </c>
      <c r="E49" s="21">
        <v>63550.27</v>
      </c>
      <c r="F49" s="19">
        <v>46</v>
      </c>
      <c r="G49" s="20" t="s">
        <v>28</v>
      </c>
      <c r="H49" s="21">
        <v>12</v>
      </c>
      <c r="I49" s="21">
        <f t="shared" si="1"/>
        <v>3247.8883333333338</v>
      </c>
      <c r="J49" s="21">
        <v>38974.660000000003</v>
      </c>
      <c r="K49" s="19">
        <v>46</v>
      </c>
      <c r="L49" s="20" t="s">
        <v>74</v>
      </c>
      <c r="M49" s="21">
        <v>12</v>
      </c>
      <c r="N49" s="21">
        <f t="shared" si="2"/>
        <v>3673.8583333333336</v>
      </c>
      <c r="O49" s="21">
        <v>44086.3</v>
      </c>
      <c r="P49" s="19">
        <v>46</v>
      </c>
      <c r="Q49" s="20" t="s">
        <v>64</v>
      </c>
      <c r="R49" s="21">
        <v>6</v>
      </c>
      <c r="S49" s="21">
        <f t="shared" si="3"/>
        <v>4205.3266666666668</v>
      </c>
      <c r="T49" s="21">
        <v>25231.96</v>
      </c>
      <c r="U49" s="19">
        <v>46</v>
      </c>
      <c r="V49" s="20" t="s">
        <v>42</v>
      </c>
      <c r="W49" s="21">
        <v>6</v>
      </c>
      <c r="X49" s="21">
        <f t="shared" si="4"/>
        <v>2817.896666666667</v>
      </c>
      <c r="Y49" s="21">
        <v>16907.38</v>
      </c>
      <c r="Z49" s="19">
        <v>46</v>
      </c>
      <c r="AA49" s="20" t="s">
        <v>31</v>
      </c>
      <c r="AB49" s="21">
        <v>8</v>
      </c>
      <c r="AC49" s="21">
        <f t="shared" si="5"/>
        <v>3688.33</v>
      </c>
      <c r="AD49" s="21">
        <v>29506.639999999999</v>
      </c>
      <c r="AE49" s="19"/>
      <c r="AF49" s="20"/>
      <c r="AG49" s="20"/>
      <c r="AH49" s="20"/>
      <c r="AI49" s="19"/>
      <c r="AJ49" s="20"/>
      <c r="AK49" s="20"/>
      <c r="AL49" s="20"/>
      <c r="AM49" s="19"/>
      <c r="AN49" s="20"/>
      <c r="AO49" s="20"/>
      <c r="AP49" s="20"/>
      <c r="AQ49" s="19"/>
      <c r="AR49" s="20"/>
      <c r="AS49" s="20"/>
      <c r="AT49" s="20"/>
      <c r="AU49" s="19"/>
      <c r="AV49" s="20"/>
      <c r="AW49" s="20"/>
      <c r="AX49" s="20"/>
      <c r="AY49" s="22"/>
      <c r="AZ49" s="23"/>
      <c r="BA49" s="23"/>
      <c r="BB49" s="23"/>
      <c r="BC49" s="19">
        <v>46</v>
      </c>
      <c r="BD49" s="20" t="s">
        <v>51</v>
      </c>
      <c r="BE49" s="21">
        <v>71</v>
      </c>
      <c r="BF49" s="21">
        <f t="shared" si="6"/>
        <v>5297.197323943662</v>
      </c>
      <c r="BG49" s="21">
        <v>376101.01</v>
      </c>
      <c r="BH49" s="29">
        <f t="shared" si="7"/>
        <v>1.4114466334015864E-3</v>
      </c>
      <c r="BI49" s="29">
        <f t="shared" si="8"/>
        <v>2.2590281495453385E-3</v>
      </c>
    </row>
    <row r="50" spans="1:61" x14ac:dyDescent="0.3">
      <c r="A50" s="19">
        <v>47</v>
      </c>
      <c r="B50" s="20" t="s">
        <v>51</v>
      </c>
      <c r="C50" s="21">
        <v>17</v>
      </c>
      <c r="D50" s="21">
        <f t="shared" si="0"/>
        <v>9126.6352941176465</v>
      </c>
      <c r="E50" s="21">
        <v>155152.79999999999</v>
      </c>
      <c r="F50" s="19">
        <v>47</v>
      </c>
      <c r="G50" s="20" t="s">
        <v>46</v>
      </c>
      <c r="H50" s="21">
        <v>12</v>
      </c>
      <c r="I50" s="21">
        <f t="shared" si="1"/>
        <v>3955.1483333333331</v>
      </c>
      <c r="J50" s="21">
        <v>47461.78</v>
      </c>
      <c r="K50" s="19">
        <v>47</v>
      </c>
      <c r="L50" s="20" t="s">
        <v>75</v>
      </c>
      <c r="M50" s="21">
        <v>11</v>
      </c>
      <c r="N50" s="21">
        <f t="shared" si="2"/>
        <v>4516.2245454545455</v>
      </c>
      <c r="O50" s="21">
        <v>49678.47</v>
      </c>
      <c r="P50" s="19">
        <v>47</v>
      </c>
      <c r="Q50" s="20" t="s">
        <v>71</v>
      </c>
      <c r="R50" s="21">
        <v>6</v>
      </c>
      <c r="S50" s="21">
        <f t="shared" si="3"/>
        <v>5734.6333333333341</v>
      </c>
      <c r="T50" s="21">
        <v>34407.800000000003</v>
      </c>
      <c r="U50" s="19">
        <v>47</v>
      </c>
      <c r="V50" s="20" t="s">
        <v>64</v>
      </c>
      <c r="W50" s="21">
        <v>5</v>
      </c>
      <c r="X50" s="21">
        <f t="shared" si="4"/>
        <v>3563.2919999999999</v>
      </c>
      <c r="Y50" s="21">
        <v>17816.46</v>
      </c>
      <c r="Z50" s="19">
        <v>47</v>
      </c>
      <c r="AA50" s="20" t="s">
        <v>62</v>
      </c>
      <c r="AB50" s="21">
        <v>8</v>
      </c>
      <c r="AC50" s="21">
        <f t="shared" si="5"/>
        <v>2463.89</v>
      </c>
      <c r="AD50" s="21">
        <v>19711.12</v>
      </c>
      <c r="AE50" s="19"/>
      <c r="AF50" s="20"/>
      <c r="AG50" s="20"/>
      <c r="AH50" s="20"/>
      <c r="AI50" s="19"/>
      <c r="AJ50" s="20"/>
      <c r="AK50" s="20"/>
      <c r="AL50" s="20"/>
      <c r="AM50" s="19"/>
      <c r="AN50" s="20"/>
      <c r="AO50" s="20"/>
      <c r="AP50" s="20"/>
      <c r="AQ50" s="19"/>
      <c r="AR50" s="20"/>
      <c r="AS50" s="20"/>
      <c r="AT50" s="20"/>
      <c r="AU50" s="19"/>
      <c r="AV50" s="20"/>
      <c r="AW50" s="20"/>
      <c r="AX50" s="20"/>
      <c r="AY50" s="22"/>
      <c r="AZ50" s="23"/>
      <c r="BA50" s="23"/>
      <c r="BB50" s="23"/>
      <c r="BC50" s="19">
        <v>47</v>
      </c>
      <c r="BD50" s="20" t="s">
        <v>54</v>
      </c>
      <c r="BE50" s="21">
        <v>69</v>
      </c>
      <c r="BF50" s="21">
        <f t="shared" si="6"/>
        <v>3551.0481159420292</v>
      </c>
      <c r="BG50" s="21">
        <v>245022.32</v>
      </c>
      <c r="BH50" s="29">
        <f t="shared" si="7"/>
        <v>1.3716875733057671E-3</v>
      </c>
      <c r="BI50" s="29">
        <f t="shared" si="8"/>
        <v>1.4717118631159907E-3</v>
      </c>
    </row>
    <row r="51" spans="1:61" x14ac:dyDescent="0.3">
      <c r="A51" s="19">
        <v>48</v>
      </c>
      <c r="B51" s="20" t="s">
        <v>28</v>
      </c>
      <c r="C51" s="21">
        <v>16</v>
      </c>
      <c r="D51" s="21">
        <f t="shared" si="0"/>
        <v>4504.5837499999998</v>
      </c>
      <c r="E51" s="21">
        <v>72073.34</v>
      </c>
      <c r="F51" s="19">
        <v>48</v>
      </c>
      <c r="G51" s="20" t="s">
        <v>75</v>
      </c>
      <c r="H51" s="21">
        <v>12</v>
      </c>
      <c r="I51" s="21">
        <f t="shared" si="1"/>
        <v>6358.2808333333332</v>
      </c>
      <c r="J51" s="21">
        <v>76299.37</v>
      </c>
      <c r="K51" s="19">
        <v>48</v>
      </c>
      <c r="L51" s="20" t="s">
        <v>51</v>
      </c>
      <c r="M51" s="21">
        <v>11</v>
      </c>
      <c r="N51" s="21">
        <f t="shared" si="2"/>
        <v>3554.6881818181819</v>
      </c>
      <c r="O51" s="21">
        <v>39101.57</v>
      </c>
      <c r="P51" s="19">
        <v>48</v>
      </c>
      <c r="Q51" s="20" t="s">
        <v>77</v>
      </c>
      <c r="R51" s="21">
        <v>6</v>
      </c>
      <c r="S51" s="21">
        <f t="shared" si="3"/>
        <v>3016.14</v>
      </c>
      <c r="T51" s="21">
        <v>18096.84</v>
      </c>
      <c r="U51" s="19">
        <v>48</v>
      </c>
      <c r="V51" s="20" t="s">
        <v>47</v>
      </c>
      <c r="W51" s="21">
        <v>5</v>
      </c>
      <c r="X51" s="21">
        <f t="shared" si="4"/>
        <v>3571.1419999999998</v>
      </c>
      <c r="Y51" s="21">
        <v>17855.71</v>
      </c>
      <c r="Z51" s="19">
        <v>48</v>
      </c>
      <c r="AA51" s="20" t="s">
        <v>60</v>
      </c>
      <c r="AB51" s="21">
        <v>8</v>
      </c>
      <c r="AC51" s="21">
        <f t="shared" si="5"/>
        <v>3900.76</v>
      </c>
      <c r="AD51" s="21">
        <v>31206.080000000002</v>
      </c>
      <c r="AE51" s="19"/>
      <c r="AF51" s="20"/>
      <c r="AG51" s="20"/>
      <c r="AH51" s="20"/>
      <c r="AI51" s="19"/>
      <c r="AJ51" s="20"/>
      <c r="AK51" s="20"/>
      <c r="AL51" s="20"/>
      <c r="AM51" s="19"/>
      <c r="AN51" s="20"/>
      <c r="AO51" s="20"/>
      <c r="AP51" s="20"/>
      <c r="AQ51" s="19"/>
      <c r="AR51" s="20"/>
      <c r="AS51" s="20"/>
      <c r="AT51" s="20"/>
      <c r="AU51" s="19"/>
      <c r="AV51" s="20"/>
      <c r="AW51" s="20"/>
      <c r="AX51" s="20"/>
      <c r="AY51" s="22"/>
      <c r="AZ51" s="23"/>
      <c r="BA51" s="23"/>
      <c r="BB51" s="23"/>
      <c r="BC51" s="19">
        <v>48</v>
      </c>
      <c r="BD51" s="20" t="s">
        <v>57</v>
      </c>
      <c r="BE51" s="21">
        <v>64</v>
      </c>
      <c r="BF51" s="21">
        <f t="shared" si="6"/>
        <v>3303.6306249999998</v>
      </c>
      <c r="BG51" s="21">
        <v>211432.36</v>
      </c>
      <c r="BH51" s="29">
        <f t="shared" si="7"/>
        <v>1.2722899230662187E-3</v>
      </c>
      <c r="BI51" s="29">
        <f t="shared" si="8"/>
        <v>1.2699557838592452E-3</v>
      </c>
    </row>
    <row r="52" spans="1:61" x14ac:dyDescent="0.3">
      <c r="A52" s="19">
        <v>49</v>
      </c>
      <c r="B52" s="20" t="s">
        <v>38</v>
      </c>
      <c r="C52" s="21">
        <v>16</v>
      </c>
      <c r="D52" s="21">
        <f t="shared" si="0"/>
        <v>4625.59</v>
      </c>
      <c r="E52" s="21">
        <v>74009.440000000002</v>
      </c>
      <c r="F52" s="19">
        <v>49</v>
      </c>
      <c r="G52" s="20" t="s">
        <v>77</v>
      </c>
      <c r="H52" s="21">
        <v>11</v>
      </c>
      <c r="I52" s="21">
        <f t="shared" si="1"/>
        <v>4136.6163636363635</v>
      </c>
      <c r="J52" s="21">
        <v>45502.78</v>
      </c>
      <c r="K52" s="19">
        <v>49</v>
      </c>
      <c r="L52" s="20" t="s">
        <v>56</v>
      </c>
      <c r="M52" s="21">
        <v>10</v>
      </c>
      <c r="N52" s="21">
        <f t="shared" si="2"/>
        <v>3447.85</v>
      </c>
      <c r="O52" s="21">
        <v>34478.5</v>
      </c>
      <c r="P52" s="19">
        <v>49</v>
      </c>
      <c r="Q52" s="20" t="s">
        <v>40</v>
      </c>
      <c r="R52" s="21">
        <v>6</v>
      </c>
      <c r="S52" s="21">
        <f t="shared" si="3"/>
        <v>3535.7916666666665</v>
      </c>
      <c r="T52" s="21">
        <v>21214.75</v>
      </c>
      <c r="U52" s="19">
        <v>49</v>
      </c>
      <c r="V52" s="20" t="s">
        <v>58</v>
      </c>
      <c r="W52" s="21">
        <v>5</v>
      </c>
      <c r="X52" s="21">
        <f t="shared" si="4"/>
        <v>3642.3220000000001</v>
      </c>
      <c r="Y52" s="21">
        <v>18211.61</v>
      </c>
      <c r="Z52" s="19">
        <v>49</v>
      </c>
      <c r="AA52" s="20" t="s">
        <v>78</v>
      </c>
      <c r="AB52" s="21">
        <v>7</v>
      </c>
      <c r="AC52" s="21">
        <f t="shared" si="5"/>
        <v>3099.5185714285717</v>
      </c>
      <c r="AD52" s="21">
        <v>21696.63</v>
      </c>
      <c r="AE52" s="19"/>
      <c r="AF52" s="20"/>
      <c r="AG52" s="20"/>
      <c r="AH52" s="20"/>
      <c r="AI52" s="19"/>
      <c r="AJ52" s="20"/>
      <c r="AK52" s="20"/>
      <c r="AL52" s="20"/>
      <c r="AM52" s="19"/>
      <c r="AN52" s="20"/>
      <c r="AO52" s="20"/>
      <c r="AP52" s="20"/>
      <c r="AQ52" s="19"/>
      <c r="AR52" s="20"/>
      <c r="AS52" s="20"/>
      <c r="AT52" s="20"/>
      <c r="AU52" s="19"/>
      <c r="AV52" s="20"/>
      <c r="AW52" s="20"/>
      <c r="AX52" s="20"/>
      <c r="AY52" s="22"/>
      <c r="AZ52" s="23"/>
      <c r="BA52" s="23"/>
      <c r="BB52" s="23"/>
      <c r="BC52" s="19">
        <v>49</v>
      </c>
      <c r="BD52" s="20" t="s">
        <v>49</v>
      </c>
      <c r="BE52" s="21">
        <v>62</v>
      </c>
      <c r="BF52" s="21">
        <f t="shared" si="6"/>
        <v>2586.8011290322584</v>
      </c>
      <c r="BG52" s="21">
        <v>160381.67000000001</v>
      </c>
      <c r="BH52" s="29">
        <f t="shared" si="7"/>
        <v>1.2325308629703995E-3</v>
      </c>
      <c r="BI52" s="29">
        <f t="shared" si="8"/>
        <v>9.6332287754582514E-4</v>
      </c>
    </row>
    <row r="53" spans="1:61" x14ac:dyDescent="0.3">
      <c r="A53" s="19">
        <v>50</v>
      </c>
      <c r="B53" s="20" t="s">
        <v>76</v>
      </c>
      <c r="C53" s="21">
        <v>15</v>
      </c>
      <c r="D53" s="21">
        <f t="shared" si="0"/>
        <v>3088.35</v>
      </c>
      <c r="E53" s="21">
        <v>46325.25</v>
      </c>
      <c r="F53" s="19">
        <v>50</v>
      </c>
      <c r="G53" s="20" t="s">
        <v>112</v>
      </c>
      <c r="H53" s="21">
        <v>11</v>
      </c>
      <c r="I53" s="21">
        <f t="shared" si="1"/>
        <v>6273.8790909090903</v>
      </c>
      <c r="J53" s="21">
        <v>69012.67</v>
      </c>
      <c r="K53" s="19">
        <v>50</v>
      </c>
      <c r="L53" s="20" t="s">
        <v>40</v>
      </c>
      <c r="M53" s="21">
        <v>9</v>
      </c>
      <c r="N53" s="21">
        <f t="shared" si="2"/>
        <v>4541.7822222222221</v>
      </c>
      <c r="O53" s="21">
        <v>40876.04</v>
      </c>
      <c r="P53" s="19">
        <v>50</v>
      </c>
      <c r="Q53" s="20" t="s">
        <v>39</v>
      </c>
      <c r="R53" s="21">
        <v>6</v>
      </c>
      <c r="S53" s="21">
        <f t="shared" si="3"/>
        <v>2806.26</v>
      </c>
      <c r="T53" s="21">
        <v>16837.560000000001</v>
      </c>
      <c r="U53" s="19">
        <v>50</v>
      </c>
      <c r="V53" s="20" t="s">
        <v>62</v>
      </c>
      <c r="W53" s="21">
        <v>5</v>
      </c>
      <c r="X53" s="21">
        <f t="shared" si="4"/>
        <v>4661.9220000000005</v>
      </c>
      <c r="Y53" s="21">
        <v>23309.61</v>
      </c>
      <c r="Z53" s="19">
        <v>50</v>
      </c>
      <c r="AA53" s="20" t="s">
        <v>68</v>
      </c>
      <c r="AB53" s="21">
        <v>7</v>
      </c>
      <c r="AC53" s="21">
        <f t="shared" si="5"/>
        <v>4040.0128571428572</v>
      </c>
      <c r="AD53" s="21">
        <v>28280.09</v>
      </c>
      <c r="AE53" s="19"/>
      <c r="AF53" s="20"/>
      <c r="AG53" s="20"/>
      <c r="AH53" s="20"/>
      <c r="AI53" s="19"/>
      <c r="AJ53" s="20"/>
      <c r="AK53" s="20"/>
      <c r="AL53" s="20"/>
      <c r="AM53" s="19"/>
      <c r="AN53" s="20"/>
      <c r="AO53" s="20"/>
      <c r="AP53" s="20"/>
      <c r="AQ53" s="19"/>
      <c r="AR53" s="20"/>
      <c r="AS53" s="20"/>
      <c r="AT53" s="20"/>
      <c r="AU53" s="19"/>
      <c r="AV53" s="20"/>
      <c r="AW53" s="20"/>
      <c r="AX53" s="20"/>
      <c r="AY53" s="22"/>
      <c r="AZ53" s="23"/>
      <c r="BA53" s="23"/>
      <c r="BB53" s="23"/>
      <c r="BC53" s="19">
        <v>50</v>
      </c>
      <c r="BD53" s="20" t="s">
        <v>38</v>
      </c>
      <c r="BE53" s="21">
        <v>61</v>
      </c>
      <c r="BF53" s="21">
        <f t="shared" si="6"/>
        <v>3747.4301639344262</v>
      </c>
      <c r="BG53" s="21">
        <v>228593.24</v>
      </c>
      <c r="BH53" s="29">
        <f t="shared" si="7"/>
        <v>1.2126513329224896E-3</v>
      </c>
      <c r="BI53" s="29">
        <f t="shared" si="8"/>
        <v>1.3730315798826849E-3</v>
      </c>
    </row>
    <row r="54" spans="1:61" x14ac:dyDescent="0.3">
      <c r="A54" s="19">
        <v>51</v>
      </c>
      <c r="B54" s="20" t="s">
        <v>29</v>
      </c>
      <c r="C54" s="21">
        <v>15</v>
      </c>
      <c r="D54" s="21">
        <f t="shared" si="0"/>
        <v>2580.4046666666668</v>
      </c>
      <c r="E54" s="21">
        <v>38706.07</v>
      </c>
      <c r="F54" s="19">
        <v>51</v>
      </c>
      <c r="G54" s="20" t="s">
        <v>73</v>
      </c>
      <c r="H54" s="21">
        <v>7</v>
      </c>
      <c r="I54" s="21">
        <f t="shared" si="1"/>
        <v>4067.56</v>
      </c>
      <c r="J54" s="21">
        <v>28472.92</v>
      </c>
      <c r="K54" s="19">
        <v>51</v>
      </c>
      <c r="L54" s="20" t="s">
        <v>21</v>
      </c>
      <c r="M54" s="21">
        <v>9</v>
      </c>
      <c r="N54" s="21">
        <f t="shared" si="2"/>
        <v>3227.9688888888891</v>
      </c>
      <c r="O54" s="21">
        <v>29051.72</v>
      </c>
      <c r="P54" s="19">
        <v>51</v>
      </c>
      <c r="Q54" s="20" t="s">
        <v>80</v>
      </c>
      <c r="R54" s="21">
        <v>5</v>
      </c>
      <c r="S54" s="21">
        <f t="shared" si="3"/>
        <v>2975.8440000000001</v>
      </c>
      <c r="T54" s="21">
        <v>14879.22</v>
      </c>
      <c r="U54" s="19">
        <v>51</v>
      </c>
      <c r="V54" s="20" t="s">
        <v>82</v>
      </c>
      <c r="W54" s="21">
        <v>4</v>
      </c>
      <c r="X54" s="21">
        <f t="shared" si="4"/>
        <v>3140.44</v>
      </c>
      <c r="Y54" s="21">
        <v>12561.76</v>
      </c>
      <c r="Z54" s="19">
        <v>51</v>
      </c>
      <c r="AA54" s="20" t="s">
        <v>83</v>
      </c>
      <c r="AB54" s="21">
        <v>7</v>
      </c>
      <c r="AC54" s="21">
        <f t="shared" si="5"/>
        <v>3134.8471428571429</v>
      </c>
      <c r="AD54" s="21">
        <v>21943.93</v>
      </c>
      <c r="AE54" s="19"/>
      <c r="AF54" s="20"/>
      <c r="AG54" s="20"/>
      <c r="AH54" s="20"/>
      <c r="AI54" s="19"/>
      <c r="AJ54" s="20"/>
      <c r="AK54" s="20"/>
      <c r="AL54" s="20"/>
      <c r="AM54" s="19"/>
      <c r="AN54" s="20"/>
      <c r="AO54" s="20"/>
      <c r="AP54" s="20"/>
      <c r="AQ54" s="19"/>
      <c r="AR54" s="20"/>
      <c r="AS54" s="20"/>
      <c r="AT54" s="20"/>
      <c r="AU54" s="19"/>
      <c r="AV54" s="20"/>
      <c r="AW54" s="20"/>
      <c r="AX54" s="20"/>
      <c r="AY54" s="22"/>
      <c r="AZ54" s="23"/>
      <c r="BA54" s="23"/>
      <c r="BB54" s="23"/>
      <c r="BC54" s="19">
        <v>51</v>
      </c>
      <c r="BD54" s="20" t="s">
        <v>61</v>
      </c>
      <c r="BE54" s="21">
        <v>61</v>
      </c>
      <c r="BF54" s="21">
        <f t="shared" si="6"/>
        <v>4073.8026229508196</v>
      </c>
      <c r="BG54" s="21">
        <v>248501.96</v>
      </c>
      <c r="BH54" s="29">
        <f t="shared" si="7"/>
        <v>1.2126513329224896E-3</v>
      </c>
      <c r="BI54" s="29">
        <f t="shared" si="8"/>
        <v>1.4926121119887175E-3</v>
      </c>
    </row>
    <row r="55" spans="1:61" x14ac:dyDescent="0.3">
      <c r="A55" s="19">
        <v>52</v>
      </c>
      <c r="B55" s="20" t="s">
        <v>79</v>
      </c>
      <c r="C55" s="21">
        <v>12</v>
      </c>
      <c r="D55" s="21">
        <f t="shared" si="0"/>
        <v>2553.83</v>
      </c>
      <c r="E55" s="21">
        <v>30645.96</v>
      </c>
      <c r="F55" s="19">
        <v>52</v>
      </c>
      <c r="G55" s="20" t="s">
        <v>32</v>
      </c>
      <c r="H55" s="21">
        <v>7</v>
      </c>
      <c r="I55" s="21">
        <f t="shared" si="1"/>
        <v>4097.08</v>
      </c>
      <c r="J55" s="21">
        <v>28679.56</v>
      </c>
      <c r="K55" s="19">
        <v>52</v>
      </c>
      <c r="L55" s="20" t="s">
        <v>65</v>
      </c>
      <c r="M55" s="21">
        <v>9</v>
      </c>
      <c r="N55" s="21">
        <f t="shared" si="2"/>
        <v>3863.298888888889</v>
      </c>
      <c r="O55" s="21">
        <v>34769.69</v>
      </c>
      <c r="P55" s="19">
        <v>52</v>
      </c>
      <c r="Q55" s="20" t="s">
        <v>81</v>
      </c>
      <c r="R55" s="21">
        <v>5</v>
      </c>
      <c r="S55" s="21">
        <f t="shared" si="3"/>
        <v>5958.4620000000004</v>
      </c>
      <c r="T55" s="21">
        <v>29792.31</v>
      </c>
      <c r="U55" s="19">
        <v>52</v>
      </c>
      <c r="V55" s="20" t="s">
        <v>32</v>
      </c>
      <c r="W55" s="21">
        <v>4</v>
      </c>
      <c r="X55" s="21">
        <f t="shared" si="4"/>
        <v>2532.4475000000002</v>
      </c>
      <c r="Y55" s="21">
        <v>10129.790000000001</v>
      </c>
      <c r="Z55" s="19">
        <v>52</v>
      </c>
      <c r="AA55" s="20" t="s">
        <v>41</v>
      </c>
      <c r="AB55" s="21">
        <v>6</v>
      </c>
      <c r="AC55" s="21">
        <f t="shared" si="5"/>
        <v>4335.88</v>
      </c>
      <c r="AD55" s="21">
        <v>26015.279999999999</v>
      </c>
      <c r="AE55" s="19"/>
      <c r="AF55" s="20"/>
      <c r="AG55" s="20"/>
      <c r="AH55" s="20"/>
      <c r="AI55" s="19"/>
      <c r="AJ55" s="20"/>
      <c r="AK55" s="20"/>
      <c r="AL55" s="20"/>
      <c r="AM55" s="19"/>
      <c r="AN55" s="20"/>
      <c r="AO55" s="20"/>
      <c r="AP55" s="20"/>
      <c r="AQ55" s="19"/>
      <c r="AR55" s="20"/>
      <c r="AS55" s="20"/>
      <c r="AT55" s="20"/>
      <c r="AU55" s="19"/>
      <c r="AV55" s="20"/>
      <c r="AW55" s="20"/>
      <c r="AX55" s="20"/>
      <c r="AY55" s="22"/>
      <c r="AZ55" s="23"/>
      <c r="BA55" s="23"/>
      <c r="BB55" s="23"/>
      <c r="BC55" s="19">
        <v>52</v>
      </c>
      <c r="BD55" s="20" t="s">
        <v>45</v>
      </c>
      <c r="BE55" s="21">
        <v>56</v>
      </c>
      <c r="BF55" s="21">
        <f t="shared" si="6"/>
        <v>2442.7648214285714</v>
      </c>
      <c r="BG55" s="21">
        <v>136794.82999999999</v>
      </c>
      <c r="BH55" s="29">
        <f t="shared" si="7"/>
        <v>1.1132536826829415E-3</v>
      </c>
      <c r="BI55" s="29">
        <f t="shared" si="8"/>
        <v>8.216499383563717E-4</v>
      </c>
    </row>
    <row r="56" spans="1:61" x14ac:dyDescent="0.3">
      <c r="A56" s="19">
        <v>53</v>
      </c>
      <c r="B56" s="20" t="s">
        <v>30</v>
      </c>
      <c r="C56" s="21">
        <v>11</v>
      </c>
      <c r="D56" s="21">
        <f t="shared" si="0"/>
        <v>4309.534545454545</v>
      </c>
      <c r="E56" s="21">
        <v>47404.88</v>
      </c>
      <c r="F56" s="19">
        <v>53</v>
      </c>
      <c r="G56" s="20" t="s">
        <v>59</v>
      </c>
      <c r="H56" s="21">
        <v>7</v>
      </c>
      <c r="I56" s="21">
        <f t="shared" si="1"/>
        <v>3430</v>
      </c>
      <c r="J56" s="21">
        <v>24010</v>
      </c>
      <c r="K56" s="19">
        <v>53</v>
      </c>
      <c r="L56" s="20" t="s">
        <v>84</v>
      </c>
      <c r="M56" s="21">
        <v>9</v>
      </c>
      <c r="N56" s="21">
        <f t="shared" si="2"/>
        <v>3428.8544444444442</v>
      </c>
      <c r="O56" s="21">
        <v>30859.69</v>
      </c>
      <c r="P56" s="19">
        <v>53</v>
      </c>
      <c r="Q56" s="20" t="s">
        <v>86</v>
      </c>
      <c r="R56" s="21">
        <v>5</v>
      </c>
      <c r="S56" s="21">
        <f t="shared" si="3"/>
        <v>3390</v>
      </c>
      <c r="T56" s="21">
        <v>16950</v>
      </c>
      <c r="U56" s="19">
        <v>53</v>
      </c>
      <c r="V56" s="20" t="s">
        <v>69</v>
      </c>
      <c r="W56" s="21">
        <v>4</v>
      </c>
      <c r="X56" s="21">
        <f t="shared" si="4"/>
        <v>3143.5825</v>
      </c>
      <c r="Y56" s="21">
        <v>12574.33</v>
      </c>
      <c r="Z56" s="19">
        <v>53</v>
      </c>
      <c r="AA56" s="20" t="s">
        <v>33</v>
      </c>
      <c r="AB56" s="21">
        <v>5</v>
      </c>
      <c r="AC56" s="21">
        <f t="shared" si="5"/>
        <v>2835.62</v>
      </c>
      <c r="AD56" s="21">
        <v>14178.1</v>
      </c>
      <c r="AE56" s="19"/>
      <c r="AF56" s="20"/>
      <c r="AG56" s="20"/>
      <c r="AH56" s="20"/>
      <c r="AI56" s="19"/>
      <c r="AJ56" s="20"/>
      <c r="AK56" s="20"/>
      <c r="AL56" s="20"/>
      <c r="AM56" s="19"/>
      <c r="AN56" s="20"/>
      <c r="AO56" s="20"/>
      <c r="AP56" s="20"/>
      <c r="AQ56" s="19"/>
      <c r="AR56" s="20"/>
      <c r="AS56" s="20"/>
      <c r="AT56" s="20"/>
      <c r="AU56" s="19"/>
      <c r="AV56" s="20"/>
      <c r="AW56" s="20"/>
      <c r="AX56" s="20"/>
      <c r="AY56" s="22"/>
      <c r="AZ56" s="23"/>
      <c r="BA56" s="23"/>
      <c r="BB56" s="23"/>
      <c r="BC56" s="19">
        <v>53</v>
      </c>
      <c r="BD56" s="20" t="s">
        <v>56</v>
      </c>
      <c r="BE56" s="21">
        <v>54</v>
      </c>
      <c r="BF56" s="21">
        <f t="shared" si="6"/>
        <v>3022.3035185185186</v>
      </c>
      <c r="BG56" s="21">
        <v>163204.39000000001</v>
      </c>
      <c r="BH56" s="29">
        <f t="shared" si="7"/>
        <v>1.073494622587122E-3</v>
      </c>
      <c r="BI56" s="29">
        <f t="shared" si="8"/>
        <v>9.8027737585542718E-4</v>
      </c>
    </row>
    <row r="57" spans="1:61" x14ac:dyDescent="0.3">
      <c r="A57" s="19">
        <v>54</v>
      </c>
      <c r="B57" s="20" t="s">
        <v>85</v>
      </c>
      <c r="C57" s="21">
        <v>10</v>
      </c>
      <c r="D57" s="21">
        <f t="shared" si="0"/>
        <v>3228.54</v>
      </c>
      <c r="E57" s="21">
        <v>32285.4</v>
      </c>
      <c r="F57" s="19">
        <v>54</v>
      </c>
      <c r="G57" s="20" t="s">
        <v>56</v>
      </c>
      <c r="H57" s="21">
        <v>7</v>
      </c>
      <c r="I57" s="21">
        <f t="shared" si="1"/>
        <v>3648.7414285714285</v>
      </c>
      <c r="J57" s="21">
        <v>25541.19</v>
      </c>
      <c r="K57" s="19">
        <v>54</v>
      </c>
      <c r="L57" s="20" t="s">
        <v>49</v>
      </c>
      <c r="M57" s="21">
        <v>7</v>
      </c>
      <c r="N57" s="21">
        <f t="shared" si="2"/>
        <v>2579.2000000000003</v>
      </c>
      <c r="O57" s="21">
        <v>18054.400000000001</v>
      </c>
      <c r="P57" s="19">
        <v>54</v>
      </c>
      <c r="Q57" s="20" t="s">
        <v>78</v>
      </c>
      <c r="R57" s="21">
        <v>4</v>
      </c>
      <c r="S57" s="21">
        <f t="shared" si="3"/>
        <v>3224.9575</v>
      </c>
      <c r="T57" s="21">
        <v>12899.83</v>
      </c>
      <c r="U57" s="19">
        <v>54</v>
      </c>
      <c r="V57" s="20" t="s">
        <v>87</v>
      </c>
      <c r="W57" s="21">
        <v>4</v>
      </c>
      <c r="X57" s="21">
        <f t="shared" si="4"/>
        <v>4519.97</v>
      </c>
      <c r="Y57" s="21">
        <v>18079.88</v>
      </c>
      <c r="Z57" s="19">
        <v>54</v>
      </c>
      <c r="AA57" s="20" t="s">
        <v>61</v>
      </c>
      <c r="AB57" s="21">
        <v>5</v>
      </c>
      <c r="AC57" s="21">
        <f t="shared" si="5"/>
        <v>2904.7380000000003</v>
      </c>
      <c r="AD57" s="21">
        <v>14523.69</v>
      </c>
      <c r="AE57" s="19"/>
      <c r="AF57" s="20"/>
      <c r="AG57" s="20"/>
      <c r="AH57" s="20"/>
      <c r="AI57" s="19"/>
      <c r="AJ57" s="20"/>
      <c r="AK57" s="20"/>
      <c r="AL57" s="20"/>
      <c r="AM57" s="19"/>
      <c r="AN57" s="20"/>
      <c r="AO57" s="20"/>
      <c r="AP57" s="20"/>
      <c r="AQ57" s="19"/>
      <c r="AR57" s="20"/>
      <c r="AS57" s="20"/>
      <c r="AT57" s="20"/>
      <c r="AU57" s="19"/>
      <c r="AV57" s="20"/>
      <c r="AW57" s="20"/>
      <c r="AX57" s="20"/>
      <c r="AY57" s="22"/>
      <c r="AZ57" s="23"/>
      <c r="BA57" s="23"/>
      <c r="BB57" s="23"/>
      <c r="BC57" s="19">
        <v>54</v>
      </c>
      <c r="BD57" s="20" t="s">
        <v>59</v>
      </c>
      <c r="BE57" s="21">
        <v>53</v>
      </c>
      <c r="BF57" s="21">
        <f t="shared" si="6"/>
        <v>4152.0122641509433</v>
      </c>
      <c r="BG57" s="21">
        <v>220056.65</v>
      </c>
      <c r="BH57" s="29">
        <f t="shared" si="7"/>
        <v>1.0536150925392123E-3</v>
      </c>
      <c r="BI57" s="29">
        <f t="shared" si="8"/>
        <v>1.3217570642648532E-3</v>
      </c>
    </row>
    <row r="58" spans="1:61" x14ac:dyDescent="0.3">
      <c r="A58" s="19">
        <v>55</v>
      </c>
      <c r="B58" s="20" t="s">
        <v>56</v>
      </c>
      <c r="C58" s="21">
        <v>10</v>
      </c>
      <c r="D58" s="21">
        <f t="shared" si="0"/>
        <v>3138.3049999999998</v>
      </c>
      <c r="E58" s="21">
        <v>31383.05</v>
      </c>
      <c r="F58" s="19">
        <v>55</v>
      </c>
      <c r="G58" s="20" t="s">
        <v>62</v>
      </c>
      <c r="H58" s="21">
        <v>6</v>
      </c>
      <c r="I58" s="21">
        <f t="shared" si="1"/>
        <v>3025.7216666666668</v>
      </c>
      <c r="J58" s="21">
        <v>18154.330000000002</v>
      </c>
      <c r="K58" s="19">
        <v>55</v>
      </c>
      <c r="L58" s="20" t="s">
        <v>63</v>
      </c>
      <c r="M58" s="21">
        <v>6</v>
      </c>
      <c r="N58" s="21">
        <f t="shared" si="2"/>
        <v>4759.9716666666673</v>
      </c>
      <c r="O58" s="21">
        <v>28559.83</v>
      </c>
      <c r="P58" s="19">
        <v>55</v>
      </c>
      <c r="Q58" s="20" t="s">
        <v>61</v>
      </c>
      <c r="R58" s="21">
        <v>4</v>
      </c>
      <c r="S58" s="21">
        <f t="shared" si="3"/>
        <v>4927.78</v>
      </c>
      <c r="T58" s="21">
        <v>19711.12</v>
      </c>
      <c r="U58" s="19">
        <v>55</v>
      </c>
      <c r="V58" s="20" t="s">
        <v>74</v>
      </c>
      <c r="W58" s="21">
        <v>4</v>
      </c>
      <c r="X58" s="21">
        <f t="shared" si="4"/>
        <v>4028.49</v>
      </c>
      <c r="Y58" s="21">
        <v>16113.96</v>
      </c>
      <c r="Z58" s="19">
        <v>55</v>
      </c>
      <c r="AA58" s="20" t="s">
        <v>52</v>
      </c>
      <c r="AB58" s="21">
        <v>4</v>
      </c>
      <c r="AC58" s="21">
        <f t="shared" si="5"/>
        <v>2973.66</v>
      </c>
      <c r="AD58" s="21">
        <v>11894.64</v>
      </c>
      <c r="AE58" s="19"/>
      <c r="AF58" s="20"/>
      <c r="AG58" s="20"/>
      <c r="AH58" s="20"/>
      <c r="AI58" s="19"/>
      <c r="AJ58" s="20"/>
      <c r="AK58" s="20"/>
      <c r="AL58" s="20"/>
      <c r="AM58" s="19"/>
      <c r="AN58" s="20"/>
      <c r="AO58" s="20"/>
      <c r="AP58" s="20"/>
      <c r="AQ58" s="19"/>
      <c r="AR58" s="20"/>
      <c r="AS58" s="20"/>
      <c r="AT58" s="20"/>
      <c r="AU58" s="19"/>
      <c r="AV58" s="20"/>
      <c r="AW58" s="20"/>
      <c r="AX58" s="20"/>
      <c r="AY58" s="22"/>
      <c r="AZ58" s="23"/>
      <c r="BA58" s="23"/>
      <c r="BB58" s="23"/>
      <c r="BC58" s="19">
        <v>55</v>
      </c>
      <c r="BD58" s="20" t="s">
        <v>64</v>
      </c>
      <c r="BE58" s="21">
        <v>50</v>
      </c>
      <c r="BF58" s="21">
        <f t="shared" si="6"/>
        <v>4594.2097999999996</v>
      </c>
      <c r="BG58" s="21">
        <v>229710.49</v>
      </c>
      <c r="BH58" s="29">
        <f t="shared" si="7"/>
        <v>9.9397650239548344E-4</v>
      </c>
      <c r="BI58" s="29">
        <f t="shared" si="8"/>
        <v>1.3797422749698357E-3</v>
      </c>
    </row>
    <row r="59" spans="1:61" x14ac:dyDescent="0.3">
      <c r="A59" s="19">
        <v>56</v>
      </c>
      <c r="B59" s="20" t="s">
        <v>89</v>
      </c>
      <c r="C59" s="21">
        <v>9</v>
      </c>
      <c r="D59" s="21">
        <f t="shared" si="0"/>
        <v>4303.4822222222219</v>
      </c>
      <c r="E59" s="21">
        <v>38731.339999999997</v>
      </c>
      <c r="F59" s="19">
        <v>56</v>
      </c>
      <c r="G59" s="20" t="s">
        <v>86</v>
      </c>
      <c r="H59" s="21">
        <v>6</v>
      </c>
      <c r="I59" s="21">
        <f t="shared" si="1"/>
        <v>2819.2049999999999</v>
      </c>
      <c r="J59" s="21">
        <v>16915.23</v>
      </c>
      <c r="K59" s="19">
        <v>56</v>
      </c>
      <c r="L59" s="20" t="s">
        <v>88</v>
      </c>
      <c r="M59" s="21">
        <v>6</v>
      </c>
      <c r="N59" s="21">
        <f t="shared" si="2"/>
        <v>3206.2900000000004</v>
      </c>
      <c r="O59" s="21">
        <v>19237.740000000002</v>
      </c>
      <c r="P59" s="19">
        <v>56</v>
      </c>
      <c r="Q59" s="20" t="s">
        <v>60</v>
      </c>
      <c r="R59" s="21">
        <v>4</v>
      </c>
      <c r="S59" s="21">
        <f t="shared" si="3"/>
        <v>3200.59</v>
      </c>
      <c r="T59" s="21">
        <v>12802.36</v>
      </c>
      <c r="U59" s="19">
        <v>56</v>
      </c>
      <c r="V59" s="20" t="s">
        <v>45</v>
      </c>
      <c r="W59" s="21">
        <v>4</v>
      </c>
      <c r="X59" s="21">
        <f t="shared" si="4"/>
        <v>2846.22</v>
      </c>
      <c r="Y59" s="21">
        <v>11384.88</v>
      </c>
      <c r="Z59" s="19">
        <v>56</v>
      </c>
      <c r="AA59" s="20" t="s">
        <v>34</v>
      </c>
      <c r="AB59" s="21">
        <v>4</v>
      </c>
      <c r="AC59" s="21">
        <f t="shared" si="5"/>
        <v>3436.71</v>
      </c>
      <c r="AD59" s="21">
        <v>13746.84</v>
      </c>
      <c r="AE59" s="19"/>
      <c r="AF59" s="20"/>
      <c r="AG59" s="20"/>
      <c r="AH59" s="20"/>
      <c r="AI59" s="19"/>
      <c r="AJ59" s="20"/>
      <c r="AK59" s="20"/>
      <c r="AL59" s="20"/>
      <c r="AM59" s="19"/>
      <c r="AN59" s="20"/>
      <c r="AO59" s="20"/>
      <c r="AP59" s="20"/>
      <c r="AQ59" s="19"/>
      <c r="AR59" s="20"/>
      <c r="AS59" s="20"/>
      <c r="AT59" s="20"/>
      <c r="AU59" s="19"/>
      <c r="AV59" s="20"/>
      <c r="AW59" s="20"/>
      <c r="AX59" s="20"/>
      <c r="AY59" s="22"/>
      <c r="AZ59" s="23"/>
      <c r="BA59" s="23"/>
      <c r="BB59" s="23"/>
      <c r="BC59" s="19">
        <v>56</v>
      </c>
      <c r="BD59" s="20" t="s">
        <v>62</v>
      </c>
      <c r="BE59" s="21">
        <v>49</v>
      </c>
      <c r="BF59" s="21">
        <f t="shared" si="6"/>
        <v>3684.6746938775509</v>
      </c>
      <c r="BG59" s="21">
        <v>180549.06</v>
      </c>
      <c r="BH59" s="29">
        <f t="shared" si="7"/>
        <v>9.7409697234757369E-4</v>
      </c>
      <c r="BI59" s="29">
        <f t="shared" si="8"/>
        <v>1.0844570954859981E-3</v>
      </c>
    </row>
    <row r="60" spans="1:61" x14ac:dyDescent="0.3">
      <c r="A60" s="19">
        <v>57</v>
      </c>
      <c r="B60" s="20" t="s">
        <v>77</v>
      </c>
      <c r="C60" s="21">
        <v>9</v>
      </c>
      <c r="D60" s="21">
        <f t="shared" si="0"/>
        <v>4037.7044444444441</v>
      </c>
      <c r="E60" s="21">
        <v>36339.339999999997</v>
      </c>
      <c r="F60" s="19">
        <v>57</v>
      </c>
      <c r="G60" s="20" t="s">
        <v>54</v>
      </c>
      <c r="H60" s="21">
        <v>5</v>
      </c>
      <c r="I60" s="21">
        <f t="shared" si="1"/>
        <v>3836.9</v>
      </c>
      <c r="J60" s="21">
        <v>19184.5</v>
      </c>
      <c r="K60" s="19">
        <v>57</v>
      </c>
      <c r="L60" s="20" t="s">
        <v>67</v>
      </c>
      <c r="M60" s="21">
        <v>5</v>
      </c>
      <c r="N60" s="21">
        <f t="shared" si="2"/>
        <v>3892.9160000000002</v>
      </c>
      <c r="O60" s="21">
        <v>19464.580000000002</v>
      </c>
      <c r="P60" s="19">
        <v>57</v>
      </c>
      <c r="Q60" s="20" t="s">
        <v>90</v>
      </c>
      <c r="R60" s="21">
        <v>3</v>
      </c>
      <c r="S60" s="21">
        <f t="shared" si="3"/>
        <v>4326.7933333333331</v>
      </c>
      <c r="T60" s="21">
        <v>12980.38</v>
      </c>
      <c r="U60" s="19">
        <v>57</v>
      </c>
      <c r="V60" s="20" t="s">
        <v>43</v>
      </c>
      <c r="W60" s="21">
        <v>3</v>
      </c>
      <c r="X60" s="21">
        <f t="shared" si="4"/>
        <v>3356.7833333333333</v>
      </c>
      <c r="Y60" s="21">
        <v>10070.35</v>
      </c>
      <c r="Z60" s="19">
        <v>57</v>
      </c>
      <c r="AA60" s="20" t="s">
        <v>71</v>
      </c>
      <c r="AB60" s="21">
        <v>3</v>
      </c>
      <c r="AC60" s="21">
        <f t="shared" si="5"/>
        <v>3275.603333333333</v>
      </c>
      <c r="AD60" s="21">
        <v>9826.81</v>
      </c>
      <c r="AE60" s="19"/>
      <c r="AF60" s="20"/>
      <c r="AG60" s="20"/>
      <c r="AH60" s="20"/>
      <c r="AI60" s="19"/>
      <c r="AJ60" s="20"/>
      <c r="AK60" s="20"/>
      <c r="AL60" s="20"/>
      <c r="AM60" s="19"/>
      <c r="AN60" s="20"/>
      <c r="AO60" s="20"/>
      <c r="AP60" s="20"/>
      <c r="AQ60" s="19"/>
      <c r="AR60" s="20"/>
      <c r="AS60" s="20"/>
      <c r="AT60" s="20"/>
      <c r="AU60" s="19"/>
      <c r="AV60" s="20"/>
      <c r="AW60" s="20"/>
      <c r="AX60" s="20"/>
      <c r="AY60" s="22"/>
      <c r="AZ60" s="23"/>
      <c r="BA60" s="23"/>
      <c r="BB60" s="23"/>
      <c r="BC60" s="19">
        <v>57</v>
      </c>
      <c r="BD60" s="20" t="s">
        <v>63</v>
      </c>
      <c r="BE60" s="21">
        <v>47</v>
      </c>
      <c r="BF60" s="21">
        <f t="shared" si="6"/>
        <v>3580.2880851063833</v>
      </c>
      <c r="BG60" s="21">
        <v>168273.54</v>
      </c>
      <c r="BH60" s="29">
        <f t="shared" si="7"/>
        <v>9.3433791225175432E-4</v>
      </c>
      <c r="BI60" s="29">
        <f t="shared" si="8"/>
        <v>1.0107249211685008E-3</v>
      </c>
    </row>
    <row r="61" spans="1:61" x14ac:dyDescent="0.3">
      <c r="A61" s="19">
        <v>58</v>
      </c>
      <c r="B61" s="20" t="s">
        <v>46</v>
      </c>
      <c r="C61" s="21">
        <v>9</v>
      </c>
      <c r="D61" s="21">
        <f t="shared" si="0"/>
        <v>3222.7533333333331</v>
      </c>
      <c r="E61" s="21">
        <v>29004.78</v>
      </c>
      <c r="F61" s="19">
        <v>58</v>
      </c>
      <c r="G61" s="20" t="s">
        <v>36</v>
      </c>
      <c r="H61" s="21">
        <v>5</v>
      </c>
      <c r="I61" s="21">
        <f t="shared" si="1"/>
        <v>4373.0720000000001</v>
      </c>
      <c r="J61" s="21">
        <v>21865.360000000001</v>
      </c>
      <c r="K61" s="19">
        <v>58</v>
      </c>
      <c r="L61" s="20" t="s">
        <v>85</v>
      </c>
      <c r="M61" s="21">
        <v>5</v>
      </c>
      <c r="N61" s="21">
        <f t="shared" si="2"/>
        <v>3678.84</v>
      </c>
      <c r="O61" s="21">
        <v>18394.2</v>
      </c>
      <c r="P61" s="19">
        <v>58</v>
      </c>
      <c r="Q61" s="20" t="s">
        <v>87</v>
      </c>
      <c r="R61" s="21">
        <v>3</v>
      </c>
      <c r="S61" s="21">
        <f t="shared" si="3"/>
        <v>4443.836666666667</v>
      </c>
      <c r="T61" s="21">
        <v>13331.51</v>
      </c>
      <c r="U61" s="19">
        <v>58</v>
      </c>
      <c r="V61" s="20" t="s">
        <v>89</v>
      </c>
      <c r="W61" s="21">
        <v>3</v>
      </c>
      <c r="X61" s="21">
        <f t="shared" si="4"/>
        <v>3370.15</v>
      </c>
      <c r="Y61" s="21">
        <v>10110.450000000001</v>
      </c>
      <c r="Z61" s="19">
        <v>58</v>
      </c>
      <c r="AA61" s="20" t="s">
        <v>7</v>
      </c>
      <c r="AB61" s="21">
        <v>3</v>
      </c>
      <c r="AC61" s="21">
        <f t="shared" si="5"/>
        <v>1439.8166666666666</v>
      </c>
      <c r="AD61" s="21">
        <v>4319.45</v>
      </c>
      <c r="AE61" s="19"/>
      <c r="AF61" s="20"/>
      <c r="AG61" s="20"/>
      <c r="AH61" s="20"/>
      <c r="AI61" s="19"/>
      <c r="AJ61" s="20"/>
      <c r="AK61" s="20"/>
      <c r="AL61" s="20"/>
      <c r="AM61" s="19"/>
      <c r="AN61" s="20"/>
      <c r="AO61" s="20"/>
      <c r="AP61" s="20"/>
      <c r="AQ61" s="19"/>
      <c r="AR61" s="20"/>
      <c r="AS61" s="20"/>
      <c r="AT61" s="20"/>
      <c r="AU61" s="19"/>
      <c r="AV61" s="20"/>
      <c r="AW61" s="20"/>
      <c r="AX61" s="20"/>
      <c r="AY61" s="22"/>
      <c r="AZ61" s="23"/>
      <c r="BA61" s="23"/>
      <c r="BB61" s="23"/>
      <c r="BC61" s="19">
        <v>58</v>
      </c>
      <c r="BD61" s="20" t="s">
        <v>50</v>
      </c>
      <c r="BE61" s="21">
        <v>41</v>
      </c>
      <c r="BF61" s="21">
        <f t="shared" si="6"/>
        <v>4137.0004878048776</v>
      </c>
      <c r="BG61" s="21">
        <v>169617.02</v>
      </c>
      <c r="BH61" s="29">
        <f t="shared" si="7"/>
        <v>8.150607319642964E-4</v>
      </c>
      <c r="BI61" s="29">
        <f t="shared" si="8"/>
        <v>1.0187944531762749E-3</v>
      </c>
    </row>
    <row r="62" spans="1:61" x14ac:dyDescent="0.3">
      <c r="A62" s="19">
        <v>59</v>
      </c>
      <c r="B62" s="20" t="s">
        <v>68</v>
      </c>
      <c r="C62" s="21">
        <v>9</v>
      </c>
      <c r="D62" s="21">
        <f t="shared" si="0"/>
        <v>4922.2611111111109</v>
      </c>
      <c r="E62" s="21">
        <v>44300.35</v>
      </c>
      <c r="F62" s="19">
        <v>59</v>
      </c>
      <c r="G62" s="20" t="s">
        <v>47</v>
      </c>
      <c r="H62" s="21">
        <v>5</v>
      </c>
      <c r="I62" s="21">
        <f t="shared" si="1"/>
        <v>3829.0800000000004</v>
      </c>
      <c r="J62" s="21">
        <v>19145.400000000001</v>
      </c>
      <c r="K62" s="19">
        <v>59</v>
      </c>
      <c r="L62" s="20" t="s">
        <v>62</v>
      </c>
      <c r="M62" s="21">
        <v>5</v>
      </c>
      <c r="N62" s="21">
        <f t="shared" si="2"/>
        <v>2808.864</v>
      </c>
      <c r="O62" s="21">
        <v>14044.32</v>
      </c>
      <c r="P62" s="19">
        <v>59</v>
      </c>
      <c r="Q62" s="20" t="s">
        <v>91</v>
      </c>
      <c r="R62" s="21">
        <v>3</v>
      </c>
      <c r="S62" s="21">
        <f t="shared" si="3"/>
        <v>3375</v>
      </c>
      <c r="T62" s="21">
        <v>10125</v>
      </c>
      <c r="U62" s="19">
        <v>59</v>
      </c>
      <c r="V62" s="20" t="s">
        <v>91</v>
      </c>
      <c r="W62" s="21">
        <v>3</v>
      </c>
      <c r="X62" s="21">
        <f t="shared" si="4"/>
        <v>3589.92</v>
      </c>
      <c r="Y62" s="21">
        <v>10769.76</v>
      </c>
      <c r="Z62" s="19">
        <v>59</v>
      </c>
      <c r="AA62" s="20" t="s">
        <v>65</v>
      </c>
      <c r="AB62" s="21">
        <v>3</v>
      </c>
      <c r="AC62" s="21">
        <f t="shared" si="5"/>
        <v>4484.6866666666665</v>
      </c>
      <c r="AD62" s="21">
        <v>13454.06</v>
      </c>
      <c r="AE62" s="19"/>
      <c r="AF62" s="20"/>
      <c r="AG62" s="20"/>
      <c r="AH62" s="20"/>
      <c r="AI62" s="19"/>
      <c r="AJ62" s="20"/>
      <c r="AK62" s="20"/>
      <c r="AL62" s="20"/>
      <c r="AM62" s="19"/>
      <c r="AN62" s="20"/>
      <c r="AO62" s="20"/>
      <c r="AP62" s="20"/>
      <c r="AQ62" s="19"/>
      <c r="AR62" s="20"/>
      <c r="AS62" s="20"/>
      <c r="AT62" s="20"/>
      <c r="AU62" s="19"/>
      <c r="AV62" s="20"/>
      <c r="AW62" s="20"/>
      <c r="AX62" s="20"/>
      <c r="AY62" s="22"/>
      <c r="AZ62" s="23"/>
      <c r="BA62" s="23"/>
      <c r="BB62" s="23"/>
      <c r="BC62" s="19">
        <v>59</v>
      </c>
      <c r="BD62" s="20" t="s">
        <v>60</v>
      </c>
      <c r="BE62" s="21">
        <v>38</v>
      </c>
      <c r="BF62" s="21">
        <f t="shared" si="6"/>
        <v>3824.3155263157892</v>
      </c>
      <c r="BG62" s="21">
        <v>145323.99</v>
      </c>
      <c r="BH62" s="29">
        <f t="shared" si="7"/>
        <v>7.5542214182056739E-4</v>
      </c>
      <c r="BI62" s="29">
        <f t="shared" si="8"/>
        <v>8.7287982612502225E-4</v>
      </c>
    </row>
    <row r="63" spans="1:61" x14ac:dyDescent="0.3">
      <c r="A63" s="19">
        <v>60</v>
      </c>
      <c r="B63" s="20" t="s">
        <v>84</v>
      </c>
      <c r="C63" s="21">
        <v>9</v>
      </c>
      <c r="D63" s="21">
        <f t="shared" si="0"/>
        <v>2794.2933333333331</v>
      </c>
      <c r="E63" s="21">
        <v>25148.639999999999</v>
      </c>
      <c r="F63" s="19">
        <v>60</v>
      </c>
      <c r="G63" s="20" t="s">
        <v>65</v>
      </c>
      <c r="H63" s="21">
        <v>5</v>
      </c>
      <c r="I63" s="21">
        <f t="shared" si="1"/>
        <v>3482.45</v>
      </c>
      <c r="J63" s="21">
        <v>17412.25</v>
      </c>
      <c r="K63" s="19">
        <v>60</v>
      </c>
      <c r="L63" s="20" t="s">
        <v>86</v>
      </c>
      <c r="M63" s="21">
        <v>5</v>
      </c>
      <c r="N63" s="21">
        <f t="shared" si="2"/>
        <v>2864.0479999999998</v>
      </c>
      <c r="O63" s="21">
        <v>14320.24</v>
      </c>
      <c r="P63" s="19">
        <v>60</v>
      </c>
      <c r="Q63" s="20" t="s">
        <v>59</v>
      </c>
      <c r="R63" s="21">
        <v>3</v>
      </c>
      <c r="S63" s="21">
        <f t="shared" si="3"/>
        <v>8186.7599999999993</v>
      </c>
      <c r="T63" s="21">
        <v>24560.28</v>
      </c>
      <c r="U63" s="19">
        <v>60</v>
      </c>
      <c r="V63" s="20" t="s">
        <v>78</v>
      </c>
      <c r="W63" s="21">
        <v>3</v>
      </c>
      <c r="X63" s="21">
        <f t="shared" si="4"/>
        <v>3030.7533333333336</v>
      </c>
      <c r="Y63" s="21">
        <v>9092.26</v>
      </c>
      <c r="Z63" s="19">
        <v>60</v>
      </c>
      <c r="AA63" s="20" t="s">
        <v>92</v>
      </c>
      <c r="AB63" s="21">
        <v>2</v>
      </c>
      <c r="AC63" s="21">
        <f t="shared" si="5"/>
        <v>7520.62</v>
      </c>
      <c r="AD63" s="21">
        <v>15041.24</v>
      </c>
      <c r="AE63" s="19"/>
      <c r="AF63" s="20"/>
      <c r="AG63" s="20"/>
      <c r="AH63" s="20"/>
      <c r="AI63" s="19"/>
      <c r="AJ63" s="20"/>
      <c r="AK63" s="20"/>
      <c r="AL63" s="20"/>
      <c r="AM63" s="19"/>
      <c r="AN63" s="20"/>
      <c r="AO63" s="20"/>
      <c r="AP63" s="20"/>
      <c r="AQ63" s="19"/>
      <c r="AR63" s="20"/>
      <c r="AS63" s="20"/>
      <c r="AT63" s="20"/>
      <c r="AU63" s="19"/>
      <c r="AV63" s="20"/>
      <c r="AW63" s="20"/>
      <c r="AX63" s="20"/>
      <c r="AY63" s="22"/>
      <c r="AZ63" s="23"/>
      <c r="BA63" s="23"/>
      <c r="BB63" s="23"/>
      <c r="BC63" s="19">
        <v>60</v>
      </c>
      <c r="BD63" s="20" t="s">
        <v>52</v>
      </c>
      <c r="BE63" s="21">
        <v>36</v>
      </c>
      <c r="BF63" s="21">
        <f t="shared" si="6"/>
        <v>3743.0652777777777</v>
      </c>
      <c r="BG63" s="21">
        <v>134750.35</v>
      </c>
      <c r="BH63" s="29">
        <f t="shared" si="7"/>
        <v>7.1566308172474802E-4</v>
      </c>
      <c r="BI63" s="29">
        <f t="shared" si="8"/>
        <v>8.0936989191038528E-4</v>
      </c>
    </row>
    <row r="64" spans="1:61" x14ac:dyDescent="0.3">
      <c r="A64" s="19">
        <v>61</v>
      </c>
      <c r="B64" s="20" t="s">
        <v>42</v>
      </c>
      <c r="C64" s="21">
        <v>8</v>
      </c>
      <c r="D64" s="21">
        <f t="shared" si="0"/>
        <v>5364.99125</v>
      </c>
      <c r="E64" s="21">
        <v>42919.93</v>
      </c>
      <c r="F64" s="19">
        <v>61</v>
      </c>
      <c r="G64" s="20" t="s">
        <v>74</v>
      </c>
      <c r="H64" s="21">
        <v>4</v>
      </c>
      <c r="I64" s="21">
        <f t="shared" si="1"/>
        <v>3461.14</v>
      </c>
      <c r="J64" s="21">
        <v>13844.56</v>
      </c>
      <c r="K64" s="19">
        <v>61</v>
      </c>
      <c r="L64" s="20" t="s">
        <v>76</v>
      </c>
      <c r="M64" s="21">
        <v>4</v>
      </c>
      <c r="N64" s="21">
        <f t="shared" si="2"/>
        <v>2795.2049999999999</v>
      </c>
      <c r="O64" s="21">
        <v>11180.82</v>
      </c>
      <c r="P64" s="19">
        <v>61</v>
      </c>
      <c r="Q64" s="20" t="s">
        <v>112</v>
      </c>
      <c r="R64" s="21">
        <v>3</v>
      </c>
      <c r="S64" s="21">
        <f t="shared" si="3"/>
        <v>2661.43</v>
      </c>
      <c r="T64" s="21">
        <v>7984.29</v>
      </c>
      <c r="U64" s="19">
        <v>61</v>
      </c>
      <c r="V64" s="20" t="s">
        <v>41</v>
      </c>
      <c r="W64" s="21">
        <v>3</v>
      </c>
      <c r="X64" s="21">
        <f t="shared" si="4"/>
        <v>5660.1566666666668</v>
      </c>
      <c r="Y64" s="21">
        <v>16980.47</v>
      </c>
      <c r="Z64" s="19">
        <v>61</v>
      </c>
      <c r="AA64" s="20" t="s">
        <v>82</v>
      </c>
      <c r="AB64" s="21">
        <v>1</v>
      </c>
      <c r="AC64" s="21">
        <f t="shared" si="5"/>
        <v>2658.63</v>
      </c>
      <c r="AD64" s="21">
        <v>2658.63</v>
      </c>
      <c r="AE64" s="19"/>
      <c r="AF64" s="20"/>
      <c r="AG64" s="20"/>
      <c r="AH64" s="20"/>
      <c r="AI64" s="19"/>
      <c r="AJ64" s="20"/>
      <c r="AK64" s="20"/>
      <c r="AL64" s="20"/>
      <c r="AM64" s="19"/>
      <c r="AN64" s="20"/>
      <c r="AO64" s="20"/>
      <c r="AP64" s="20"/>
      <c r="AQ64" s="19"/>
      <c r="AR64" s="20"/>
      <c r="AS64" s="20"/>
      <c r="AT64" s="20"/>
      <c r="AU64" s="19"/>
      <c r="AV64" s="20"/>
      <c r="AW64" s="20"/>
      <c r="AX64" s="20"/>
      <c r="AY64" s="22"/>
      <c r="AZ64" s="23"/>
      <c r="BA64" s="23"/>
      <c r="BB64" s="23"/>
      <c r="BC64" s="19">
        <v>61</v>
      </c>
      <c r="BD64" s="20" t="s">
        <v>71</v>
      </c>
      <c r="BE64" s="21">
        <v>35</v>
      </c>
      <c r="BF64" s="21">
        <f t="shared" si="6"/>
        <v>4592.581714285714</v>
      </c>
      <c r="BG64" s="21">
        <v>160740.35999999999</v>
      </c>
      <c r="BH64" s="29">
        <f t="shared" si="7"/>
        <v>6.9578355167683838E-4</v>
      </c>
      <c r="BI64" s="29">
        <f t="shared" si="8"/>
        <v>9.654773275085104E-4</v>
      </c>
    </row>
    <row r="65" spans="1:61" x14ac:dyDescent="0.3">
      <c r="A65" s="19">
        <v>62</v>
      </c>
      <c r="B65" s="20" t="s">
        <v>64</v>
      </c>
      <c r="C65" s="21">
        <v>7</v>
      </c>
      <c r="D65" s="21">
        <f t="shared" si="0"/>
        <v>3650.1542857142858</v>
      </c>
      <c r="E65" s="21">
        <v>25551.08</v>
      </c>
      <c r="F65" s="19">
        <v>62</v>
      </c>
      <c r="G65" s="20" t="s">
        <v>78</v>
      </c>
      <c r="H65" s="21">
        <v>4</v>
      </c>
      <c r="I65" s="21">
        <f t="shared" si="1"/>
        <v>2818.87</v>
      </c>
      <c r="J65" s="21">
        <v>11275.48</v>
      </c>
      <c r="K65" s="19">
        <v>62</v>
      </c>
      <c r="L65" s="20" t="s">
        <v>93</v>
      </c>
      <c r="M65" s="21">
        <v>4</v>
      </c>
      <c r="N65" s="21">
        <f t="shared" si="2"/>
        <v>4165.1450000000004</v>
      </c>
      <c r="O65" s="21">
        <v>16660.580000000002</v>
      </c>
      <c r="P65" s="19">
        <v>62</v>
      </c>
      <c r="Q65" s="20" t="s">
        <v>84</v>
      </c>
      <c r="R65" s="21">
        <v>3</v>
      </c>
      <c r="S65" s="21">
        <f t="shared" si="3"/>
        <v>5383.5966666666673</v>
      </c>
      <c r="T65" s="21">
        <v>16150.79</v>
      </c>
      <c r="U65" s="19">
        <v>62</v>
      </c>
      <c r="V65" s="20" t="s">
        <v>95</v>
      </c>
      <c r="W65" s="21">
        <v>3</v>
      </c>
      <c r="X65" s="21">
        <f t="shared" si="4"/>
        <v>3053.06</v>
      </c>
      <c r="Y65" s="21">
        <v>9159.18</v>
      </c>
      <c r="Z65" s="19"/>
      <c r="AA65" s="20"/>
      <c r="AB65" s="21"/>
      <c r="AC65" s="21"/>
      <c r="AD65" s="21"/>
      <c r="AE65" s="19"/>
      <c r="AF65" s="20"/>
      <c r="AG65" s="20"/>
      <c r="AH65" s="20"/>
      <c r="AI65" s="19"/>
      <c r="AJ65" s="20"/>
      <c r="AK65" s="20"/>
      <c r="AL65" s="20"/>
      <c r="AM65" s="19"/>
      <c r="AN65" s="20"/>
      <c r="AO65" s="20"/>
      <c r="AP65" s="20"/>
      <c r="AQ65" s="19"/>
      <c r="AR65" s="20"/>
      <c r="AS65" s="20"/>
      <c r="AT65" s="20"/>
      <c r="AU65" s="19"/>
      <c r="AV65" s="20"/>
      <c r="AW65" s="20"/>
      <c r="AX65" s="20"/>
      <c r="AY65" s="22"/>
      <c r="AZ65" s="23"/>
      <c r="BA65" s="23"/>
      <c r="BB65" s="23"/>
      <c r="BC65" s="19">
        <v>62</v>
      </c>
      <c r="BD65" s="20" t="s">
        <v>65</v>
      </c>
      <c r="BE65" s="21">
        <v>33</v>
      </c>
      <c r="BF65" s="21">
        <f t="shared" si="6"/>
        <v>4070.1021212121209</v>
      </c>
      <c r="BG65" s="21">
        <v>134313.37</v>
      </c>
      <c r="BH65" s="29">
        <f t="shared" si="7"/>
        <v>6.5602449158101901E-4</v>
      </c>
      <c r="BI65" s="29">
        <f t="shared" si="8"/>
        <v>8.0674519776029944E-4</v>
      </c>
    </row>
    <row r="66" spans="1:61" x14ac:dyDescent="0.3">
      <c r="A66" s="19">
        <v>63</v>
      </c>
      <c r="B66" s="20" t="s">
        <v>35</v>
      </c>
      <c r="C66" s="21">
        <v>7</v>
      </c>
      <c r="D66" s="21">
        <f t="shared" si="0"/>
        <v>6365.6042857142866</v>
      </c>
      <c r="E66" s="21">
        <v>44559.23</v>
      </c>
      <c r="F66" s="19">
        <v>63</v>
      </c>
      <c r="G66" s="20" t="s">
        <v>94</v>
      </c>
      <c r="H66" s="21">
        <v>4</v>
      </c>
      <c r="I66" s="21">
        <f t="shared" si="1"/>
        <v>4921.0924999999997</v>
      </c>
      <c r="J66" s="21">
        <v>19684.37</v>
      </c>
      <c r="K66" s="19">
        <v>63</v>
      </c>
      <c r="L66" s="20" t="s">
        <v>78</v>
      </c>
      <c r="M66" s="21">
        <v>4</v>
      </c>
      <c r="N66" s="21">
        <f t="shared" si="2"/>
        <v>7956.92</v>
      </c>
      <c r="O66" s="21">
        <v>31827.68</v>
      </c>
      <c r="P66" s="19">
        <v>63</v>
      </c>
      <c r="Q66" s="20" t="s">
        <v>52</v>
      </c>
      <c r="R66" s="21">
        <v>2</v>
      </c>
      <c r="S66" s="21">
        <f t="shared" si="3"/>
        <v>4088.5</v>
      </c>
      <c r="T66" s="21">
        <v>8177</v>
      </c>
      <c r="U66" s="19">
        <v>63</v>
      </c>
      <c r="V66" s="20" t="s">
        <v>96</v>
      </c>
      <c r="W66" s="21">
        <v>2</v>
      </c>
      <c r="X66" s="21">
        <f t="shared" si="4"/>
        <v>3973.3049999999998</v>
      </c>
      <c r="Y66" s="21">
        <v>7946.61</v>
      </c>
      <c r="Z66" s="19"/>
      <c r="AA66" s="20"/>
      <c r="AB66" s="21"/>
      <c r="AC66" s="21"/>
      <c r="AD66" s="21"/>
      <c r="AE66" s="19"/>
      <c r="AF66" s="20"/>
      <c r="AG66" s="20"/>
      <c r="AH66" s="20"/>
      <c r="AI66" s="19"/>
      <c r="AJ66" s="20"/>
      <c r="AK66" s="20"/>
      <c r="AL66" s="20"/>
      <c r="AM66" s="19"/>
      <c r="AN66" s="20"/>
      <c r="AO66" s="20"/>
      <c r="AP66" s="20"/>
      <c r="AQ66" s="19"/>
      <c r="AR66" s="20"/>
      <c r="AS66" s="20"/>
      <c r="AT66" s="20"/>
      <c r="AU66" s="19"/>
      <c r="AV66" s="20"/>
      <c r="AW66" s="20"/>
      <c r="AX66" s="20"/>
      <c r="AY66" s="22"/>
      <c r="AZ66" s="23"/>
      <c r="BA66" s="23"/>
      <c r="BB66" s="23"/>
      <c r="BC66" s="19">
        <v>63</v>
      </c>
      <c r="BD66" s="20" t="s">
        <v>68</v>
      </c>
      <c r="BE66" s="21">
        <v>30</v>
      </c>
      <c r="BF66" s="21">
        <f t="shared" si="6"/>
        <v>4041.6863333333331</v>
      </c>
      <c r="BG66" s="21">
        <v>121250.59</v>
      </c>
      <c r="BH66" s="29">
        <f t="shared" si="7"/>
        <v>5.9638590143729E-4</v>
      </c>
      <c r="BI66" s="29">
        <f t="shared" si="8"/>
        <v>7.2828439349040968E-4</v>
      </c>
    </row>
    <row r="67" spans="1:61" x14ac:dyDescent="0.3">
      <c r="A67" s="19">
        <v>64</v>
      </c>
      <c r="B67" s="20" t="s">
        <v>86</v>
      </c>
      <c r="C67" s="21">
        <v>6</v>
      </c>
      <c r="D67" s="21">
        <f t="shared" si="0"/>
        <v>3824.39</v>
      </c>
      <c r="E67" s="21">
        <v>22946.34</v>
      </c>
      <c r="F67" s="19">
        <v>64</v>
      </c>
      <c r="G67" s="20" t="s">
        <v>91</v>
      </c>
      <c r="H67" s="21">
        <v>3</v>
      </c>
      <c r="I67" s="21">
        <f t="shared" si="1"/>
        <v>3528.0633333333335</v>
      </c>
      <c r="J67" s="21">
        <v>10584.19</v>
      </c>
      <c r="K67" s="19">
        <v>64</v>
      </c>
      <c r="L67" s="20" t="s">
        <v>79</v>
      </c>
      <c r="M67" s="21">
        <v>2</v>
      </c>
      <c r="N67" s="21">
        <f t="shared" si="2"/>
        <v>2812.46</v>
      </c>
      <c r="O67" s="21">
        <v>5624.92</v>
      </c>
      <c r="P67" s="19">
        <v>64</v>
      </c>
      <c r="Q67" s="20" t="s">
        <v>69</v>
      </c>
      <c r="R67" s="21">
        <v>2</v>
      </c>
      <c r="S67" s="21">
        <f t="shared" si="3"/>
        <v>3016.14</v>
      </c>
      <c r="T67" s="21">
        <v>6032.28</v>
      </c>
      <c r="U67" s="19">
        <v>64</v>
      </c>
      <c r="V67" s="20" t="s">
        <v>99</v>
      </c>
      <c r="W67" s="21">
        <v>2</v>
      </c>
      <c r="X67" s="21">
        <f t="shared" si="4"/>
        <v>3357.49</v>
      </c>
      <c r="Y67" s="21">
        <v>6714.98</v>
      </c>
      <c r="Z67" s="19"/>
      <c r="AA67" s="20"/>
      <c r="AB67" s="21"/>
      <c r="AC67" s="21"/>
      <c r="AD67" s="21"/>
      <c r="AE67" s="19"/>
      <c r="AF67" s="20"/>
      <c r="AG67" s="20"/>
      <c r="AH67" s="20"/>
      <c r="AI67" s="19"/>
      <c r="AJ67" s="20"/>
      <c r="AK67" s="20"/>
      <c r="AL67" s="20"/>
      <c r="AM67" s="19"/>
      <c r="AN67" s="20"/>
      <c r="AO67" s="20"/>
      <c r="AP67" s="20"/>
      <c r="AQ67" s="19"/>
      <c r="AR67" s="20"/>
      <c r="AS67" s="20"/>
      <c r="AT67" s="20"/>
      <c r="AU67" s="19"/>
      <c r="AV67" s="20"/>
      <c r="AW67" s="20"/>
      <c r="AX67" s="20"/>
      <c r="AY67" s="22"/>
      <c r="AZ67" s="23"/>
      <c r="BA67" s="23"/>
      <c r="BB67" s="23"/>
      <c r="BC67" s="19">
        <v>64</v>
      </c>
      <c r="BD67" s="20" t="s">
        <v>48</v>
      </c>
      <c r="BE67" s="21">
        <v>28</v>
      </c>
      <c r="BF67" s="21">
        <f t="shared" si="6"/>
        <v>3027.07</v>
      </c>
      <c r="BG67" s="21">
        <v>84757.96</v>
      </c>
      <c r="BH67" s="29">
        <f t="shared" si="7"/>
        <v>5.5662684134147073E-4</v>
      </c>
      <c r="BI67" s="29">
        <f t="shared" si="8"/>
        <v>5.0909360104626632E-4</v>
      </c>
    </row>
    <row r="68" spans="1:61" x14ac:dyDescent="0.3">
      <c r="A68" s="19">
        <v>65</v>
      </c>
      <c r="B68" s="20" t="s">
        <v>65</v>
      </c>
      <c r="C68" s="21">
        <v>6</v>
      </c>
      <c r="D68" s="21">
        <f t="shared" ref="D68:D88" si="9">IFERROR(E68/C68,0)</f>
        <v>4278.6400000000003</v>
      </c>
      <c r="E68" s="21">
        <v>25671.84</v>
      </c>
      <c r="F68" s="19">
        <v>65</v>
      </c>
      <c r="G68" s="20" t="s">
        <v>97</v>
      </c>
      <c r="H68" s="21">
        <v>3</v>
      </c>
      <c r="I68" s="21">
        <f t="shared" ref="I68:I75" si="10">IFERROR(J68/H68,0)</f>
        <v>8500.3700000000008</v>
      </c>
      <c r="J68" s="21">
        <v>25501.11</v>
      </c>
      <c r="K68" s="19">
        <v>65</v>
      </c>
      <c r="L68" s="20" t="s">
        <v>98</v>
      </c>
      <c r="M68" s="21">
        <v>2</v>
      </c>
      <c r="N68" s="21">
        <f t="shared" ref="N68:N73" si="11">IFERROR(O68/M68,0)</f>
        <v>2803.74</v>
      </c>
      <c r="O68" s="21">
        <v>5607.48</v>
      </c>
      <c r="P68" s="19">
        <v>65</v>
      </c>
      <c r="Q68" s="20" t="s">
        <v>62</v>
      </c>
      <c r="R68" s="21">
        <v>2</v>
      </c>
      <c r="S68" s="21">
        <f t="shared" ref="S68:S71" si="12">IFERROR(T68/R68,0)</f>
        <v>3016.14</v>
      </c>
      <c r="T68" s="21">
        <v>6032.28</v>
      </c>
      <c r="U68" s="19">
        <v>65</v>
      </c>
      <c r="V68" s="20" t="s">
        <v>84</v>
      </c>
      <c r="W68" s="21">
        <v>2</v>
      </c>
      <c r="X68" s="21">
        <f t="shared" ref="X68" si="13">IFERROR(Y68/W68,0)</f>
        <v>3461.29</v>
      </c>
      <c r="Y68" s="21">
        <v>6922.58</v>
      </c>
      <c r="Z68" s="19"/>
      <c r="AA68" s="20"/>
      <c r="AB68" s="21"/>
      <c r="AC68" s="21"/>
      <c r="AD68" s="21"/>
      <c r="AE68" s="19"/>
      <c r="AF68" s="20"/>
      <c r="AG68" s="20"/>
      <c r="AH68" s="20"/>
      <c r="AI68" s="19"/>
      <c r="AJ68" s="20"/>
      <c r="AK68" s="20"/>
      <c r="AL68" s="20"/>
      <c r="AM68" s="19"/>
      <c r="AN68" s="20"/>
      <c r="AO68" s="20"/>
      <c r="AP68" s="20"/>
      <c r="AQ68" s="19"/>
      <c r="AR68" s="20"/>
      <c r="AS68" s="20"/>
      <c r="AT68" s="20"/>
      <c r="AU68" s="19"/>
      <c r="AV68" s="20"/>
      <c r="AW68" s="20"/>
      <c r="AX68" s="20"/>
      <c r="AY68" s="22"/>
      <c r="AZ68" s="23"/>
      <c r="BA68" s="23"/>
      <c r="BB68" s="23"/>
      <c r="BC68" s="19">
        <v>65</v>
      </c>
      <c r="BD68" s="20" t="s">
        <v>75</v>
      </c>
      <c r="BE68" s="21">
        <v>27</v>
      </c>
      <c r="BF68" s="21">
        <f t="shared" ref="BF68:BF109" si="14">IFERROR(BG68/BE68,0)</f>
        <v>8815.8192592592586</v>
      </c>
      <c r="BG68" s="21">
        <v>238027.12</v>
      </c>
      <c r="BH68" s="29">
        <f t="shared" si="7"/>
        <v>5.3674731129356099E-4</v>
      </c>
      <c r="BI68" s="29">
        <f t="shared" si="8"/>
        <v>1.4296956140458284E-3</v>
      </c>
    </row>
    <row r="69" spans="1:61" x14ac:dyDescent="0.3">
      <c r="A69" s="19">
        <v>66</v>
      </c>
      <c r="B69" s="20" t="s">
        <v>61</v>
      </c>
      <c r="C69" s="21">
        <v>6</v>
      </c>
      <c r="D69" s="21">
        <f t="shared" si="9"/>
        <v>4103.9116666666669</v>
      </c>
      <c r="E69" s="21">
        <v>24623.47</v>
      </c>
      <c r="F69" s="19">
        <v>66</v>
      </c>
      <c r="G69" s="20" t="s">
        <v>100</v>
      </c>
      <c r="H69" s="21">
        <v>3</v>
      </c>
      <c r="I69" s="21">
        <f t="shared" si="10"/>
        <v>8187.6699999999992</v>
      </c>
      <c r="J69" s="21">
        <v>24563.01</v>
      </c>
      <c r="K69" s="19">
        <v>66</v>
      </c>
      <c r="L69" s="20" t="s">
        <v>101</v>
      </c>
      <c r="M69" s="21">
        <v>2</v>
      </c>
      <c r="N69" s="21">
        <f t="shared" si="11"/>
        <v>3936.11</v>
      </c>
      <c r="O69" s="21">
        <v>7872.22</v>
      </c>
      <c r="P69" s="19">
        <v>66</v>
      </c>
      <c r="Q69" s="20" t="s">
        <v>51</v>
      </c>
      <c r="R69" s="21">
        <v>2</v>
      </c>
      <c r="S69" s="21">
        <f t="shared" si="12"/>
        <v>13051.26</v>
      </c>
      <c r="T69" s="21">
        <v>26102.52</v>
      </c>
      <c r="U69" s="19">
        <v>66</v>
      </c>
      <c r="V69" s="20" t="s">
        <v>66</v>
      </c>
      <c r="W69" s="21">
        <v>2</v>
      </c>
      <c r="X69" s="21">
        <v>3818.35</v>
      </c>
      <c r="Y69" s="21">
        <v>7636.7</v>
      </c>
      <c r="Z69" s="19"/>
      <c r="AA69" s="20"/>
      <c r="AB69" s="21"/>
      <c r="AC69" s="21"/>
      <c r="AD69" s="21"/>
      <c r="AE69" s="19"/>
      <c r="AF69" s="20"/>
      <c r="AG69" s="20"/>
      <c r="AH69" s="20"/>
      <c r="AI69" s="19"/>
      <c r="AJ69" s="20"/>
      <c r="AK69" s="20"/>
      <c r="AL69" s="20"/>
      <c r="AM69" s="19"/>
      <c r="AN69" s="20"/>
      <c r="AO69" s="20"/>
      <c r="AP69" s="20"/>
      <c r="AQ69" s="19"/>
      <c r="AR69" s="20"/>
      <c r="AS69" s="20"/>
      <c r="AT69" s="20"/>
      <c r="AU69" s="19"/>
      <c r="AV69" s="20"/>
      <c r="AW69" s="20"/>
      <c r="AX69" s="20"/>
      <c r="AY69" s="22"/>
      <c r="AZ69" s="23"/>
      <c r="BA69" s="23"/>
      <c r="BB69" s="23"/>
      <c r="BC69" s="19">
        <v>66</v>
      </c>
      <c r="BD69" s="20" t="s">
        <v>67</v>
      </c>
      <c r="BE69" s="21">
        <v>26</v>
      </c>
      <c r="BF69" s="21">
        <f t="shared" si="14"/>
        <v>3646.4765384615384</v>
      </c>
      <c r="BG69" s="21">
        <v>94808.39</v>
      </c>
      <c r="BH69" s="29">
        <f t="shared" ref="BH69:BH109" si="15">BE69/$BE$3</f>
        <v>5.1686778124565135E-4</v>
      </c>
      <c r="BI69" s="29">
        <f t="shared" ref="BI69:BI109" si="16">BG69/$BG$3</f>
        <v>5.694609057898376E-4</v>
      </c>
    </row>
    <row r="70" spans="1:61" x14ac:dyDescent="0.3">
      <c r="A70" s="19">
        <v>67</v>
      </c>
      <c r="B70" s="20" t="s">
        <v>67</v>
      </c>
      <c r="C70" s="21">
        <v>5</v>
      </c>
      <c r="D70" s="21">
        <f t="shared" si="9"/>
        <v>3190.5240000000003</v>
      </c>
      <c r="E70" s="21">
        <v>15952.62</v>
      </c>
      <c r="F70" s="19">
        <v>67</v>
      </c>
      <c r="G70" s="20" t="s">
        <v>67</v>
      </c>
      <c r="H70" s="21">
        <v>2</v>
      </c>
      <c r="I70" s="21">
        <f t="shared" si="10"/>
        <v>3355.2649999999999</v>
      </c>
      <c r="J70" s="21">
        <v>6710.53</v>
      </c>
      <c r="K70" s="19">
        <v>67</v>
      </c>
      <c r="L70" s="20" t="s">
        <v>50</v>
      </c>
      <c r="M70" s="21">
        <v>2</v>
      </c>
      <c r="N70" s="21">
        <f t="shared" si="11"/>
        <v>2995.05</v>
      </c>
      <c r="O70" s="21">
        <v>5990.1</v>
      </c>
      <c r="P70" s="19">
        <v>67</v>
      </c>
      <c r="Q70" s="20" t="s">
        <v>29</v>
      </c>
      <c r="R70" s="21">
        <v>1</v>
      </c>
      <c r="S70" s="21">
        <f t="shared" si="12"/>
        <v>3279.42</v>
      </c>
      <c r="T70" s="21">
        <v>3279.42</v>
      </c>
      <c r="U70" s="19">
        <v>67</v>
      </c>
      <c r="V70" s="20" t="s">
        <v>103</v>
      </c>
      <c r="W70" s="21">
        <v>2</v>
      </c>
      <c r="X70" s="21">
        <v>6542.06</v>
      </c>
      <c r="Y70" s="21">
        <v>13084.12</v>
      </c>
      <c r="Z70" s="19"/>
      <c r="AA70" s="20"/>
      <c r="AB70" s="21"/>
      <c r="AC70" s="21"/>
      <c r="AD70" s="21"/>
      <c r="AE70" s="19"/>
      <c r="AF70" s="20"/>
      <c r="AG70" s="20"/>
      <c r="AH70" s="20"/>
      <c r="AI70" s="19"/>
      <c r="AJ70" s="20"/>
      <c r="AK70" s="20"/>
      <c r="AL70" s="20"/>
      <c r="AM70" s="19"/>
      <c r="AN70" s="20"/>
      <c r="AO70" s="20"/>
      <c r="AP70" s="20"/>
      <c r="AQ70" s="19"/>
      <c r="AR70" s="20"/>
      <c r="AS70" s="20"/>
      <c r="AT70" s="20"/>
      <c r="AU70" s="19"/>
      <c r="AV70" s="20"/>
      <c r="AW70" s="20"/>
      <c r="AX70" s="20"/>
      <c r="AY70" s="22"/>
      <c r="AZ70" s="23"/>
      <c r="BA70" s="23"/>
      <c r="BB70" s="23"/>
      <c r="BC70" s="19">
        <v>67</v>
      </c>
      <c r="BD70" s="20" t="s">
        <v>69</v>
      </c>
      <c r="BE70" s="21">
        <v>26</v>
      </c>
      <c r="BF70" s="21">
        <f t="shared" si="14"/>
        <v>3436.0684615384616</v>
      </c>
      <c r="BG70" s="21">
        <v>89337.78</v>
      </c>
      <c r="BH70" s="29">
        <f t="shared" si="15"/>
        <v>5.1686778124565135E-4</v>
      </c>
      <c r="BI70" s="29">
        <f t="shared" si="16"/>
        <v>5.3660201507538773E-4</v>
      </c>
    </row>
    <row r="71" spans="1:61" x14ac:dyDescent="0.3">
      <c r="A71" s="19">
        <v>68</v>
      </c>
      <c r="B71" s="20" t="s">
        <v>102</v>
      </c>
      <c r="C71" s="21">
        <v>5</v>
      </c>
      <c r="D71" s="21">
        <f t="shared" si="9"/>
        <v>4601.2</v>
      </c>
      <c r="E71" s="21">
        <v>23006</v>
      </c>
      <c r="F71" s="19">
        <v>68</v>
      </c>
      <c r="G71" s="20" t="s">
        <v>71</v>
      </c>
      <c r="H71" s="21">
        <v>2</v>
      </c>
      <c r="I71" s="21">
        <f t="shared" si="10"/>
        <v>6168.01</v>
      </c>
      <c r="J71" s="21">
        <v>12336.02</v>
      </c>
      <c r="K71" s="19">
        <v>68</v>
      </c>
      <c r="L71" s="20" t="s">
        <v>66</v>
      </c>
      <c r="M71" s="21">
        <v>2</v>
      </c>
      <c r="N71" s="21">
        <f t="shared" si="11"/>
        <v>3994.15</v>
      </c>
      <c r="O71" s="21">
        <v>7988.3</v>
      </c>
      <c r="P71" s="19">
        <v>68</v>
      </c>
      <c r="Q71" s="20" t="s">
        <v>88</v>
      </c>
      <c r="R71" s="21">
        <v>1</v>
      </c>
      <c r="S71" s="21">
        <f t="shared" si="12"/>
        <v>2661.44</v>
      </c>
      <c r="T71" s="21">
        <v>2661.44</v>
      </c>
      <c r="U71" s="19">
        <v>68</v>
      </c>
      <c r="V71" s="20" t="s">
        <v>63</v>
      </c>
      <c r="W71" s="21">
        <v>1</v>
      </c>
      <c r="X71" s="21">
        <v>4771.1099999999997</v>
      </c>
      <c r="Y71" s="21">
        <v>4771.1099999999997</v>
      </c>
      <c r="Z71" s="19"/>
      <c r="AA71" s="20"/>
      <c r="AB71" s="21"/>
      <c r="AC71" s="21"/>
      <c r="AD71" s="21"/>
      <c r="AE71" s="19"/>
      <c r="AF71" s="20"/>
      <c r="AG71" s="20"/>
      <c r="AH71" s="20"/>
      <c r="AI71" s="19"/>
      <c r="AJ71" s="20"/>
      <c r="AK71" s="20"/>
      <c r="AL71" s="20"/>
      <c r="AM71" s="19"/>
      <c r="AN71" s="20"/>
      <c r="AO71" s="20"/>
      <c r="AP71" s="20"/>
      <c r="AQ71" s="19"/>
      <c r="AR71" s="20"/>
      <c r="AS71" s="20"/>
      <c r="AT71" s="20"/>
      <c r="AU71" s="19"/>
      <c r="AV71" s="20"/>
      <c r="AW71" s="20"/>
      <c r="AX71" s="20"/>
      <c r="AY71" s="22"/>
      <c r="AZ71" s="23"/>
      <c r="BA71" s="23"/>
      <c r="BB71" s="23"/>
      <c r="BC71" s="19">
        <v>68</v>
      </c>
      <c r="BD71" s="20" t="s">
        <v>77</v>
      </c>
      <c r="BE71" s="21">
        <v>26</v>
      </c>
      <c r="BF71" s="21">
        <f t="shared" si="14"/>
        <v>3843.8061538461543</v>
      </c>
      <c r="BG71" s="21">
        <v>99938.96</v>
      </c>
      <c r="BH71" s="29">
        <f t="shared" si="15"/>
        <v>5.1686778124565135E-4</v>
      </c>
      <c r="BI71" s="29">
        <f t="shared" si="16"/>
        <v>6.0027736664755463E-4</v>
      </c>
    </row>
    <row r="72" spans="1:61" x14ac:dyDescent="0.3">
      <c r="A72" s="19">
        <v>69</v>
      </c>
      <c r="B72" s="20" t="s">
        <v>95</v>
      </c>
      <c r="C72" s="21">
        <v>5</v>
      </c>
      <c r="D72" s="21">
        <f t="shared" si="9"/>
        <v>3098.922</v>
      </c>
      <c r="E72" s="21">
        <v>15494.61</v>
      </c>
      <c r="F72" s="19">
        <v>69</v>
      </c>
      <c r="G72" s="20" t="s">
        <v>69</v>
      </c>
      <c r="H72" s="21">
        <v>2</v>
      </c>
      <c r="I72" s="21">
        <f t="shared" si="10"/>
        <v>3052.67</v>
      </c>
      <c r="J72" s="21">
        <v>6105.34</v>
      </c>
      <c r="K72" s="19">
        <v>69</v>
      </c>
      <c r="L72" s="20" t="s">
        <v>73</v>
      </c>
      <c r="M72" s="21">
        <v>1</v>
      </c>
      <c r="N72" s="21">
        <f t="shared" si="11"/>
        <v>4475.0200000000004</v>
      </c>
      <c r="O72" s="21">
        <v>4475.0200000000004</v>
      </c>
      <c r="P72" s="19"/>
      <c r="Q72" s="20"/>
      <c r="R72" s="21"/>
      <c r="S72" s="21"/>
      <c r="T72" s="21"/>
      <c r="U72" s="19">
        <v>69</v>
      </c>
      <c r="V72" s="20" t="s">
        <v>90</v>
      </c>
      <c r="W72" s="21">
        <v>1</v>
      </c>
      <c r="X72" s="21">
        <v>3643.5</v>
      </c>
      <c r="Y72" s="21">
        <v>3643.5</v>
      </c>
      <c r="Z72" s="19"/>
      <c r="AA72" s="20"/>
      <c r="AB72" s="21"/>
      <c r="AC72" s="21"/>
      <c r="AD72" s="21"/>
      <c r="AE72" s="19"/>
      <c r="AF72" s="20"/>
      <c r="AG72" s="20"/>
      <c r="AH72" s="20"/>
      <c r="AI72" s="19"/>
      <c r="AJ72" s="20"/>
      <c r="AK72" s="20"/>
      <c r="AL72" s="20"/>
      <c r="AM72" s="19"/>
      <c r="AN72" s="20"/>
      <c r="AO72" s="20"/>
      <c r="AP72" s="20"/>
      <c r="AQ72" s="19"/>
      <c r="AR72" s="20"/>
      <c r="AS72" s="20"/>
      <c r="AT72" s="20"/>
      <c r="AU72" s="19"/>
      <c r="AV72" s="20"/>
      <c r="AW72" s="20"/>
      <c r="AX72" s="20"/>
      <c r="AY72" s="22"/>
      <c r="AZ72" s="23"/>
      <c r="BA72" s="23"/>
      <c r="BB72" s="23"/>
      <c r="BC72" s="19">
        <v>69</v>
      </c>
      <c r="BD72" s="20" t="s">
        <v>73</v>
      </c>
      <c r="BE72" s="21">
        <v>25</v>
      </c>
      <c r="BF72" s="21">
        <f t="shared" si="14"/>
        <v>3859.9284000000002</v>
      </c>
      <c r="BG72" s="21">
        <v>96498.21</v>
      </c>
      <c r="BH72" s="29">
        <f t="shared" si="15"/>
        <v>4.9698825119774172E-4</v>
      </c>
      <c r="BI72" s="29">
        <f t="shared" si="16"/>
        <v>5.7961070822632865E-4</v>
      </c>
    </row>
    <row r="73" spans="1:61" x14ac:dyDescent="0.3">
      <c r="A73" s="19">
        <v>70</v>
      </c>
      <c r="B73" s="20" t="s">
        <v>98</v>
      </c>
      <c r="C73" s="21">
        <v>4</v>
      </c>
      <c r="D73" s="21">
        <f t="shared" si="9"/>
        <v>3564.06</v>
      </c>
      <c r="E73" s="21">
        <v>14256.24</v>
      </c>
      <c r="F73" s="19">
        <v>70</v>
      </c>
      <c r="G73" s="20" t="s">
        <v>76</v>
      </c>
      <c r="H73" s="21">
        <v>1</v>
      </c>
      <c r="I73" s="21">
        <f t="shared" si="10"/>
        <v>3612.32</v>
      </c>
      <c r="J73" s="21">
        <v>3612.32</v>
      </c>
      <c r="K73" s="19">
        <v>70</v>
      </c>
      <c r="L73" s="20" t="s">
        <v>60</v>
      </c>
      <c r="M73" s="21">
        <v>1</v>
      </c>
      <c r="N73" s="21">
        <f t="shared" si="11"/>
        <v>3200.59</v>
      </c>
      <c r="O73" s="21">
        <v>3200.59</v>
      </c>
      <c r="P73" s="19"/>
      <c r="Q73" s="20"/>
      <c r="R73" s="21"/>
      <c r="S73" s="21"/>
      <c r="T73" s="21"/>
      <c r="U73" s="19">
        <v>70</v>
      </c>
      <c r="V73" s="20" t="s">
        <v>22</v>
      </c>
      <c r="W73" s="21">
        <v>1</v>
      </c>
      <c r="X73" s="21">
        <v>3654.93</v>
      </c>
      <c r="Y73" s="21">
        <v>3654.93</v>
      </c>
      <c r="Z73" s="19"/>
      <c r="AA73" s="20"/>
      <c r="AB73" s="21"/>
      <c r="AC73" s="21"/>
      <c r="AD73" s="21"/>
      <c r="AE73" s="19"/>
      <c r="AF73" s="20"/>
      <c r="AG73" s="20"/>
      <c r="AH73" s="20"/>
      <c r="AI73" s="19"/>
      <c r="AJ73" s="20"/>
      <c r="AK73" s="20"/>
      <c r="AL73" s="20"/>
      <c r="AM73" s="19"/>
      <c r="AN73" s="20"/>
      <c r="AO73" s="20"/>
      <c r="AP73" s="20"/>
      <c r="AQ73" s="19"/>
      <c r="AR73" s="20"/>
      <c r="AS73" s="20"/>
      <c r="AT73" s="20"/>
      <c r="AU73" s="19"/>
      <c r="AV73" s="20"/>
      <c r="AW73" s="20"/>
      <c r="AX73" s="20"/>
      <c r="AY73" s="22"/>
      <c r="AZ73" s="23"/>
      <c r="BA73" s="23"/>
      <c r="BB73" s="23"/>
      <c r="BC73" s="19">
        <v>70</v>
      </c>
      <c r="BD73" s="20" t="s">
        <v>55</v>
      </c>
      <c r="BE73" s="21">
        <v>25</v>
      </c>
      <c r="BF73" s="21">
        <f t="shared" si="14"/>
        <v>2835.8535999999999</v>
      </c>
      <c r="BG73" s="21">
        <v>70896.34</v>
      </c>
      <c r="BH73" s="29">
        <f t="shared" si="15"/>
        <v>4.9698825119774172E-4</v>
      </c>
      <c r="BI73" s="29">
        <f t="shared" si="16"/>
        <v>4.2583461224881359E-4</v>
      </c>
    </row>
    <row r="74" spans="1:61" x14ac:dyDescent="0.3">
      <c r="A74" s="19">
        <v>71</v>
      </c>
      <c r="B74" s="20" t="s">
        <v>71</v>
      </c>
      <c r="C74" s="21">
        <v>4</v>
      </c>
      <c r="D74" s="21">
        <f t="shared" si="9"/>
        <v>5654.7449999999999</v>
      </c>
      <c r="E74" s="21">
        <v>22618.98</v>
      </c>
      <c r="F74" s="19">
        <v>71</v>
      </c>
      <c r="G74" s="20" t="s">
        <v>98</v>
      </c>
      <c r="H74" s="21">
        <v>1</v>
      </c>
      <c r="I74" s="21">
        <f t="shared" si="10"/>
        <v>2803.74</v>
      </c>
      <c r="J74" s="21">
        <v>2803.74</v>
      </c>
      <c r="K74" s="19"/>
      <c r="L74" s="20"/>
      <c r="M74" s="21"/>
      <c r="N74" s="21"/>
      <c r="O74" s="21"/>
      <c r="P74" s="19"/>
      <c r="Q74" s="20"/>
      <c r="R74" s="21"/>
      <c r="S74" s="21"/>
      <c r="T74" s="21"/>
      <c r="U74" s="19"/>
      <c r="V74" s="20"/>
      <c r="W74" s="20"/>
      <c r="X74" s="21"/>
      <c r="Y74" s="20"/>
      <c r="Z74" s="19"/>
      <c r="AA74" s="20"/>
      <c r="AB74" s="21"/>
      <c r="AC74" s="21"/>
      <c r="AD74" s="21"/>
      <c r="AE74" s="19"/>
      <c r="AF74" s="20"/>
      <c r="AG74" s="20"/>
      <c r="AH74" s="20"/>
      <c r="AI74" s="19"/>
      <c r="AJ74" s="20"/>
      <c r="AK74" s="20"/>
      <c r="AL74" s="20"/>
      <c r="AM74" s="19"/>
      <c r="AN74" s="20"/>
      <c r="AO74" s="20"/>
      <c r="AP74" s="20"/>
      <c r="AQ74" s="19"/>
      <c r="AR74" s="20"/>
      <c r="AS74" s="20"/>
      <c r="AT74" s="20"/>
      <c r="AU74" s="19"/>
      <c r="AV74" s="20"/>
      <c r="AW74" s="20"/>
      <c r="AX74" s="20"/>
      <c r="AY74" s="22"/>
      <c r="AZ74" s="23"/>
      <c r="BA74" s="23"/>
      <c r="BB74" s="23"/>
      <c r="BC74" s="19">
        <v>71</v>
      </c>
      <c r="BD74" s="20" t="s">
        <v>84</v>
      </c>
      <c r="BE74" s="21">
        <v>23</v>
      </c>
      <c r="BF74" s="21">
        <f t="shared" si="14"/>
        <v>3438.3347826086956</v>
      </c>
      <c r="BG74" s="21">
        <v>79081.7</v>
      </c>
      <c r="BH74" s="29">
        <f t="shared" si="15"/>
        <v>4.5722919110192234E-4</v>
      </c>
      <c r="BI74" s="29">
        <f t="shared" si="16"/>
        <v>4.7499948594634082E-4</v>
      </c>
    </row>
    <row r="75" spans="1:61" x14ac:dyDescent="0.3">
      <c r="A75" s="19">
        <v>72</v>
      </c>
      <c r="B75" s="20" t="s">
        <v>32</v>
      </c>
      <c r="C75" s="21">
        <v>4</v>
      </c>
      <c r="D75" s="21">
        <f t="shared" si="9"/>
        <v>2777.39</v>
      </c>
      <c r="E75" s="21">
        <v>11109.56</v>
      </c>
      <c r="F75" s="19">
        <v>72</v>
      </c>
      <c r="G75" s="20" t="s">
        <v>66</v>
      </c>
      <c r="H75" s="21">
        <v>1</v>
      </c>
      <c r="I75" s="21">
        <f t="shared" si="10"/>
        <v>3899.8</v>
      </c>
      <c r="J75" s="21">
        <v>3899.8</v>
      </c>
      <c r="K75" s="19"/>
      <c r="L75" s="20"/>
      <c r="M75" s="21"/>
      <c r="N75" s="21"/>
      <c r="O75" s="21"/>
      <c r="P75" s="19"/>
      <c r="Q75" s="20"/>
      <c r="R75" s="20"/>
      <c r="S75" s="20"/>
      <c r="T75" s="20"/>
      <c r="U75" s="19"/>
      <c r="V75" s="20"/>
      <c r="W75" s="20"/>
      <c r="X75" s="20"/>
      <c r="Y75" s="20"/>
      <c r="Z75" s="19"/>
      <c r="AA75" s="20"/>
      <c r="AB75" s="21"/>
      <c r="AC75" s="21"/>
      <c r="AD75" s="21"/>
      <c r="AE75" s="19"/>
      <c r="AF75" s="20"/>
      <c r="AG75" s="20"/>
      <c r="AH75" s="20"/>
      <c r="AI75" s="19"/>
      <c r="AJ75" s="20"/>
      <c r="AK75" s="20"/>
      <c r="AL75" s="20"/>
      <c r="AM75" s="19"/>
      <c r="AN75" s="20"/>
      <c r="AO75" s="20"/>
      <c r="AP75" s="20"/>
      <c r="AQ75" s="19"/>
      <c r="AR75" s="20"/>
      <c r="AS75" s="20"/>
      <c r="AT75" s="20"/>
      <c r="AU75" s="19"/>
      <c r="AV75" s="20"/>
      <c r="AW75" s="20"/>
      <c r="AX75" s="20"/>
      <c r="AY75" s="22"/>
      <c r="AZ75" s="23"/>
      <c r="BA75" s="23"/>
      <c r="BB75" s="23"/>
      <c r="BC75" s="19">
        <v>72</v>
      </c>
      <c r="BD75" s="20" t="s">
        <v>105</v>
      </c>
      <c r="BE75" s="21">
        <v>22</v>
      </c>
      <c r="BF75" s="21">
        <f t="shared" si="14"/>
        <v>3227.5040909090908</v>
      </c>
      <c r="BG75" s="21">
        <v>71005.09</v>
      </c>
      <c r="BH75" s="29">
        <f t="shared" si="15"/>
        <v>4.3734966105401271E-4</v>
      </c>
      <c r="BI75" s="29">
        <f t="shared" si="16"/>
        <v>4.2648781259853628E-4</v>
      </c>
    </row>
    <row r="76" spans="1:61" x14ac:dyDescent="0.3">
      <c r="A76" s="19">
        <v>73</v>
      </c>
      <c r="B76" s="20" t="s">
        <v>91</v>
      </c>
      <c r="C76" s="21">
        <v>4</v>
      </c>
      <c r="D76" s="21">
        <f t="shared" si="9"/>
        <v>3886.1075000000001</v>
      </c>
      <c r="E76" s="21">
        <v>15544.43</v>
      </c>
      <c r="F76" s="19"/>
      <c r="G76" s="20"/>
      <c r="H76" s="21"/>
      <c r="I76" s="21"/>
      <c r="J76" s="21"/>
      <c r="K76" s="19"/>
      <c r="L76" s="20"/>
      <c r="M76" s="21"/>
      <c r="N76" s="21"/>
      <c r="O76" s="21"/>
      <c r="P76" s="19"/>
      <c r="Q76" s="20"/>
      <c r="R76" s="20"/>
      <c r="S76" s="20"/>
      <c r="T76" s="20"/>
      <c r="U76" s="19"/>
      <c r="V76" s="20"/>
      <c r="W76" s="20"/>
      <c r="X76" s="20"/>
      <c r="Y76" s="20"/>
      <c r="Z76" s="19"/>
      <c r="AA76" s="20"/>
      <c r="AB76" s="21"/>
      <c r="AC76" s="21"/>
      <c r="AD76" s="21"/>
      <c r="AE76" s="19"/>
      <c r="AF76" s="20"/>
      <c r="AG76" s="20"/>
      <c r="AH76" s="20"/>
      <c r="AI76" s="19"/>
      <c r="AJ76" s="20"/>
      <c r="AK76" s="20"/>
      <c r="AL76" s="20"/>
      <c r="AM76" s="19"/>
      <c r="AN76" s="20"/>
      <c r="AO76" s="20"/>
      <c r="AP76" s="20"/>
      <c r="AQ76" s="19"/>
      <c r="AR76" s="20"/>
      <c r="AS76" s="20"/>
      <c r="AT76" s="20"/>
      <c r="AU76" s="19"/>
      <c r="AV76" s="20"/>
      <c r="AW76" s="20"/>
      <c r="AX76" s="20"/>
      <c r="AY76" s="22"/>
      <c r="AZ76" s="23"/>
      <c r="BA76" s="23"/>
      <c r="BB76" s="23"/>
      <c r="BC76" s="19">
        <v>73</v>
      </c>
      <c r="BD76" s="20" t="s">
        <v>74</v>
      </c>
      <c r="BE76" s="21">
        <v>22</v>
      </c>
      <c r="BF76" s="21">
        <f t="shared" si="14"/>
        <v>3612.8345454545456</v>
      </c>
      <c r="BG76" s="21">
        <v>79482.36</v>
      </c>
      <c r="BH76" s="29">
        <f t="shared" si="15"/>
        <v>4.3734966105401271E-4</v>
      </c>
      <c r="BI76" s="29">
        <f t="shared" si="16"/>
        <v>4.7740602619571919E-4</v>
      </c>
    </row>
    <row r="77" spans="1:61" x14ac:dyDescent="0.3">
      <c r="A77" s="19">
        <v>74</v>
      </c>
      <c r="B77" s="20" t="s">
        <v>75</v>
      </c>
      <c r="C77" s="21">
        <v>4</v>
      </c>
      <c r="D77" s="21">
        <f t="shared" si="9"/>
        <v>28012.32</v>
      </c>
      <c r="E77" s="21">
        <v>112049.28</v>
      </c>
      <c r="F77" s="19"/>
      <c r="G77" s="20"/>
      <c r="H77" s="21"/>
      <c r="I77" s="21"/>
      <c r="J77" s="21"/>
      <c r="K77" s="19"/>
      <c r="L77" s="20"/>
      <c r="M77" s="21"/>
      <c r="N77" s="21"/>
      <c r="O77" s="21"/>
      <c r="P77" s="19"/>
      <c r="Q77" s="20"/>
      <c r="R77" s="20"/>
      <c r="S77" s="20"/>
      <c r="T77" s="20"/>
      <c r="U77" s="19"/>
      <c r="V77" s="20"/>
      <c r="W77" s="20"/>
      <c r="X77" s="20"/>
      <c r="Y77" s="20"/>
      <c r="Z77" s="19"/>
      <c r="AA77" s="20"/>
      <c r="AB77" s="21"/>
      <c r="AC77" s="21"/>
      <c r="AD77" s="21"/>
      <c r="AE77" s="19"/>
      <c r="AF77" s="20"/>
      <c r="AG77" s="20"/>
      <c r="AH77" s="20"/>
      <c r="AI77" s="19"/>
      <c r="AJ77" s="20"/>
      <c r="AK77" s="20"/>
      <c r="AL77" s="20"/>
      <c r="AM77" s="19"/>
      <c r="AN77" s="20"/>
      <c r="AO77" s="20"/>
      <c r="AP77" s="20"/>
      <c r="AQ77" s="19"/>
      <c r="AR77" s="20"/>
      <c r="AS77" s="20"/>
      <c r="AT77" s="20"/>
      <c r="AU77" s="19"/>
      <c r="AV77" s="20"/>
      <c r="AW77" s="20"/>
      <c r="AX77" s="20"/>
      <c r="AY77" s="22"/>
      <c r="AZ77" s="23"/>
      <c r="BA77" s="23"/>
      <c r="BB77" s="23"/>
      <c r="BC77" s="19">
        <v>74</v>
      </c>
      <c r="BD77" s="20" t="s">
        <v>78</v>
      </c>
      <c r="BE77" s="21">
        <v>22</v>
      </c>
      <c r="BF77" s="21">
        <f t="shared" si="14"/>
        <v>3945.0854545454549</v>
      </c>
      <c r="BG77" s="21">
        <v>86791.88</v>
      </c>
      <c r="BH77" s="29">
        <f t="shared" si="15"/>
        <v>4.3734966105401271E-4</v>
      </c>
      <c r="BI77" s="29">
        <f t="shared" si="16"/>
        <v>5.2131021948587986E-4</v>
      </c>
    </row>
    <row r="78" spans="1:61" x14ac:dyDescent="0.3">
      <c r="A78" s="19">
        <v>75</v>
      </c>
      <c r="B78" s="20" t="s">
        <v>104</v>
      </c>
      <c r="C78" s="21">
        <v>4</v>
      </c>
      <c r="D78" s="21">
        <f t="shared" si="9"/>
        <v>2888.69</v>
      </c>
      <c r="E78" s="21">
        <v>11554.76</v>
      </c>
      <c r="F78" s="19"/>
      <c r="G78" s="20"/>
      <c r="H78" s="21"/>
      <c r="I78" s="21"/>
      <c r="J78" s="21"/>
      <c r="K78" s="19"/>
      <c r="L78" s="20"/>
      <c r="M78" s="20"/>
      <c r="N78" s="21"/>
      <c r="O78" s="20"/>
      <c r="P78" s="19"/>
      <c r="Q78" s="20"/>
      <c r="R78" s="20"/>
      <c r="S78" s="20"/>
      <c r="T78" s="20"/>
      <c r="U78" s="19"/>
      <c r="V78" s="20"/>
      <c r="W78" s="20"/>
      <c r="X78" s="20"/>
      <c r="Y78" s="20"/>
      <c r="Z78" s="19"/>
      <c r="AA78" s="20"/>
      <c r="AB78" s="21"/>
      <c r="AC78" s="21"/>
      <c r="AD78" s="21"/>
      <c r="AE78" s="19"/>
      <c r="AF78" s="20"/>
      <c r="AG78" s="20"/>
      <c r="AH78" s="20"/>
      <c r="AI78" s="19"/>
      <c r="AJ78" s="20"/>
      <c r="AK78" s="20"/>
      <c r="AL78" s="20"/>
      <c r="AM78" s="19"/>
      <c r="AN78" s="20"/>
      <c r="AO78" s="20"/>
      <c r="AP78" s="20"/>
      <c r="AQ78" s="19"/>
      <c r="AR78" s="20"/>
      <c r="AS78" s="20"/>
      <c r="AT78" s="20"/>
      <c r="AU78" s="19"/>
      <c r="AV78" s="20"/>
      <c r="AW78" s="20"/>
      <c r="AX78" s="20"/>
      <c r="AY78" s="22"/>
      <c r="AZ78" s="23"/>
      <c r="BA78" s="23"/>
      <c r="BB78" s="23"/>
      <c r="BC78" s="19">
        <v>75</v>
      </c>
      <c r="BD78" s="20" t="s">
        <v>86</v>
      </c>
      <c r="BE78" s="21">
        <v>22</v>
      </c>
      <c r="BF78" s="21">
        <f t="shared" si="14"/>
        <v>3233.264090909091</v>
      </c>
      <c r="BG78" s="21">
        <v>71131.81</v>
      </c>
      <c r="BH78" s="29">
        <f t="shared" si="15"/>
        <v>4.3734966105401271E-4</v>
      </c>
      <c r="BI78" s="29">
        <f t="shared" si="16"/>
        <v>4.2724894867501314E-4</v>
      </c>
    </row>
    <row r="79" spans="1:61" x14ac:dyDescent="0.3">
      <c r="A79" s="19">
        <v>76</v>
      </c>
      <c r="B79" s="20" t="s">
        <v>69</v>
      </c>
      <c r="C79" s="21">
        <v>3</v>
      </c>
      <c r="D79" s="21">
        <f t="shared" si="9"/>
        <v>5949.32</v>
      </c>
      <c r="E79" s="21">
        <v>17847.96</v>
      </c>
      <c r="F79" s="19"/>
      <c r="G79" s="20"/>
      <c r="H79" s="21"/>
      <c r="I79" s="21"/>
      <c r="J79" s="21"/>
      <c r="K79" s="19"/>
      <c r="L79" s="20"/>
      <c r="M79" s="20"/>
      <c r="N79" s="21"/>
      <c r="O79" s="20"/>
      <c r="P79" s="19"/>
      <c r="Q79" s="20"/>
      <c r="R79" s="20"/>
      <c r="S79" s="20"/>
      <c r="T79" s="20"/>
      <c r="U79" s="19"/>
      <c r="V79" s="20"/>
      <c r="W79" s="20"/>
      <c r="X79" s="20"/>
      <c r="Y79" s="20"/>
      <c r="Z79" s="19"/>
      <c r="AA79" s="20"/>
      <c r="AB79" s="21"/>
      <c r="AC79" s="21"/>
      <c r="AD79" s="21"/>
      <c r="AE79" s="19"/>
      <c r="AF79" s="20"/>
      <c r="AG79" s="20"/>
      <c r="AH79" s="20"/>
      <c r="AI79" s="19"/>
      <c r="AJ79" s="20"/>
      <c r="AK79" s="20"/>
      <c r="AL79" s="20"/>
      <c r="AM79" s="19"/>
      <c r="AN79" s="20"/>
      <c r="AO79" s="20"/>
      <c r="AP79" s="20"/>
      <c r="AQ79" s="19"/>
      <c r="AR79" s="20"/>
      <c r="AS79" s="20"/>
      <c r="AT79" s="20"/>
      <c r="AU79" s="19"/>
      <c r="AV79" s="20"/>
      <c r="AW79" s="20"/>
      <c r="AX79" s="20"/>
      <c r="AY79" s="22"/>
      <c r="AZ79" s="23"/>
      <c r="BA79" s="23"/>
      <c r="BB79" s="23"/>
      <c r="BC79" s="19">
        <v>76</v>
      </c>
      <c r="BD79" s="20" t="s">
        <v>76</v>
      </c>
      <c r="BE79" s="21">
        <v>21</v>
      </c>
      <c r="BF79" s="21">
        <f t="shared" si="14"/>
        <v>2910.399523809524</v>
      </c>
      <c r="BG79" s="21">
        <v>61118.39</v>
      </c>
      <c r="BH79" s="29">
        <f t="shared" si="15"/>
        <v>4.1747013100610302E-4</v>
      </c>
      <c r="BI79" s="29">
        <f t="shared" si="16"/>
        <v>3.6710394227574747E-4</v>
      </c>
    </row>
    <row r="80" spans="1:61" x14ac:dyDescent="0.3">
      <c r="A80" s="19">
        <v>77</v>
      </c>
      <c r="B80" s="20" t="s">
        <v>81</v>
      </c>
      <c r="C80" s="21">
        <v>3</v>
      </c>
      <c r="D80" s="21">
        <f t="shared" si="9"/>
        <v>4116</v>
      </c>
      <c r="E80" s="21">
        <v>12348</v>
      </c>
      <c r="F80" s="19"/>
      <c r="G80" s="20"/>
      <c r="H80" s="21"/>
      <c r="I80" s="21"/>
      <c r="J80" s="21"/>
      <c r="K80" s="19"/>
      <c r="L80" s="20"/>
      <c r="M80" s="20"/>
      <c r="N80" s="21"/>
      <c r="O80" s="20"/>
      <c r="P80" s="19"/>
      <c r="Q80" s="20"/>
      <c r="R80" s="20"/>
      <c r="S80" s="20"/>
      <c r="T80" s="20"/>
      <c r="U80" s="19"/>
      <c r="V80" s="20"/>
      <c r="W80" s="20"/>
      <c r="X80" s="20"/>
      <c r="Y80" s="20"/>
      <c r="Z80" s="19"/>
      <c r="AA80" s="20"/>
      <c r="AB80" s="21"/>
      <c r="AC80" s="21"/>
      <c r="AD80" s="21"/>
      <c r="AE80" s="19"/>
      <c r="AF80" s="20"/>
      <c r="AG80" s="20"/>
      <c r="AH80" s="20"/>
      <c r="AI80" s="19"/>
      <c r="AJ80" s="20"/>
      <c r="AK80" s="20"/>
      <c r="AL80" s="20"/>
      <c r="AM80" s="19"/>
      <c r="AN80" s="20"/>
      <c r="AO80" s="20"/>
      <c r="AP80" s="20"/>
      <c r="AQ80" s="19"/>
      <c r="AR80" s="20"/>
      <c r="AS80" s="20"/>
      <c r="AT80" s="20"/>
      <c r="AU80" s="19"/>
      <c r="AV80" s="20"/>
      <c r="AW80" s="20"/>
      <c r="AX80" s="20"/>
      <c r="AY80" s="22"/>
      <c r="AZ80" s="23"/>
      <c r="BA80" s="23"/>
      <c r="BB80" s="23"/>
      <c r="BC80" s="19">
        <v>77</v>
      </c>
      <c r="BD80" s="20" t="s">
        <v>53</v>
      </c>
      <c r="BE80" s="21">
        <v>19</v>
      </c>
      <c r="BF80" s="21">
        <f t="shared" si="14"/>
        <v>7487.8826315789465</v>
      </c>
      <c r="BG80" s="21">
        <v>142269.76999999999</v>
      </c>
      <c r="BH80" s="29">
        <f t="shared" si="15"/>
        <v>3.777110709102837E-4</v>
      </c>
      <c r="BI80" s="29">
        <f t="shared" si="16"/>
        <v>8.5453483695601057E-4</v>
      </c>
    </row>
    <row r="81" spans="1:61" x14ac:dyDescent="0.3">
      <c r="A81" s="19">
        <v>78</v>
      </c>
      <c r="B81" s="20" t="s">
        <v>74</v>
      </c>
      <c r="C81" s="21">
        <v>2</v>
      </c>
      <c r="D81" s="21">
        <f t="shared" si="9"/>
        <v>2718.77</v>
      </c>
      <c r="E81" s="21">
        <v>5437.54</v>
      </c>
      <c r="F81" s="19"/>
      <c r="G81" s="20"/>
      <c r="H81" s="20"/>
      <c r="I81" s="21"/>
      <c r="J81" s="20"/>
      <c r="K81" s="19"/>
      <c r="L81" s="20"/>
      <c r="M81" s="20"/>
      <c r="N81" s="21"/>
      <c r="O81" s="20"/>
      <c r="P81" s="19"/>
      <c r="Q81" s="20"/>
      <c r="R81" s="20"/>
      <c r="S81" s="20"/>
      <c r="T81" s="20"/>
      <c r="U81" s="19"/>
      <c r="V81" s="20"/>
      <c r="W81" s="20"/>
      <c r="X81" s="20"/>
      <c r="Y81" s="20"/>
      <c r="Z81" s="19"/>
      <c r="AA81" s="20"/>
      <c r="AB81" s="21"/>
      <c r="AC81" s="21"/>
      <c r="AD81" s="21"/>
      <c r="AE81" s="19"/>
      <c r="AF81" s="20"/>
      <c r="AG81" s="20"/>
      <c r="AH81" s="20"/>
      <c r="AI81" s="19"/>
      <c r="AJ81" s="20"/>
      <c r="AK81" s="20"/>
      <c r="AL81" s="20"/>
      <c r="AM81" s="19"/>
      <c r="AN81" s="20"/>
      <c r="AO81" s="20"/>
      <c r="AP81" s="20"/>
      <c r="AQ81" s="19"/>
      <c r="AR81" s="20"/>
      <c r="AS81" s="20"/>
      <c r="AT81" s="20"/>
      <c r="AU81" s="19"/>
      <c r="AV81" s="20"/>
      <c r="AW81" s="20"/>
      <c r="AX81" s="20"/>
      <c r="AY81" s="22"/>
      <c r="AZ81" s="23"/>
      <c r="BA81" s="23"/>
      <c r="BB81" s="23"/>
      <c r="BC81" s="19">
        <v>78</v>
      </c>
      <c r="BD81" s="20" t="s">
        <v>66</v>
      </c>
      <c r="BE81" s="21">
        <v>17</v>
      </c>
      <c r="BF81" s="21">
        <f t="shared" si="14"/>
        <v>3121.9035294117648</v>
      </c>
      <c r="BG81" s="21">
        <v>53072.36</v>
      </c>
      <c r="BH81" s="29">
        <f t="shared" si="15"/>
        <v>3.3795201081446432E-4</v>
      </c>
      <c r="BI81" s="29">
        <f t="shared" si="16"/>
        <v>3.1877594586306494E-4</v>
      </c>
    </row>
    <row r="82" spans="1:61" x14ac:dyDescent="0.3">
      <c r="A82" s="19">
        <v>79</v>
      </c>
      <c r="B82" s="20" t="s">
        <v>72</v>
      </c>
      <c r="C82" s="21">
        <v>2</v>
      </c>
      <c r="D82" s="21">
        <f t="shared" si="9"/>
        <v>2888.7</v>
      </c>
      <c r="E82" s="21">
        <v>5777.4</v>
      </c>
      <c r="F82" s="19"/>
      <c r="G82" s="20"/>
      <c r="H82" s="20"/>
      <c r="I82" s="21"/>
      <c r="J82" s="20"/>
      <c r="K82" s="19"/>
      <c r="L82" s="20"/>
      <c r="M82" s="20"/>
      <c r="N82" s="21"/>
      <c r="O82" s="20"/>
      <c r="P82" s="19"/>
      <c r="Q82" s="20"/>
      <c r="R82" s="20"/>
      <c r="S82" s="20"/>
      <c r="T82" s="20"/>
      <c r="U82" s="19"/>
      <c r="V82" s="20"/>
      <c r="W82" s="20"/>
      <c r="X82" s="20"/>
      <c r="Y82" s="20"/>
      <c r="Z82" s="19"/>
      <c r="AA82" s="20"/>
      <c r="AB82" s="21"/>
      <c r="AC82" s="21"/>
      <c r="AD82" s="21"/>
      <c r="AE82" s="19"/>
      <c r="AF82" s="20"/>
      <c r="AG82" s="20"/>
      <c r="AH82" s="20"/>
      <c r="AI82" s="19"/>
      <c r="AJ82" s="20"/>
      <c r="AK82" s="20"/>
      <c r="AL82" s="20"/>
      <c r="AM82" s="19"/>
      <c r="AN82" s="20"/>
      <c r="AO82" s="20"/>
      <c r="AP82" s="20"/>
      <c r="AQ82" s="19"/>
      <c r="AR82" s="20"/>
      <c r="AS82" s="20"/>
      <c r="AT82" s="20"/>
      <c r="AU82" s="19"/>
      <c r="AV82" s="20"/>
      <c r="AW82" s="20"/>
      <c r="AX82" s="20"/>
      <c r="AY82" s="22"/>
      <c r="AZ82" s="23"/>
      <c r="BA82" s="23"/>
      <c r="BB82" s="23"/>
      <c r="BC82" s="19">
        <v>79</v>
      </c>
      <c r="BD82" s="20" t="s">
        <v>85</v>
      </c>
      <c r="BE82" s="21">
        <v>15</v>
      </c>
      <c r="BF82" s="21">
        <f t="shared" si="14"/>
        <v>3378.64</v>
      </c>
      <c r="BG82" s="21">
        <v>50679.6</v>
      </c>
      <c r="BH82" s="29">
        <f t="shared" si="15"/>
        <v>2.98192950718645E-4</v>
      </c>
      <c r="BI82" s="29">
        <f t="shared" si="16"/>
        <v>3.0440397649476647E-4</v>
      </c>
    </row>
    <row r="83" spans="1:61" x14ac:dyDescent="0.3">
      <c r="A83" s="19">
        <v>80</v>
      </c>
      <c r="B83" s="20" t="s">
        <v>97</v>
      </c>
      <c r="C83" s="21">
        <v>2</v>
      </c>
      <c r="D83" s="21">
        <f t="shared" si="9"/>
        <v>4021.9</v>
      </c>
      <c r="E83" s="21">
        <v>8043.8</v>
      </c>
      <c r="F83" s="19"/>
      <c r="G83" s="20"/>
      <c r="H83" s="20"/>
      <c r="I83" s="21"/>
      <c r="J83" s="20"/>
      <c r="K83" s="19"/>
      <c r="L83" s="20"/>
      <c r="M83" s="20"/>
      <c r="N83" s="21"/>
      <c r="O83" s="20"/>
      <c r="P83" s="19"/>
      <c r="Q83" s="20"/>
      <c r="R83" s="20"/>
      <c r="S83" s="20"/>
      <c r="T83" s="20"/>
      <c r="U83" s="19"/>
      <c r="V83" s="20"/>
      <c r="W83" s="20"/>
      <c r="X83" s="20"/>
      <c r="Y83" s="20"/>
      <c r="Z83" s="19"/>
      <c r="AA83" s="20"/>
      <c r="AB83" s="20"/>
      <c r="AC83" s="20"/>
      <c r="AD83" s="20"/>
      <c r="AE83" s="19"/>
      <c r="AF83" s="20"/>
      <c r="AG83" s="20"/>
      <c r="AH83" s="20"/>
      <c r="AI83" s="19"/>
      <c r="AJ83" s="20"/>
      <c r="AK83" s="20"/>
      <c r="AL83" s="20"/>
      <c r="AM83" s="19"/>
      <c r="AN83" s="20"/>
      <c r="AO83" s="20"/>
      <c r="AP83" s="20"/>
      <c r="AQ83" s="19"/>
      <c r="AR83" s="20"/>
      <c r="AS83" s="20"/>
      <c r="AT83" s="20"/>
      <c r="AU83" s="19"/>
      <c r="AV83" s="20"/>
      <c r="AW83" s="20"/>
      <c r="AX83" s="20"/>
      <c r="AY83" s="22"/>
      <c r="AZ83" s="23"/>
      <c r="BA83" s="23"/>
      <c r="BB83" s="23"/>
      <c r="BC83" s="19">
        <v>80</v>
      </c>
      <c r="BD83" s="20" t="s">
        <v>79</v>
      </c>
      <c r="BE83" s="21">
        <v>14</v>
      </c>
      <c r="BF83" s="21">
        <f t="shared" si="14"/>
        <v>2590.7771428571427</v>
      </c>
      <c r="BG83" s="21">
        <v>36270.879999999997</v>
      </c>
      <c r="BH83" s="29">
        <f t="shared" si="15"/>
        <v>2.7831342067073536E-4</v>
      </c>
      <c r="BI83" s="29">
        <f t="shared" si="16"/>
        <v>2.1785886437470888E-4</v>
      </c>
    </row>
    <row r="84" spans="1:61" x14ac:dyDescent="0.3">
      <c r="A84" s="19">
        <v>81</v>
      </c>
      <c r="B84" s="20" t="s">
        <v>106</v>
      </c>
      <c r="C84" s="21">
        <v>2</v>
      </c>
      <c r="D84" s="21">
        <f t="shared" si="9"/>
        <v>10285</v>
      </c>
      <c r="E84" s="21">
        <v>20570</v>
      </c>
      <c r="F84" s="19"/>
      <c r="G84" s="20"/>
      <c r="H84" s="20"/>
      <c r="I84" s="21"/>
      <c r="J84" s="20"/>
      <c r="K84" s="19"/>
      <c r="L84" s="20"/>
      <c r="M84" s="20"/>
      <c r="N84" s="21"/>
      <c r="O84" s="20"/>
      <c r="P84" s="19"/>
      <c r="Q84" s="20"/>
      <c r="R84" s="20"/>
      <c r="S84" s="20"/>
      <c r="T84" s="20"/>
      <c r="U84" s="19"/>
      <c r="V84" s="20"/>
      <c r="W84" s="20"/>
      <c r="X84" s="20"/>
      <c r="Y84" s="20"/>
      <c r="Z84" s="19"/>
      <c r="AA84" s="20"/>
      <c r="AB84" s="20"/>
      <c r="AC84" s="20"/>
      <c r="AD84" s="20"/>
      <c r="AE84" s="19"/>
      <c r="AF84" s="20"/>
      <c r="AG84" s="20"/>
      <c r="AH84" s="20"/>
      <c r="AI84" s="19"/>
      <c r="AJ84" s="20"/>
      <c r="AK84" s="20"/>
      <c r="AL84" s="20"/>
      <c r="AM84" s="19"/>
      <c r="AN84" s="20"/>
      <c r="AO84" s="20"/>
      <c r="AP84" s="20"/>
      <c r="AQ84" s="19"/>
      <c r="AR84" s="20"/>
      <c r="AS84" s="20"/>
      <c r="AT84" s="20"/>
      <c r="AU84" s="19"/>
      <c r="AV84" s="20"/>
      <c r="AW84" s="20"/>
      <c r="AX84" s="20"/>
      <c r="AY84" s="22"/>
      <c r="AZ84" s="23"/>
      <c r="BA84" s="23"/>
      <c r="BB84" s="23"/>
      <c r="BC84" s="19">
        <v>81</v>
      </c>
      <c r="BD84" s="20" t="s">
        <v>91</v>
      </c>
      <c r="BE84" s="21">
        <v>13</v>
      </c>
      <c r="BF84" s="21">
        <f t="shared" si="14"/>
        <v>3617.1830769230769</v>
      </c>
      <c r="BG84" s="21">
        <v>47023.38</v>
      </c>
      <c r="BH84" s="29">
        <f t="shared" si="15"/>
        <v>2.5843389062282568E-4</v>
      </c>
      <c r="BI84" s="29">
        <f t="shared" si="16"/>
        <v>2.8244311044728988E-4</v>
      </c>
    </row>
    <row r="85" spans="1:61" x14ac:dyDescent="0.3">
      <c r="A85" s="19">
        <v>82</v>
      </c>
      <c r="B85" s="20" t="s">
        <v>63</v>
      </c>
      <c r="C85" s="21">
        <v>1</v>
      </c>
      <c r="D85" s="21">
        <f t="shared" si="9"/>
        <v>3836.9</v>
      </c>
      <c r="E85" s="21">
        <v>3836.9</v>
      </c>
      <c r="F85" s="19"/>
      <c r="G85" s="20"/>
      <c r="H85" s="20"/>
      <c r="I85" s="21"/>
      <c r="J85" s="20"/>
      <c r="K85" s="19"/>
      <c r="L85" s="20"/>
      <c r="M85" s="20"/>
      <c r="N85" s="21"/>
      <c r="O85" s="20"/>
      <c r="P85" s="19"/>
      <c r="Q85" s="20"/>
      <c r="R85" s="20"/>
      <c r="S85" s="20"/>
      <c r="T85" s="20"/>
      <c r="U85" s="19"/>
      <c r="V85" s="20"/>
      <c r="W85" s="20"/>
      <c r="X85" s="20"/>
      <c r="Y85" s="20"/>
      <c r="Z85" s="19"/>
      <c r="AA85" s="20"/>
      <c r="AB85" s="20"/>
      <c r="AC85" s="20"/>
      <c r="AD85" s="20"/>
      <c r="AE85" s="19"/>
      <c r="AF85" s="20"/>
      <c r="AG85" s="20"/>
      <c r="AH85" s="20"/>
      <c r="AI85" s="19"/>
      <c r="AJ85" s="20"/>
      <c r="AK85" s="20"/>
      <c r="AL85" s="20"/>
      <c r="AM85" s="19"/>
      <c r="AN85" s="20"/>
      <c r="AO85" s="20"/>
      <c r="AP85" s="20"/>
      <c r="AQ85" s="19"/>
      <c r="AR85" s="20"/>
      <c r="AS85" s="20"/>
      <c r="AT85" s="20"/>
      <c r="AU85" s="19"/>
      <c r="AV85" s="20"/>
      <c r="AW85" s="20"/>
      <c r="AX85" s="20"/>
      <c r="AY85" s="22"/>
      <c r="AZ85" s="23"/>
      <c r="BA85" s="23"/>
      <c r="BB85" s="23"/>
      <c r="BC85" s="19">
        <v>82</v>
      </c>
      <c r="BD85" s="20" t="s">
        <v>89</v>
      </c>
      <c r="BE85" s="21">
        <v>12</v>
      </c>
      <c r="BF85" s="21">
        <f t="shared" si="14"/>
        <v>4070.1491666666666</v>
      </c>
      <c r="BG85" s="21">
        <v>48841.79</v>
      </c>
      <c r="BH85" s="29">
        <f t="shared" si="15"/>
        <v>2.3855436057491601E-4</v>
      </c>
      <c r="BI85" s="29">
        <f t="shared" si="16"/>
        <v>2.9336528100305293E-4</v>
      </c>
    </row>
    <row r="86" spans="1:61" x14ac:dyDescent="0.3">
      <c r="A86" s="19">
        <v>83</v>
      </c>
      <c r="B86" s="20" t="s">
        <v>94</v>
      </c>
      <c r="C86" s="21">
        <v>1</v>
      </c>
      <c r="D86" s="21">
        <f t="shared" si="9"/>
        <v>6660</v>
      </c>
      <c r="E86" s="21">
        <v>6660</v>
      </c>
      <c r="F86" s="19"/>
      <c r="G86" s="20"/>
      <c r="H86" s="20"/>
      <c r="I86" s="21"/>
      <c r="J86" s="20"/>
      <c r="K86" s="19"/>
      <c r="L86" s="20"/>
      <c r="M86" s="20"/>
      <c r="N86" s="21"/>
      <c r="O86" s="20"/>
      <c r="P86" s="19"/>
      <c r="Q86" s="20"/>
      <c r="R86" s="20"/>
      <c r="S86" s="20"/>
      <c r="T86" s="20"/>
      <c r="U86" s="19"/>
      <c r="V86" s="20"/>
      <c r="W86" s="20"/>
      <c r="X86" s="20"/>
      <c r="Y86" s="20"/>
      <c r="Z86" s="19"/>
      <c r="AA86" s="20"/>
      <c r="AB86" s="20"/>
      <c r="AC86" s="20"/>
      <c r="AD86" s="20"/>
      <c r="AE86" s="19"/>
      <c r="AF86" s="20"/>
      <c r="AG86" s="20"/>
      <c r="AH86" s="20"/>
      <c r="AI86" s="19"/>
      <c r="AJ86" s="20"/>
      <c r="AK86" s="20"/>
      <c r="AL86" s="20"/>
      <c r="AM86" s="19"/>
      <c r="AN86" s="20"/>
      <c r="AO86" s="20"/>
      <c r="AP86" s="20"/>
      <c r="AQ86" s="19"/>
      <c r="AR86" s="20"/>
      <c r="AS86" s="20"/>
      <c r="AT86" s="20"/>
      <c r="AU86" s="19"/>
      <c r="AV86" s="20"/>
      <c r="AW86" s="20"/>
      <c r="AX86" s="20"/>
      <c r="AY86" s="22"/>
      <c r="AZ86" s="23"/>
      <c r="BA86" s="23"/>
      <c r="BB86" s="23"/>
      <c r="BC86" s="19">
        <v>83</v>
      </c>
      <c r="BD86" s="20" t="s">
        <v>72</v>
      </c>
      <c r="BE86" s="21">
        <v>12</v>
      </c>
      <c r="BF86" s="21">
        <f t="shared" si="14"/>
        <v>3067.8449999999998</v>
      </c>
      <c r="BG86" s="21">
        <v>36814.14</v>
      </c>
      <c r="BH86" s="29">
        <f t="shared" si="15"/>
        <v>2.3855436057491601E-4</v>
      </c>
      <c r="BI86" s="29">
        <f t="shared" si="16"/>
        <v>2.2112192296772356E-4</v>
      </c>
    </row>
    <row r="87" spans="1:61" x14ac:dyDescent="0.3">
      <c r="A87" s="19">
        <v>84</v>
      </c>
      <c r="B87" s="20" t="s">
        <v>107</v>
      </c>
      <c r="C87" s="21">
        <v>1</v>
      </c>
      <c r="D87" s="21">
        <f t="shared" si="9"/>
        <v>14443.5</v>
      </c>
      <c r="E87" s="21">
        <v>14443.5</v>
      </c>
      <c r="F87" s="19"/>
      <c r="G87" s="20"/>
      <c r="H87" s="20"/>
      <c r="I87" s="21"/>
      <c r="J87" s="20"/>
      <c r="K87" s="19"/>
      <c r="L87" s="20"/>
      <c r="M87" s="20"/>
      <c r="N87" s="21"/>
      <c r="O87" s="20"/>
      <c r="P87" s="19"/>
      <c r="Q87" s="20"/>
      <c r="R87" s="20"/>
      <c r="S87" s="20"/>
      <c r="T87" s="20"/>
      <c r="U87" s="19"/>
      <c r="V87" s="20"/>
      <c r="W87" s="20"/>
      <c r="X87" s="20"/>
      <c r="Y87" s="20"/>
      <c r="Z87" s="19"/>
      <c r="AA87" s="20"/>
      <c r="AB87" s="20"/>
      <c r="AC87" s="20"/>
      <c r="AD87" s="20"/>
      <c r="AE87" s="19"/>
      <c r="AF87" s="20"/>
      <c r="AG87" s="20"/>
      <c r="AH87" s="20"/>
      <c r="AI87" s="19"/>
      <c r="AJ87" s="20"/>
      <c r="AK87" s="20"/>
      <c r="AL87" s="20"/>
      <c r="AM87" s="19"/>
      <c r="AN87" s="20"/>
      <c r="AO87" s="20"/>
      <c r="AP87" s="20"/>
      <c r="AQ87" s="19"/>
      <c r="AR87" s="20"/>
      <c r="AS87" s="20"/>
      <c r="AT87" s="20"/>
      <c r="AU87" s="19"/>
      <c r="AV87" s="20"/>
      <c r="AW87" s="20"/>
      <c r="AX87" s="20"/>
      <c r="AY87" s="22"/>
      <c r="AZ87" s="23"/>
      <c r="BA87" s="23"/>
      <c r="BB87" s="23"/>
      <c r="BC87" s="19">
        <v>84</v>
      </c>
      <c r="BD87" s="20" t="s">
        <v>88</v>
      </c>
      <c r="BE87" s="21">
        <v>9</v>
      </c>
      <c r="BF87" s="21">
        <f t="shared" si="14"/>
        <v>2433.2422222222222</v>
      </c>
      <c r="BG87" s="21">
        <v>21899.18</v>
      </c>
      <c r="BH87" s="29">
        <f t="shared" si="15"/>
        <v>1.78915770431187E-4</v>
      </c>
      <c r="BI87" s="29">
        <f t="shared" si="16"/>
        <v>1.3153611066335686E-4</v>
      </c>
    </row>
    <row r="88" spans="1:61" x14ac:dyDescent="0.3">
      <c r="A88" s="19">
        <v>85</v>
      </c>
      <c r="B88" s="20" t="s">
        <v>92</v>
      </c>
      <c r="C88" s="21">
        <v>1</v>
      </c>
      <c r="D88" s="21">
        <f t="shared" si="9"/>
        <v>4148.17</v>
      </c>
      <c r="E88" s="21">
        <v>4148.17</v>
      </c>
      <c r="F88" s="19"/>
      <c r="G88" s="20"/>
      <c r="H88" s="20"/>
      <c r="I88" s="21"/>
      <c r="J88" s="20"/>
      <c r="K88" s="19"/>
      <c r="L88" s="20"/>
      <c r="M88" s="20"/>
      <c r="N88" s="21"/>
      <c r="O88" s="20"/>
      <c r="P88" s="19"/>
      <c r="Q88" s="20"/>
      <c r="R88" s="20"/>
      <c r="S88" s="20"/>
      <c r="T88" s="20"/>
      <c r="U88" s="19"/>
      <c r="V88" s="20"/>
      <c r="W88" s="20"/>
      <c r="X88" s="20"/>
      <c r="Y88" s="20"/>
      <c r="Z88" s="19"/>
      <c r="AA88" s="20"/>
      <c r="AB88" s="20"/>
      <c r="AC88" s="20"/>
      <c r="AD88" s="20"/>
      <c r="AE88" s="19"/>
      <c r="AF88" s="20"/>
      <c r="AG88" s="20"/>
      <c r="AH88" s="20"/>
      <c r="AI88" s="19"/>
      <c r="AJ88" s="20"/>
      <c r="AK88" s="20"/>
      <c r="AL88" s="20"/>
      <c r="AM88" s="19"/>
      <c r="AN88" s="20"/>
      <c r="AO88" s="20"/>
      <c r="AP88" s="20"/>
      <c r="AQ88" s="19"/>
      <c r="AR88" s="20"/>
      <c r="AS88" s="20"/>
      <c r="AT88" s="20"/>
      <c r="AU88" s="19"/>
      <c r="AV88" s="20"/>
      <c r="AW88" s="20"/>
      <c r="AX88" s="20"/>
      <c r="AY88" s="22"/>
      <c r="AZ88" s="23"/>
      <c r="BA88" s="23"/>
      <c r="BB88" s="23"/>
      <c r="BC88" s="19">
        <v>85</v>
      </c>
      <c r="BD88" s="20" t="s">
        <v>81</v>
      </c>
      <c r="BE88" s="21">
        <v>8</v>
      </c>
      <c r="BF88" s="21">
        <f t="shared" si="14"/>
        <v>5267.5387499999997</v>
      </c>
      <c r="BG88" s="21">
        <v>42140.31</v>
      </c>
      <c r="BH88" s="29">
        <f t="shared" si="15"/>
        <v>1.5903624038327734E-4</v>
      </c>
      <c r="BI88" s="29">
        <f t="shared" si="16"/>
        <v>2.5311324348894175E-4</v>
      </c>
    </row>
    <row r="89" spans="1:61" x14ac:dyDescent="0.3">
      <c r="A89" s="19"/>
      <c r="B89" s="20"/>
      <c r="C89" s="21"/>
      <c r="D89" s="21"/>
      <c r="E89" s="21"/>
      <c r="F89" s="19"/>
      <c r="G89" s="20"/>
      <c r="H89" s="20"/>
      <c r="I89" s="20"/>
      <c r="J89" s="20"/>
      <c r="K89" s="19"/>
      <c r="L89" s="20"/>
      <c r="M89" s="20"/>
      <c r="N89" s="20"/>
      <c r="O89" s="20"/>
      <c r="P89" s="19"/>
      <c r="Q89" s="20"/>
      <c r="R89" s="20"/>
      <c r="S89" s="20"/>
      <c r="T89" s="20"/>
      <c r="U89" s="19"/>
      <c r="V89" s="20"/>
      <c r="W89" s="20"/>
      <c r="X89" s="20"/>
      <c r="Y89" s="20"/>
      <c r="Z89" s="19"/>
      <c r="AA89" s="20"/>
      <c r="AB89" s="20"/>
      <c r="AC89" s="20"/>
      <c r="AD89" s="20"/>
      <c r="AE89" s="19"/>
      <c r="AF89" s="20"/>
      <c r="AG89" s="20"/>
      <c r="AH89" s="20"/>
      <c r="AI89" s="19"/>
      <c r="AJ89" s="20"/>
      <c r="AK89" s="20"/>
      <c r="AL89" s="20"/>
      <c r="AM89" s="19"/>
      <c r="AN89" s="20"/>
      <c r="AO89" s="20"/>
      <c r="AP89" s="20"/>
      <c r="AQ89" s="19"/>
      <c r="AR89" s="20"/>
      <c r="AS89" s="20"/>
      <c r="AT89" s="20"/>
      <c r="AU89" s="19"/>
      <c r="AV89" s="20"/>
      <c r="AW89" s="20"/>
      <c r="AX89" s="20"/>
      <c r="AY89" s="22"/>
      <c r="AZ89" s="23"/>
      <c r="BA89" s="23"/>
      <c r="BB89" s="23"/>
      <c r="BC89" s="19">
        <v>86</v>
      </c>
      <c r="BD89" s="20" t="s">
        <v>95</v>
      </c>
      <c r="BE89" s="21">
        <v>8</v>
      </c>
      <c r="BF89" s="21">
        <f t="shared" si="14"/>
        <v>3081.7237500000001</v>
      </c>
      <c r="BG89" s="21">
        <v>24653.79</v>
      </c>
      <c r="BH89" s="29">
        <f t="shared" si="15"/>
        <v>1.5903624038327734E-4</v>
      </c>
      <c r="BI89" s="29">
        <f t="shared" si="16"/>
        <v>1.4808151034473259E-4</v>
      </c>
    </row>
    <row r="90" spans="1:61" x14ac:dyDescent="0.3">
      <c r="A90" s="19"/>
      <c r="B90" s="20"/>
      <c r="C90" s="21"/>
      <c r="D90" s="21"/>
      <c r="E90" s="21"/>
      <c r="F90" s="19"/>
      <c r="G90" s="20"/>
      <c r="H90" s="20"/>
      <c r="I90" s="20"/>
      <c r="J90" s="20"/>
      <c r="K90" s="19"/>
      <c r="L90" s="20"/>
      <c r="M90" s="20"/>
      <c r="N90" s="20"/>
      <c r="O90" s="20"/>
      <c r="P90" s="19"/>
      <c r="Q90" s="20"/>
      <c r="R90" s="20"/>
      <c r="S90" s="20"/>
      <c r="T90" s="20"/>
      <c r="U90" s="19"/>
      <c r="V90" s="20"/>
      <c r="W90" s="20"/>
      <c r="X90" s="20"/>
      <c r="Y90" s="20"/>
      <c r="Z90" s="19"/>
      <c r="AA90" s="20"/>
      <c r="AB90" s="20"/>
      <c r="AC90" s="20"/>
      <c r="AD90" s="20"/>
      <c r="AE90" s="19"/>
      <c r="AF90" s="20"/>
      <c r="AG90" s="20"/>
      <c r="AH90" s="20"/>
      <c r="AI90" s="19"/>
      <c r="AJ90" s="20"/>
      <c r="AK90" s="20"/>
      <c r="AL90" s="20"/>
      <c r="AM90" s="19"/>
      <c r="AN90" s="20"/>
      <c r="AO90" s="20"/>
      <c r="AP90" s="20"/>
      <c r="AQ90" s="19"/>
      <c r="AR90" s="20"/>
      <c r="AS90" s="20"/>
      <c r="AT90" s="20"/>
      <c r="AU90" s="19"/>
      <c r="AV90" s="20"/>
      <c r="AW90" s="20"/>
      <c r="AX90" s="20"/>
      <c r="AY90" s="22"/>
      <c r="AZ90" s="23"/>
      <c r="BA90" s="23"/>
      <c r="BB90" s="23"/>
      <c r="BC90" s="19">
        <v>87</v>
      </c>
      <c r="BD90" s="20" t="s">
        <v>70</v>
      </c>
      <c r="BE90" s="21">
        <v>8</v>
      </c>
      <c r="BF90" s="21">
        <f t="shared" si="14"/>
        <v>3072.9650000000001</v>
      </c>
      <c r="BG90" s="21">
        <v>24583.72</v>
      </c>
      <c r="BH90" s="29">
        <f t="shared" si="15"/>
        <v>1.5903624038327734E-4</v>
      </c>
      <c r="BI90" s="29">
        <f t="shared" si="16"/>
        <v>1.4766063909411127E-4</v>
      </c>
    </row>
    <row r="91" spans="1:61" x14ac:dyDescent="0.3">
      <c r="A91" s="19"/>
      <c r="B91" s="20"/>
      <c r="C91" s="21"/>
      <c r="D91" s="21"/>
      <c r="E91" s="21"/>
      <c r="F91" s="19"/>
      <c r="G91" s="20"/>
      <c r="H91" s="20"/>
      <c r="I91" s="20"/>
      <c r="J91" s="20"/>
      <c r="K91" s="19"/>
      <c r="L91" s="20"/>
      <c r="M91" s="20"/>
      <c r="N91" s="20"/>
      <c r="O91" s="20"/>
      <c r="P91" s="19"/>
      <c r="Q91" s="20"/>
      <c r="R91" s="20"/>
      <c r="S91" s="20"/>
      <c r="T91" s="20"/>
      <c r="U91" s="19"/>
      <c r="V91" s="20"/>
      <c r="W91" s="20"/>
      <c r="X91" s="20"/>
      <c r="Y91" s="20"/>
      <c r="Z91" s="19"/>
      <c r="AA91" s="20"/>
      <c r="AB91" s="20"/>
      <c r="AC91" s="20"/>
      <c r="AD91" s="20"/>
      <c r="AE91" s="19"/>
      <c r="AF91" s="20"/>
      <c r="AG91" s="20"/>
      <c r="AH91" s="20"/>
      <c r="AI91" s="19"/>
      <c r="AJ91" s="20"/>
      <c r="AK91" s="20"/>
      <c r="AL91" s="20"/>
      <c r="AM91" s="19"/>
      <c r="AN91" s="20"/>
      <c r="AO91" s="20"/>
      <c r="AP91" s="20"/>
      <c r="AQ91" s="19"/>
      <c r="AR91" s="20"/>
      <c r="AS91" s="20"/>
      <c r="AT91" s="20"/>
      <c r="AU91" s="19"/>
      <c r="AV91" s="20"/>
      <c r="AW91" s="20"/>
      <c r="AX91" s="20"/>
      <c r="AY91" s="22"/>
      <c r="AZ91" s="23"/>
      <c r="BA91" s="23"/>
      <c r="BB91" s="23"/>
      <c r="BC91" s="19">
        <v>88</v>
      </c>
      <c r="BD91" s="20" t="s">
        <v>98</v>
      </c>
      <c r="BE91" s="21">
        <v>7</v>
      </c>
      <c r="BF91" s="21">
        <f t="shared" si="14"/>
        <v>3238.2085714285713</v>
      </c>
      <c r="BG91" s="21">
        <v>22667.46</v>
      </c>
      <c r="BH91" s="29">
        <f t="shared" si="15"/>
        <v>1.3915671033536768E-4</v>
      </c>
      <c r="BI91" s="29">
        <f t="shared" si="16"/>
        <v>1.3615073838459774E-4</v>
      </c>
    </row>
    <row r="92" spans="1:61" x14ac:dyDescent="0.3">
      <c r="A92" s="19"/>
      <c r="B92" s="20"/>
      <c r="C92" s="21"/>
      <c r="D92" s="21"/>
      <c r="E92" s="21"/>
      <c r="F92" s="19"/>
      <c r="G92" s="20"/>
      <c r="H92" s="20"/>
      <c r="I92" s="20"/>
      <c r="J92" s="20"/>
      <c r="K92" s="19"/>
      <c r="L92" s="20"/>
      <c r="M92" s="20"/>
      <c r="N92" s="20"/>
      <c r="O92" s="20"/>
      <c r="P92" s="19"/>
      <c r="Q92" s="20"/>
      <c r="R92" s="20"/>
      <c r="S92" s="20"/>
      <c r="T92" s="20"/>
      <c r="U92" s="19"/>
      <c r="V92" s="20"/>
      <c r="W92" s="20"/>
      <c r="X92" s="20"/>
      <c r="Y92" s="20"/>
      <c r="Z92" s="19"/>
      <c r="AA92" s="20"/>
      <c r="AB92" s="20"/>
      <c r="AC92" s="20"/>
      <c r="AD92" s="20"/>
      <c r="AE92" s="19"/>
      <c r="AF92" s="20"/>
      <c r="AG92" s="20"/>
      <c r="AH92" s="20"/>
      <c r="AI92" s="19"/>
      <c r="AJ92" s="20"/>
      <c r="AK92" s="20"/>
      <c r="AL92" s="20"/>
      <c r="AM92" s="19"/>
      <c r="AN92" s="20"/>
      <c r="AO92" s="20"/>
      <c r="AP92" s="20"/>
      <c r="AQ92" s="19"/>
      <c r="AR92" s="20"/>
      <c r="AS92" s="20"/>
      <c r="AT92" s="20"/>
      <c r="AU92" s="19"/>
      <c r="AV92" s="20"/>
      <c r="AW92" s="20"/>
      <c r="AX92" s="20"/>
      <c r="AY92" s="22"/>
      <c r="AZ92" s="23"/>
      <c r="BA92" s="23"/>
      <c r="BB92" s="23"/>
      <c r="BC92" s="19">
        <v>89</v>
      </c>
      <c r="BD92" s="20" t="s">
        <v>87</v>
      </c>
      <c r="BE92" s="21">
        <v>7</v>
      </c>
      <c r="BF92" s="21">
        <f t="shared" si="14"/>
        <v>4487.3414285714289</v>
      </c>
      <c r="BG92" s="21">
        <v>31411.39</v>
      </c>
      <c r="BH92" s="29">
        <f t="shared" si="15"/>
        <v>1.3915671033536768E-4</v>
      </c>
      <c r="BI92" s="29">
        <f t="shared" si="16"/>
        <v>1.8867062927150062E-4</v>
      </c>
    </row>
    <row r="93" spans="1:61" x14ac:dyDescent="0.3">
      <c r="A93" s="19"/>
      <c r="B93" s="20"/>
      <c r="C93" s="20"/>
      <c r="D93" s="20"/>
      <c r="E93" s="21"/>
      <c r="F93" s="19"/>
      <c r="G93" s="20"/>
      <c r="H93" s="20"/>
      <c r="I93" s="20"/>
      <c r="J93" s="20"/>
      <c r="K93" s="19"/>
      <c r="L93" s="20"/>
      <c r="M93" s="20"/>
      <c r="N93" s="20"/>
      <c r="O93" s="20"/>
      <c r="P93" s="19"/>
      <c r="Q93" s="20"/>
      <c r="R93" s="20"/>
      <c r="S93" s="20"/>
      <c r="T93" s="20"/>
      <c r="U93" s="19"/>
      <c r="V93" s="20"/>
      <c r="W93" s="20"/>
      <c r="X93" s="20"/>
      <c r="Y93" s="20"/>
      <c r="Z93" s="19"/>
      <c r="AA93" s="20"/>
      <c r="AB93" s="20"/>
      <c r="AC93" s="20"/>
      <c r="AD93" s="20"/>
      <c r="AE93" s="19"/>
      <c r="AF93" s="20"/>
      <c r="AG93" s="20"/>
      <c r="AH93" s="20"/>
      <c r="AI93" s="19"/>
      <c r="AJ93" s="20"/>
      <c r="AK93" s="20"/>
      <c r="AL93" s="20"/>
      <c r="AM93" s="19"/>
      <c r="AN93" s="20"/>
      <c r="AO93" s="20"/>
      <c r="AP93" s="20"/>
      <c r="AQ93" s="19"/>
      <c r="AR93" s="20"/>
      <c r="AS93" s="20"/>
      <c r="AT93" s="20"/>
      <c r="AU93" s="19"/>
      <c r="AV93" s="20"/>
      <c r="AW93" s="20"/>
      <c r="AX93" s="20"/>
      <c r="AY93" s="22"/>
      <c r="AZ93" s="23"/>
      <c r="BA93" s="23"/>
      <c r="BB93" s="23"/>
      <c r="BC93" s="19">
        <v>90</v>
      </c>
      <c r="BD93" s="20" t="s">
        <v>83</v>
      </c>
      <c r="BE93" s="21">
        <v>7</v>
      </c>
      <c r="BF93" s="21">
        <f t="shared" si="14"/>
        <v>3134.8471428571429</v>
      </c>
      <c r="BG93" s="21">
        <v>21943.93</v>
      </c>
      <c r="BH93" s="29">
        <f t="shared" si="15"/>
        <v>1.3915671033536768E-4</v>
      </c>
      <c r="BI93" s="29">
        <f t="shared" si="16"/>
        <v>1.3180489885324275E-4</v>
      </c>
    </row>
    <row r="94" spans="1:61" x14ac:dyDescent="0.3">
      <c r="A94" s="19"/>
      <c r="B94" s="20"/>
      <c r="C94" s="20"/>
      <c r="D94" s="20"/>
      <c r="E94" s="21"/>
      <c r="F94" s="19"/>
      <c r="G94" s="20"/>
      <c r="H94" s="20"/>
      <c r="I94" s="20"/>
      <c r="J94" s="20"/>
      <c r="K94" s="19"/>
      <c r="L94" s="20"/>
      <c r="M94" s="20"/>
      <c r="N94" s="20"/>
      <c r="O94" s="20"/>
      <c r="P94" s="19"/>
      <c r="Q94" s="20"/>
      <c r="R94" s="20"/>
      <c r="S94" s="20"/>
      <c r="T94" s="20"/>
      <c r="U94" s="19"/>
      <c r="V94" s="20"/>
      <c r="W94" s="20"/>
      <c r="X94" s="20"/>
      <c r="Y94" s="20"/>
      <c r="Z94" s="19"/>
      <c r="AA94" s="20"/>
      <c r="AB94" s="20"/>
      <c r="AC94" s="20"/>
      <c r="AD94" s="20"/>
      <c r="AE94" s="19"/>
      <c r="AF94" s="20"/>
      <c r="AG94" s="20"/>
      <c r="AH94" s="20"/>
      <c r="AI94" s="19"/>
      <c r="AJ94" s="20"/>
      <c r="AK94" s="20"/>
      <c r="AL94" s="20"/>
      <c r="AM94" s="19"/>
      <c r="AN94" s="20"/>
      <c r="AO94" s="20"/>
      <c r="AP94" s="20"/>
      <c r="AQ94" s="19"/>
      <c r="AR94" s="20"/>
      <c r="AS94" s="20"/>
      <c r="AT94" s="20"/>
      <c r="AU94" s="19"/>
      <c r="AV94" s="20"/>
      <c r="AW94" s="20"/>
      <c r="AX94" s="20"/>
      <c r="AY94" s="22"/>
      <c r="AZ94" s="23"/>
      <c r="BA94" s="23"/>
      <c r="BB94" s="23"/>
      <c r="BC94" s="19">
        <v>91</v>
      </c>
      <c r="BD94" s="20" t="s">
        <v>82</v>
      </c>
      <c r="BE94" s="21">
        <v>5</v>
      </c>
      <c r="BF94" s="21">
        <f t="shared" si="14"/>
        <v>3044.078</v>
      </c>
      <c r="BG94" s="21">
        <v>15220.39</v>
      </c>
      <c r="BH94" s="29">
        <f t="shared" si="15"/>
        <v>9.9397650239548333E-5</v>
      </c>
      <c r="BI94" s="29">
        <f t="shared" si="16"/>
        <v>9.1420359272787846E-5</v>
      </c>
    </row>
    <row r="95" spans="1:61" x14ac:dyDescent="0.3">
      <c r="A95" s="19"/>
      <c r="B95" s="20"/>
      <c r="C95" s="20"/>
      <c r="D95" s="20"/>
      <c r="E95" s="21"/>
      <c r="F95" s="19"/>
      <c r="G95" s="20"/>
      <c r="H95" s="20"/>
      <c r="I95" s="20"/>
      <c r="J95" s="20"/>
      <c r="K95" s="19"/>
      <c r="L95" s="20"/>
      <c r="M95" s="20"/>
      <c r="N95" s="20"/>
      <c r="O95" s="20"/>
      <c r="P95" s="19"/>
      <c r="Q95" s="20"/>
      <c r="R95" s="20"/>
      <c r="S95" s="20"/>
      <c r="T95" s="20"/>
      <c r="U95" s="19"/>
      <c r="V95" s="20"/>
      <c r="W95" s="20"/>
      <c r="X95" s="20"/>
      <c r="Y95" s="20"/>
      <c r="Z95" s="19"/>
      <c r="AA95" s="20"/>
      <c r="AB95" s="20"/>
      <c r="AC95" s="20"/>
      <c r="AD95" s="20"/>
      <c r="AE95" s="19"/>
      <c r="AF95" s="20"/>
      <c r="AG95" s="20"/>
      <c r="AH95" s="20"/>
      <c r="AI95" s="19"/>
      <c r="AJ95" s="20"/>
      <c r="AK95" s="20"/>
      <c r="AL95" s="20"/>
      <c r="AM95" s="19"/>
      <c r="AN95" s="20"/>
      <c r="AO95" s="20"/>
      <c r="AP95" s="20"/>
      <c r="AQ95" s="19"/>
      <c r="AR95" s="20"/>
      <c r="AS95" s="20"/>
      <c r="AT95" s="20"/>
      <c r="AU95" s="19"/>
      <c r="AV95" s="20"/>
      <c r="AW95" s="20"/>
      <c r="AX95" s="20"/>
      <c r="AY95" s="22"/>
      <c r="AZ95" s="23"/>
      <c r="BA95" s="23"/>
      <c r="BB95" s="23"/>
      <c r="BC95" s="19">
        <v>92</v>
      </c>
      <c r="BD95" s="20" t="s">
        <v>102</v>
      </c>
      <c r="BE95" s="21">
        <v>5</v>
      </c>
      <c r="BF95" s="21">
        <f t="shared" si="14"/>
        <v>4601.2</v>
      </c>
      <c r="BG95" s="21">
        <v>23006</v>
      </c>
      <c r="BH95" s="29">
        <f t="shared" si="15"/>
        <v>9.9397650239548333E-5</v>
      </c>
      <c r="BI95" s="29">
        <f t="shared" si="16"/>
        <v>1.3818415858133447E-4</v>
      </c>
    </row>
    <row r="96" spans="1:61" x14ac:dyDescent="0.3">
      <c r="A96" s="19"/>
      <c r="B96" s="20"/>
      <c r="C96" s="20"/>
      <c r="D96" s="20"/>
      <c r="E96" s="20"/>
      <c r="F96" s="19"/>
      <c r="G96" s="20"/>
      <c r="H96" s="20"/>
      <c r="I96" s="20"/>
      <c r="J96" s="20"/>
      <c r="K96" s="19"/>
      <c r="L96" s="20"/>
      <c r="M96" s="20"/>
      <c r="N96" s="20"/>
      <c r="O96" s="20"/>
      <c r="P96" s="19"/>
      <c r="Q96" s="20"/>
      <c r="R96" s="20"/>
      <c r="S96" s="20"/>
      <c r="T96" s="20"/>
      <c r="U96" s="19"/>
      <c r="V96" s="20"/>
      <c r="W96" s="20"/>
      <c r="X96" s="20"/>
      <c r="Y96" s="20"/>
      <c r="Z96" s="19"/>
      <c r="AA96" s="20"/>
      <c r="AB96" s="20"/>
      <c r="AC96" s="20"/>
      <c r="AD96" s="20"/>
      <c r="AE96" s="19"/>
      <c r="AF96" s="20"/>
      <c r="AG96" s="20"/>
      <c r="AH96" s="20"/>
      <c r="AI96" s="19"/>
      <c r="AJ96" s="20"/>
      <c r="AK96" s="20"/>
      <c r="AL96" s="20"/>
      <c r="AM96" s="19"/>
      <c r="AN96" s="20"/>
      <c r="AO96" s="20"/>
      <c r="AP96" s="20"/>
      <c r="AQ96" s="19"/>
      <c r="AR96" s="20"/>
      <c r="AS96" s="20"/>
      <c r="AT96" s="20"/>
      <c r="AU96" s="19"/>
      <c r="AV96" s="20"/>
      <c r="AW96" s="20"/>
      <c r="AX96" s="20"/>
      <c r="AY96" s="22"/>
      <c r="AZ96" s="23"/>
      <c r="BA96" s="23"/>
      <c r="BB96" s="23"/>
      <c r="BC96" s="19">
        <v>93</v>
      </c>
      <c r="BD96" s="20" t="s">
        <v>80</v>
      </c>
      <c r="BE96" s="21">
        <v>5</v>
      </c>
      <c r="BF96" s="21">
        <f t="shared" si="14"/>
        <v>2975.8440000000001</v>
      </c>
      <c r="BG96" s="21">
        <v>14879.22</v>
      </c>
      <c r="BH96" s="29">
        <f t="shared" si="15"/>
        <v>9.9397650239548333E-5</v>
      </c>
      <c r="BI96" s="29">
        <f t="shared" si="16"/>
        <v>8.9371142138857835E-5</v>
      </c>
    </row>
    <row r="97" spans="1:61" x14ac:dyDescent="0.3">
      <c r="A97" s="19"/>
      <c r="B97" s="20"/>
      <c r="C97" s="20"/>
      <c r="D97" s="20"/>
      <c r="E97" s="20"/>
      <c r="F97" s="19"/>
      <c r="G97" s="20"/>
      <c r="H97" s="20"/>
      <c r="I97" s="20"/>
      <c r="J97" s="20"/>
      <c r="K97" s="19"/>
      <c r="L97" s="20"/>
      <c r="M97" s="20"/>
      <c r="N97" s="20"/>
      <c r="O97" s="20"/>
      <c r="P97" s="19"/>
      <c r="Q97" s="20"/>
      <c r="R97" s="20"/>
      <c r="S97" s="20"/>
      <c r="T97" s="20"/>
      <c r="U97" s="19"/>
      <c r="V97" s="20"/>
      <c r="W97" s="20"/>
      <c r="X97" s="20"/>
      <c r="Y97" s="20"/>
      <c r="Z97" s="19"/>
      <c r="AA97" s="20"/>
      <c r="AB97" s="20"/>
      <c r="AC97" s="20"/>
      <c r="AD97" s="20"/>
      <c r="AE97" s="19"/>
      <c r="AF97" s="20"/>
      <c r="AG97" s="20"/>
      <c r="AH97" s="20"/>
      <c r="AI97" s="19"/>
      <c r="AJ97" s="20"/>
      <c r="AK97" s="20"/>
      <c r="AL97" s="20"/>
      <c r="AM97" s="19"/>
      <c r="AN97" s="20"/>
      <c r="AO97" s="20"/>
      <c r="AP97" s="20"/>
      <c r="AQ97" s="19"/>
      <c r="AR97" s="20"/>
      <c r="AS97" s="20"/>
      <c r="AT97" s="20"/>
      <c r="AU97" s="19"/>
      <c r="AV97" s="20"/>
      <c r="AW97" s="20"/>
      <c r="AX97" s="20"/>
      <c r="AY97" s="22"/>
      <c r="AZ97" s="23"/>
      <c r="BA97" s="23"/>
      <c r="BB97" s="23"/>
      <c r="BC97" s="19">
        <v>94</v>
      </c>
      <c r="BD97" s="20" t="s">
        <v>97</v>
      </c>
      <c r="BE97" s="21">
        <v>5</v>
      </c>
      <c r="BF97" s="21">
        <f t="shared" si="14"/>
        <v>6708.9820000000009</v>
      </c>
      <c r="BG97" s="21">
        <v>33544.910000000003</v>
      </c>
      <c r="BH97" s="29">
        <f t="shared" si="15"/>
        <v>9.9397650239548333E-5</v>
      </c>
      <c r="BI97" s="29">
        <f t="shared" si="16"/>
        <v>2.0148548913486016E-4</v>
      </c>
    </row>
    <row r="98" spans="1:61" x14ac:dyDescent="0.3">
      <c r="A98" s="19"/>
      <c r="B98" s="20"/>
      <c r="C98" s="20"/>
      <c r="D98" s="20"/>
      <c r="E98" s="20"/>
      <c r="F98" s="19"/>
      <c r="G98" s="20"/>
      <c r="H98" s="20"/>
      <c r="I98" s="20"/>
      <c r="J98" s="20"/>
      <c r="K98" s="19"/>
      <c r="L98" s="20"/>
      <c r="M98" s="20"/>
      <c r="N98" s="20"/>
      <c r="O98" s="20"/>
      <c r="P98" s="19"/>
      <c r="Q98" s="20"/>
      <c r="R98" s="20"/>
      <c r="S98" s="20"/>
      <c r="T98" s="20"/>
      <c r="U98" s="19"/>
      <c r="V98" s="20"/>
      <c r="W98" s="20"/>
      <c r="X98" s="20"/>
      <c r="Y98" s="20"/>
      <c r="Z98" s="19"/>
      <c r="AA98" s="20"/>
      <c r="AB98" s="20"/>
      <c r="AC98" s="20"/>
      <c r="AD98" s="20"/>
      <c r="AE98" s="19"/>
      <c r="AF98" s="20"/>
      <c r="AG98" s="20"/>
      <c r="AH98" s="20"/>
      <c r="AI98" s="19"/>
      <c r="AJ98" s="20"/>
      <c r="AK98" s="20"/>
      <c r="AL98" s="20"/>
      <c r="AM98" s="19"/>
      <c r="AN98" s="20"/>
      <c r="AO98" s="20"/>
      <c r="AP98" s="20"/>
      <c r="AQ98" s="19"/>
      <c r="AR98" s="20"/>
      <c r="AS98" s="20"/>
      <c r="AT98" s="20"/>
      <c r="AU98" s="19"/>
      <c r="AV98" s="20"/>
      <c r="AW98" s="20"/>
      <c r="AX98" s="20"/>
      <c r="AY98" s="22"/>
      <c r="AZ98" s="23"/>
      <c r="BA98" s="23"/>
      <c r="BB98" s="23"/>
      <c r="BC98" s="19">
        <v>95</v>
      </c>
      <c r="BD98" s="20" t="s">
        <v>94</v>
      </c>
      <c r="BE98" s="21">
        <v>5</v>
      </c>
      <c r="BF98" s="21">
        <f t="shared" si="14"/>
        <v>5268.8739999999998</v>
      </c>
      <c r="BG98" s="21">
        <v>26344.37</v>
      </c>
      <c r="BH98" s="29">
        <f t="shared" si="15"/>
        <v>9.9397650239548333E-5</v>
      </c>
      <c r="BI98" s="29">
        <f t="shared" si="16"/>
        <v>1.5823587767562158E-4</v>
      </c>
    </row>
    <row r="99" spans="1:61" x14ac:dyDescent="0.3">
      <c r="A99" s="19"/>
      <c r="B99" s="20"/>
      <c r="C99" s="20"/>
      <c r="D99" s="20"/>
      <c r="E99" s="20"/>
      <c r="F99" s="19"/>
      <c r="G99" s="20"/>
      <c r="H99" s="20"/>
      <c r="I99" s="20"/>
      <c r="J99" s="20"/>
      <c r="K99" s="19"/>
      <c r="L99" s="20"/>
      <c r="M99" s="20"/>
      <c r="N99" s="20"/>
      <c r="O99" s="20"/>
      <c r="P99" s="19"/>
      <c r="Q99" s="20"/>
      <c r="R99" s="20"/>
      <c r="S99" s="20"/>
      <c r="T99" s="20"/>
      <c r="U99" s="19"/>
      <c r="V99" s="20"/>
      <c r="W99" s="20"/>
      <c r="X99" s="20"/>
      <c r="Y99" s="20"/>
      <c r="Z99" s="19"/>
      <c r="AA99" s="20"/>
      <c r="AB99" s="20"/>
      <c r="AC99" s="20"/>
      <c r="AD99" s="20"/>
      <c r="AE99" s="19"/>
      <c r="AF99" s="20"/>
      <c r="AG99" s="20"/>
      <c r="AH99" s="20"/>
      <c r="AI99" s="19"/>
      <c r="AJ99" s="20"/>
      <c r="AK99" s="20"/>
      <c r="AL99" s="20"/>
      <c r="AM99" s="19"/>
      <c r="AN99" s="20"/>
      <c r="AO99" s="20"/>
      <c r="AP99" s="20"/>
      <c r="AQ99" s="19"/>
      <c r="AR99" s="20"/>
      <c r="AS99" s="20"/>
      <c r="AT99" s="20"/>
      <c r="AU99" s="19"/>
      <c r="AV99" s="20"/>
      <c r="AW99" s="20"/>
      <c r="AX99" s="20"/>
      <c r="AY99" s="22"/>
      <c r="AZ99" s="23"/>
      <c r="BA99" s="23"/>
      <c r="BB99" s="23"/>
      <c r="BC99" s="19">
        <v>96</v>
      </c>
      <c r="BD99" s="20" t="s">
        <v>93</v>
      </c>
      <c r="BE99" s="21">
        <v>4</v>
      </c>
      <c r="BF99" s="21">
        <f t="shared" si="14"/>
        <v>4165.1450000000004</v>
      </c>
      <c r="BG99" s="21">
        <v>16660.580000000002</v>
      </c>
      <c r="BH99" s="29">
        <f t="shared" si="15"/>
        <v>7.9518120191638672E-5</v>
      </c>
      <c r="BI99" s="29">
        <f t="shared" si="16"/>
        <v>1.0007077409271537E-4</v>
      </c>
    </row>
    <row r="100" spans="1:61" x14ac:dyDescent="0.3">
      <c r="A100" s="19"/>
      <c r="B100" s="20"/>
      <c r="C100" s="20"/>
      <c r="D100" s="20"/>
      <c r="E100" s="20"/>
      <c r="F100" s="19"/>
      <c r="G100" s="20"/>
      <c r="H100" s="20"/>
      <c r="I100" s="20"/>
      <c r="J100" s="20"/>
      <c r="K100" s="19"/>
      <c r="L100" s="20"/>
      <c r="M100" s="20"/>
      <c r="N100" s="20"/>
      <c r="O100" s="20"/>
      <c r="P100" s="19"/>
      <c r="Q100" s="20"/>
      <c r="R100" s="20"/>
      <c r="S100" s="20"/>
      <c r="T100" s="20"/>
      <c r="U100" s="19"/>
      <c r="V100" s="20"/>
      <c r="W100" s="20"/>
      <c r="X100" s="20"/>
      <c r="Y100" s="20"/>
      <c r="Z100" s="19"/>
      <c r="AA100" s="20"/>
      <c r="AB100" s="20"/>
      <c r="AC100" s="20"/>
      <c r="AD100" s="20"/>
      <c r="AE100" s="19"/>
      <c r="AF100" s="20"/>
      <c r="AG100" s="20"/>
      <c r="AH100" s="20"/>
      <c r="AI100" s="19"/>
      <c r="AJ100" s="20"/>
      <c r="AK100" s="20"/>
      <c r="AL100" s="20"/>
      <c r="AM100" s="19"/>
      <c r="AN100" s="20"/>
      <c r="AO100" s="20"/>
      <c r="AP100" s="20"/>
      <c r="AQ100" s="19"/>
      <c r="AR100" s="20"/>
      <c r="AS100" s="20"/>
      <c r="AT100" s="20"/>
      <c r="AU100" s="19"/>
      <c r="AV100" s="20"/>
      <c r="AW100" s="20"/>
      <c r="AX100" s="20"/>
      <c r="AY100" s="22"/>
      <c r="AZ100" s="23"/>
      <c r="BA100" s="23"/>
      <c r="BB100" s="23"/>
      <c r="BC100" s="19">
        <v>97</v>
      </c>
      <c r="BD100" s="20" t="s">
        <v>90</v>
      </c>
      <c r="BE100" s="21">
        <v>4</v>
      </c>
      <c r="BF100" s="21">
        <f t="shared" si="14"/>
        <v>4155.97</v>
      </c>
      <c r="BG100" s="21">
        <v>16623.88</v>
      </c>
      <c r="BH100" s="29">
        <f t="shared" si="15"/>
        <v>7.9518120191638672E-5</v>
      </c>
      <c r="BI100" s="29">
        <f t="shared" si="16"/>
        <v>9.9850337744808942E-5</v>
      </c>
    </row>
    <row r="101" spans="1:61" x14ac:dyDescent="0.3">
      <c r="A101" s="19"/>
      <c r="B101" s="20"/>
      <c r="C101" s="20"/>
      <c r="D101" s="20"/>
      <c r="E101" s="20"/>
      <c r="F101" s="19"/>
      <c r="G101" s="20"/>
      <c r="H101" s="20"/>
      <c r="I101" s="20"/>
      <c r="J101" s="20"/>
      <c r="K101" s="19"/>
      <c r="L101" s="20"/>
      <c r="M101" s="20"/>
      <c r="N101" s="20"/>
      <c r="O101" s="20"/>
      <c r="P101" s="19"/>
      <c r="Q101" s="20"/>
      <c r="R101" s="20"/>
      <c r="S101" s="20"/>
      <c r="T101" s="20"/>
      <c r="U101" s="19"/>
      <c r="V101" s="20"/>
      <c r="W101" s="20"/>
      <c r="X101" s="20"/>
      <c r="Y101" s="20"/>
      <c r="Z101" s="19"/>
      <c r="AA101" s="20"/>
      <c r="AB101" s="20"/>
      <c r="AC101" s="20"/>
      <c r="AD101" s="20"/>
      <c r="AE101" s="19"/>
      <c r="AF101" s="20"/>
      <c r="AG101" s="20"/>
      <c r="AH101" s="20"/>
      <c r="AI101" s="19"/>
      <c r="AJ101" s="20"/>
      <c r="AK101" s="20"/>
      <c r="AL101" s="20"/>
      <c r="AM101" s="19"/>
      <c r="AN101" s="20"/>
      <c r="AO101" s="20"/>
      <c r="AP101" s="20"/>
      <c r="AQ101" s="19"/>
      <c r="AR101" s="20"/>
      <c r="AS101" s="20"/>
      <c r="AT101" s="20"/>
      <c r="AU101" s="19"/>
      <c r="AV101" s="20"/>
      <c r="AW101" s="20"/>
      <c r="AX101" s="20"/>
      <c r="AY101" s="22"/>
      <c r="AZ101" s="23"/>
      <c r="BA101" s="23"/>
      <c r="BB101" s="23"/>
      <c r="BC101" s="19">
        <v>98</v>
      </c>
      <c r="BD101" s="20" t="s">
        <v>104</v>
      </c>
      <c r="BE101" s="21">
        <v>4</v>
      </c>
      <c r="BF101" s="21">
        <f t="shared" si="14"/>
        <v>2888.69</v>
      </c>
      <c r="BG101" s="21">
        <v>11554.76</v>
      </c>
      <c r="BH101" s="29">
        <f t="shared" si="15"/>
        <v>7.9518120191638672E-5</v>
      </c>
      <c r="BI101" s="29">
        <f t="shared" si="16"/>
        <v>6.9402972624935246E-5</v>
      </c>
    </row>
    <row r="102" spans="1:61" x14ac:dyDescent="0.3">
      <c r="A102" s="19"/>
      <c r="B102" s="20"/>
      <c r="C102" s="20"/>
      <c r="D102" s="20"/>
      <c r="E102" s="20"/>
      <c r="F102" s="19"/>
      <c r="G102" s="20"/>
      <c r="H102" s="20"/>
      <c r="I102" s="20"/>
      <c r="J102" s="20"/>
      <c r="K102" s="19"/>
      <c r="L102" s="20"/>
      <c r="M102" s="20"/>
      <c r="N102" s="20"/>
      <c r="O102" s="20"/>
      <c r="P102" s="19"/>
      <c r="Q102" s="20"/>
      <c r="R102" s="20"/>
      <c r="S102" s="20"/>
      <c r="T102" s="20"/>
      <c r="U102" s="19"/>
      <c r="V102" s="20"/>
      <c r="W102" s="20"/>
      <c r="X102" s="20"/>
      <c r="Y102" s="20"/>
      <c r="Z102" s="19"/>
      <c r="AA102" s="20"/>
      <c r="AB102" s="20"/>
      <c r="AC102" s="20"/>
      <c r="AD102" s="20"/>
      <c r="AE102" s="19"/>
      <c r="AF102" s="20"/>
      <c r="AG102" s="20"/>
      <c r="AH102" s="20"/>
      <c r="AI102" s="19"/>
      <c r="AJ102" s="20"/>
      <c r="AK102" s="20"/>
      <c r="AL102" s="20"/>
      <c r="AM102" s="19"/>
      <c r="AN102" s="20"/>
      <c r="AO102" s="20"/>
      <c r="AP102" s="20"/>
      <c r="AQ102" s="19"/>
      <c r="AR102" s="20"/>
      <c r="AS102" s="20"/>
      <c r="AT102" s="20"/>
      <c r="AU102" s="19"/>
      <c r="AV102" s="20"/>
      <c r="AW102" s="20"/>
      <c r="AX102" s="20"/>
      <c r="AY102" s="22"/>
      <c r="AZ102" s="23"/>
      <c r="BA102" s="23"/>
      <c r="BB102" s="23"/>
      <c r="BC102" s="19">
        <v>99</v>
      </c>
      <c r="BD102" s="20" t="s">
        <v>100</v>
      </c>
      <c r="BE102" s="21">
        <v>3</v>
      </c>
      <c r="BF102" s="21">
        <f t="shared" si="14"/>
        <v>8187.6699999999992</v>
      </c>
      <c r="BG102" s="21">
        <v>24563.01</v>
      </c>
      <c r="BH102" s="29">
        <f t="shared" si="15"/>
        <v>5.9638590143729004E-5</v>
      </c>
      <c r="BI102" s="29">
        <f t="shared" si="16"/>
        <v>1.4753624572176407E-4</v>
      </c>
    </row>
    <row r="103" spans="1:61" x14ac:dyDescent="0.3">
      <c r="A103" s="19"/>
      <c r="B103" s="20"/>
      <c r="C103" s="20"/>
      <c r="D103" s="20"/>
      <c r="E103" s="20"/>
      <c r="F103" s="19"/>
      <c r="G103" s="20"/>
      <c r="H103" s="20"/>
      <c r="I103" s="20"/>
      <c r="J103" s="20"/>
      <c r="K103" s="19"/>
      <c r="L103" s="20"/>
      <c r="M103" s="20"/>
      <c r="N103" s="20"/>
      <c r="O103" s="20"/>
      <c r="P103" s="19"/>
      <c r="Q103" s="20"/>
      <c r="R103" s="20"/>
      <c r="S103" s="20"/>
      <c r="T103" s="20"/>
      <c r="U103" s="19"/>
      <c r="V103" s="20"/>
      <c r="W103" s="20"/>
      <c r="X103" s="20"/>
      <c r="Y103" s="20"/>
      <c r="Z103" s="19"/>
      <c r="AA103" s="20"/>
      <c r="AB103" s="20"/>
      <c r="AC103" s="20"/>
      <c r="AD103" s="20"/>
      <c r="AE103" s="19"/>
      <c r="AF103" s="20"/>
      <c r="AG103" s="20"/>
      <c r="AH103" s="20"/>
      <c r="AI103" s="19"/>
      <c r="AJ103" s="20"/>
      <c r="AK103" s="20"/>
      <c r="AL103" s="20"/>
      <c r="AM103" s="19"/>
      <c r="AN103" s="20"/>
      <c r="AO103" s="20"/>
      <c r="AP103" s="20"/>
      <c r="AQ103" s="19"/>
      <c r="AR103" s="20"/>
      <c r="AS103" s="20"/>
      <c r="AT103" s="20"/>
      <c r="AU103" s="19"/>
      <c r="AV103" s="20"/>
      <c r="AW103" s="20"/>
      <c r="AX103" s="20"/>
      <c r="AY103" s="22"/>
      <c r="AZ103" s="23"/>
      <c r="BA103" s="23"/>
      <c r="BB103" s="23"/>
      <c r="BC103" s="19">
        <v>100</v>
      </c>
      <c r="BD103" s="20" t="s">
        <v>92</v>
      </c>
      <c r="BE103" s="21">
        <v>3</v>
      </c>
      <c r="BF103" s="21">
        <f t="shared" si="14"/>
        <v>6396.47</v>
      </c>
      <c r="BG103" s="21">
        <v>19189.41</v>
      </c>
      <c r="BH103" s="29">
        <f t="shared" si="15"/>
        <v>5.9638590143729004E-5</v>
      </c>
      <c r="BI103" s="29">
        <f t="shared" si="16"/>
        <v>1.1526003975146681E-4</v>
      </c>
    </row>
    <row r="104" spans="1:61" x14ac:dyDescent="0.3">
      <c r="A104" s="19"/>
      <c r="B104" s="20"/>
      <c r="C104" s="20"/>
      <c r="D104" s="20"/>
      <c r="E104" s="20"/>
      <c r="F104" s="19"/>
      <c r="G104" s="20"/>
      <c r="H104" s="20"/>
      <c r="I104" s="20"/>
      <c r="J104" s="20"/>
      <c r="K104" s="19"/>
      <c r="L104" s="20"/>
      <c r="M104" s="20"/>
      <c r="N104" s="20"/>
      <c r="O104" s="20"/>
      <c r="P104" s="19"/>
      <c r="Q104" s="20"/>
      <c r="R104" s="20"/>
      <c r="S104" s="20"/>
      <c r="T104" s="20"/>
      <c r="U104" s="19"/>
      <c r="V104" s="20"/>
      <c r="W104" s="20"/>
      <c r="X104" s="20"/>
      <c r="Y104" s="20"/>
      <c r="Z104" s="19"/>
      <c r="AA104" s="20"/>
      <c r="AB104" s="20"/>
      <c r="AC104" s="20"/>
      <c r="AD104" s="20"/>
      <c r="AE104" s="19"/>
      <c r="AF104" s="20"/>
      <c r="AG104" s="20"/>
      <c r="AH104" s="20"/>
      <c r="AI104" s="19"/>
      <c r="AJ104" s="20"/>
      <c r="AK104" s="20"/>
      <c r="AL104" s="20"/>
      <c r="AM104" s="19"/>
      <c r="AN104" s="20"/>
      <c r="AO104" s="20"/>
      <c r="AP104" s="20"/>
      <c r="AQ104" s="19"/>
      <c r="AR104" s="20"/>
      <c r="AS104" s="20"/>
      <c r="AT104" s="20"/>
      <c r="AU104" s="19"/>
      <c r="AV104" s="20"/>
      <c r="AW104" s="20"/>
      <c r="AX104" s="20"/>
      <c r="AY104" s="22"/>
      <c r="AZ104" s="23"/>
      <c r="BA104" s="23"/>
      <c r="BB104" s="23"/>
      <c r="BC104" s="19">
        <v>101</v>
      </c>
      <c r="BD104" s="20" t="s">
        <v>96</v>
      </c>
      <c r="BE104" s="21">
        <v>2</v>
      </c>
      <c r="BF104" s="21">
        <f t="shared" si="14"/>
        <v>3973.3049999999998</v>
      </c>
      <c r="BG104" s="21">
        <v>7946.61</v>
      </c>
      <c r="BH104" s="29">
        <f t="shared" si="15"/>
        <v>3.9759060095819336E-5</v>
      </c>
      <c r="BI104" s="29">
        <f t="shared" si="16"/>
        <v>4.773083614813606E-5</v>
      </c>
    </row>
    <row r="105" spans="1:61" x14ac:dyDescent="0.3">
      <c r="A105" s="19"/>
      <c r="B105" s="20"/>
      <c r="C105" s="20"/>
      <c r="D105" s="20"/>
      <c r="E105" s="20"/>
      <c r="F105" s="19"/>
      <c r="G105" s="20"/>
      <c r="H105" s="20"/>
      <c r="I105" s="20"/>
      <c r="J105" s="20"/>
      <c r="K105" s="19"/>
      <c r="L105" s="20"/>
      <c r="M105" s="20"/>
      <c r="N105" s="20"/>
      <c r="O105" s="20"/>
      <c r="P105" s="19"/>
      <c r="Q105" s="20"/>
      <c r="R105" s="20"/>
      <c r="S105" s="20"/>
      <c r="T105" s="20"/>
      <c r="U105" s="19"/>
      <c r="V105" s="20"/>
      <c r="W105" s="20"/>
      <c r="X105" s="20"/>
      <c r="Y105" s="20"/>
      <c r="Z105" s="19"/>
      <c r="AA105" s="20"/>
      <c r="AB105" s="20"/>
      <c r="AC105" s="20"/>
      <c r="AD105" s="20"/>
      <c r="AE105" s="19"/>
      <c r="AF105" s="20"/>
      <c r="AG105" s="20"/>
      <c r="AH105" s="20"/>
      <c r="AI105" s="19"/>
      <c r="AJ105" s="20"/>
      <c r="AK105" s="20"/>
      <c r="AL105" s="20"/>
      <c r="AM105" s="19"/>
      <c r="AN105" s="20"/>
      <c r="AO105" s="20"/>
      <c r="AP105" s="20"/>
      <c r="AQ105" s="19"/>
      <c r="AR105" s="20"/>
      <c r="AS105" s="20"/>
      <c r="AT105" s="20"/>
      <c r="AU105" s="19"/>
      <c r="AV105" s="20"/>
      <c r="AW105" s="20"/>
      <c r="AX105" s="20"/>
      <c r="AY105" s="22"/>
      <c r="AZ105" s="23"/>
      <c r="BA105" s="23"/>
      <c r="BB105" s="23"/>
      <c r="BC105" s="19">
        <v>102</v>
      </c>
      <c r="BD105" s="20" t="s">
        <v>99</v>
      </c>
      <c r="BE105" s="21">
        <v>2</v>
      </c>
      <c r="BF105" s="21">
        <f t="shared" si="14"/>
        <v>3357.49</v>
      </c>
      <c r="BG105" s="21">
        <v>6714.98</v>
      </c>
      <c r="BH105" s="29">
        <f t="shared" si="15"/>
        <v>3.9759060095819336E-5</v>
      </c>
      <c r="BI105" s="29">
        <f t="shared" si="16"/>
        <v>4.0333124454076732E-5</v>
      </c>
    </row>
    <row r="106" spans="1:61" x14ac:dyDescent="0.3">
      <c r="A106" s="19"/>
      <c r="B106" s="20"/>
      <c r="C106" s="20"/>
      <c r="D106" s="20"/>
      <c r="E106" s="20"/>
      <c r="F106" s="19"/>
      <c r="G106" s="20"/>
      <c r="H106" s="20"/>
      <c r="I106" s="20"/>
      <c r="J106" s="20"/>
      <c r="K106" s="19"/>
      <c r="L106" s="20"/>
      <c r="M106" s="20"/>
      <c r="N106" s="20"/>
      <c r="O106" s="20"/>
      <c r="P106" s="19"/>
      <c r="Q106" s="20"/>
      <c r="R106" s="20"/>
      <c r="S106" s="20"/>
      <c r="T106" s="20"/>
      <c r="U106" s="19"/>
      <c r="V106" s="20"/>
      <c r="W106" s="20"/>
      <c r="X106" s="20"/>
      <c r="Y106" s="20"/>
      <c r="Z106" s="19"/>
      <c r="AA106" s="20"/>
      <c r="AB106" s="20"/>
      <c r="AC106" s="20"/>
      <c r="AD106" s="20"/>
      <c r="AE106" s="19"/>
      <c r="AF106" s="20"/>
      <c r="AG106" s="20"/>
      <c r="AH106" s="20"/>
      <c r="AI106" s="19"/>
      <c r="AJ106" s="20"/>
      <c r="AK106" s="20"/>
      <c r="AL106" s="20"/>
      <c r="AM106" s="19"/>
      <c r="AN106" s="20"/>
      <c r="AO106" s="20"/>
      <c r="AP106" s="20"/>
      <c r="AQ106" s="19"/>
      <c r="AR106" s="20"/>
      <c r="AS106" s="20"/>
      <c r="AT106" s="20"/>
      <c r="AU106" s="19"/>
      <c r="AV106" s="20"/>
      <c r="AW106" s="20"/>
      <c r="AX106" s="20"/>
      <c r="AY106" s="22"/>
      <c r="AZ106" s="23"/>
      <c r="BA106" s="23"/>
      <c r="BB106" s="23"/>
      <c r="BC106" s="19">
        <v>103</v>
      </c>
      <c r="BD106" s="20" t="s">
        <v>101</v>
      </c>
      <c r="BE106" s="21">
        <v>2</v>
      </c>
      <c r="BF106" s="21">
        <f t="shared" si="14"/>
        <v>3936.11</v>
      </c>
      <c r="BG106" s="21">
        <v>7872.22</v>
      </c>
      <c r="BH106" s="29">
        <f t="shared" si="15"/>
        <v>3.9759060095819336E-5</v>
      </c>
      <c r="BI106" s="29">
        <f t="shared" si="16"/>
        <v>4.7284017076725759E-5</v>
      </c>
    </row>
    <row r="107" spans="1:61" x14ac:dyDescent="0.3">
      <c r="A107" s="19"/>
      <c r="B107" s="20"/>
      <c r="C107" s="20"/>
      <c r="D107" s="20"/>
      <c r="E107" s="20"/>
      <c r="F107" s="19"/>
      <c r="G107" s="20"/>
      <c r="H107" s="20"/>
      <c r="I107" s="20"/>
      <c r="J107" s="20"/>
      <c r="K107" s="19"/>
      <c r="L107" s="20"/>
      <c r="M107" s="20"/>
      <c r="N107" s="20"/>
      <c r="O107" s="20"/>
      <c r="P107" s="19"/>
      <c r="Q107" s="20"/>
      <c r="R107" s="20"/>
      <c r="S107" s="20"/>
      <c r="T107" s="20"/>
      <c r="U107" s="19"/>
      <c r="V107" s="20"/>
      <c r="W107" s="20"/>
      <c r="X107" s="20"/>
      <c r="Y107" s="20"/>
      <c r="Z107" s="19"/>
      <c r="AA107" s="20"/>
      <c r="AB107" s="20"/>
      <c r="AC107" s="20"/>
      <c r="AD107" s="20"/>
      <c r="AE107" s="19"/>
      <c r="AF107" s="20"/>
      <c r="AG107" s="20"/>
      <c r="AH107" s="20"/>
      <c r="AI107" s="19"/>
      <c r="AJ107" s="20"/>
      <c r="AK107" s="20"/>
      <c r="AL107" s="20"/>
      <c r="AM107" s="19"/>
      <c r="AN107" s="20"/>
      <c r="AO107" s="20"/>
      <c r="AP107" s="20"/>
      <c r="AQ107" s="19"/>
      <c r="AR107" s="20"/>
      <c r="AS107" s="20"/>
      <c r="AT107" s="20"/>
      <c r="AU107" s="19"/>
      <c r="AV107" s="20"/>
      <c r="AW107" s="20"/>
      <c r="AX107" s="20"/>
      <c r="AY107" s="22"/>
      <c r="AZ107" s="23"/>
      <c r="BA107" s="23"/>
      <c r="BB107" s="23"/>
      <c r="BC107" s="19">
        <v>104</v>
      </c>
      <c r="BD107" s="20" t="s">
        <v>106</v>
      </c>
      <c r="BE107" s="21">
        <v>2</v>
      </c>
      <c r="BF107" s="21">
        <f t="shared" si="14"/>
        <v>10285</v>
      </c>
      <c r="BG107" s="21">
        <v>20570</v>
      </c>
      <c r="BH107" s="29">
        <f t="shared" si="15"/>
        <v>3.9759060095819336E-5</v>
      </c>
      <c r="BI107" s="29">
        <f t="shared" si="16"/>
        <v>1.2355247074754628E-4</v>
      </c>
    </row>
    <row r="108" spans="1:61" x14ac:dyDescent="0.3">
      <c r="A108" s="19"/>
      <c r="B108" s="20"/>
      <c r="C108" s="20"/>
      <c r="D108" s="20"/>
      <c r="E108" s="20"/>
      <c r="F108" s="19"/>
      <c r="G108" s="20"/>
      <c r="H108" s="20"/>
      <c r="I108" s="20"/>
      <c r="J108" s="20"/>
      <c r="K108" s="19"/>
      <c r="L108" s="20"/>
      <c r="M108" s="20"/>
      <c r="N108" s="20"/>
      <c r="O108" s="20"/>
      <c r="P108" s="19"/>
      <c r="Q108" s="20"/>
      <c r="R108" s="20"/>
      <c r="S108" s="20"/>
      <c r="T108" s="20"/>
      <c r="U108" s="19"/>
      <c r="V108" s="20"/>
      <c r="W108" s="20"/>
      <c r="X108" s="20"/>
      <c r="Y108" s="20"/>
      <c r="Z108" s="19"/>
      <c r="AA108" s="20"/>
      <c r="AB108" s="20"/>
      <c r="AC108" s="20"/>
      <c r="AD108" s="20"/>
      <c r="AE108" s="19"/>
      <c r="AF108" s="20"/>
      <c r="AG108" s="20"/>
      <c r="AH108" s="20"/>
      <c r="AI108" s="19"/>
      <c r="AJ108" s="20"/>
      <c r="AK108" s="20"/>
      <c r="AL108" s="20"/>
      <c r="AM108" s="19"/>
      <c r="AN108" s="20"/>
      <c r="AO108" s="20"/>
      <c r="AP108" s="20"/>
      <c r="AQ108" s="19"/>
      <c r="AR108" s="20"/>
      <c r="AS108" s="20"/>
      <c r="AT108" s="20"/>
      <c r="AU108" s="19"/>
      <c r="AV108" s="20"/>
      <c r="AW108" s="20"/>
      <c r="AX108" s="20"/>
      <c r="AY108" s="22"/>
      <c r="AZ108" s="23"/>
      <c r="BA108" s="23"/>
      <c r="BB108" s="23"/>
      <c r="BC108" s="19">
        <v>105</v>
      </c>
      <c r="BD108" s="20" t="s">
        <v>103</v>
      </c>
      <c r="BE108" s="21">
        <v>2</v>
      </c>
      <c r="BF108" s="21">
        <f t="shared" si="14"/>
        <v>6542.06</v>
      </c>
      <c r="BG108" s="21">
        <v>13084.12</v>
      </c>
      <c r="BH108" s="29">
        <f t="shared" si="15"/>
        <v>3.9759060095819336E-5</v>
      </c>
      <c r="BI108" s="29">
        <f t="shared" si="16"/>
        <v>7.8588981699435366E-5</v>
      </c>
    </row>
    <row r="109" spans="1:61" x14ac:dyDescent="0.3">
      <c r="A109" s="19"/>
      <c r="B109" s="20"/>
      <c r="C109" s="20"/>
      <c r="D109" s="20"/>
      <c r="E109" s="20"/>
      <c r="F109" s="19"/>
      <c r="G109" s="20"/>
      <c r="H109" s="20"/>
      <c r="I109" s="20"/>
      <c r="J109" s="20"/>
      <c r="K109" s="19"/>
      <c r="L109" s="20"/>
      <c r="M109" s="20"/>
      <c r="N109" s="20"/>
      <c r="O109" s="20"/>
      <c r="P109" s="19"/>
      <c r="Q109" s="20"/>
      <c r="R109" s="20"/>
      <c r="S109" s="20"/>
      <c r="T109" s="20"/>
      <c r="U109" s="19"/>
      <c r="V109" s="20"/>
      <c r="W109" s="20"/>
      <c r="X109" s="20"/>
      <c r="Y109" s="20"/>
      <c r="Z109" s="19"/>
      <c r="AA109" s="20"/>
      <c r="AB109" s="20"/>
      <c r="AC109" s="20"/>
      <c r="AD109" s="20"/>
      <c r="AE109" s="19"/>
      <c r="AF109" s="20"/>
      <c r="AG109" s="20"/>
      <c r="AH109" s="20"/>
      <c r="AI109" s="19"/>
      <c r="AJ109" s="20"/>
      <c r="AK109" s="20"/>
      <c r="AL109" s="20"/>
      <c r="AM109" s="19"/>
      <c r="AN109" s="20"/>
      <c r="AO109" s="20"/>
      <c r="AP109" s="20"/>
      <c r="AQ109" s="19"/>
      <c r="AR109" s="20"/>
      <c r="AS109" s="20"/>
      <c r="AT109" s="20"/>
      <c r="AU109" s="19"/>
      <c r="AV109" s="20"/>
      <c r="AW109" s="20"/>
      <c r="AX109" s="20"/>
      <c r="AY109" s="22"/>
      <c r="AZ109" s="23"/>
      <c r="BA109" s="23"/>
      <c r="BB109" s="23"/>
      <c r="BC109" s="19">
        <v>106</v>
      </c>
      <c r="BD109" s="20" t="s">
        <v>107</v>
      </c>
      <c r="BE109" s="21">
        <v>1</v>
      </c>
      <c r="BF109" s="21">
        <f t="shared" si="14"/>
        <v>14443.5</v>
      </c>
      <c r="BG109" s="21">
        <v>14443.5</v>
      </c>
      <c r="BH109" s="29">
        <f t="shared" si="15"/>
        <v>1.9879530047909668E-5</v>
      </c>
      <c r="BI109" s="29">
        <f t="shared" si="16"/>
        <v>8.6754016103168932E-5</v>
      </c>
    </row>
    <row r="110" spans="1:61" x14ac:dyDescent="0.3">
      <c r="A110" s="19"/>
      <c r="B110" s="20"/>
      <c r="C110" s="20"/>
      <c r="D110" s="20"/>
      <c r="E110" s="20"/>
      <c r="F110" s="19"/>
      <c r="G110" s="20"/>
      <c r="H110" s="20"/>
      <c r="I110" s="20"/>
      <c r="J110" s="20"/>
      <c r="K110" s="19"/>
      <c r="L110" s="20"/>
      <c r="M110" s="20"/>
      <c r="N110" s="20"/>
      <c r="O110" s="20"/>
      <c r="P110" s="19"/>
      <c r="Q110" s="20"/>
      <c r="R110" s="20"/>
      <c r="S110" s="20"/>
      <c r="T110" s="20"/>
      <c r="U110" s="19"/>
      <c r="V110" s="20"/>
      <c r="W110" s="20"/>
      <c r="X110" s="20"/>
      <c r="Y110" s="20"/>
      <c r="Z110" s="19"/>
      <c r="AA110" s="20"/>
      <c r="AB110" s="20"/>
      <c r="AC110" s="20"/>
      <c r="AD110" s="20"/>
      <c r="AE110" s="19"/>
      <c r="AF110" s="20"/>
      <c r="AG110" s="20"/>
      <c r="AH110" s="20"/>
      <c r="AI110" s="19"/>
      <c r="AJ110" s="20"/>
      <c r="AK110" s="20"/>
      <c r="AL110" s="20"/>
      <c r="AM110" s="19"/>
      <c r="AN110" s="20"/>
      <c r="AO110" s="20"/>
      <c r="AP110" s="20"/>
      <c r="AQ110" s="19"/>
      <c r="AR110" s="20"/>
      <c r="AS110" s="20"/>
      <c r="AT110" s="20"/>
      <c r="AU110" s="19"/>
      <c r="AV110" s="20"/>
      <c r="AW110" s="20"/>
      <c r="AX110" s="20"/>
      <c r="AY110" s="22"/>
      <c r="AZ110" s="23"/>
      <c r="BA110" s="23"/>
      <c r="BB110" s="23"/>
      <c r="BC110" s="19"/>
      <c r="BD110" s="23"/>
      <c r="BE110" s="30"/>
      <c r="BF110" s="30"/>
      <c r="BG110" s="31"/>
    </row>
    <row r="111" spans="1:61" x14ac:dyDescent="0.3">
      <c r="A111" s="19"/>
      <c r="B111" s="20"/>
      <c r="C111" s="20"/>
      <c r="D111" s="20"/>
      <c r="E111" s="20"/>
      <c r="F111" s="19"/>
      <c r="G111" s="20"/>
      <c r="H111" s="20"/>
      <c r="I111" s="20"/>
      <c r="J111" s="20"/>
      <c r="K111" s="19"/>
      <c r="L111" s="20"/>
      <c r="M111" s="20"/>
      <c r="N111" s="20"/>
      <c r="O111" s="20"/>
      <c r="P111" s="19"/>
      <c r="Q111" s="20"/>
      <c r="R111" s="20"/>
      <c r="S111" s="20"/>
      <c r="T111" s="20"/>
      <c r="U111" s="19"/>
      <c r="V111" s="20"/>
      <c r="W111" s="20"/>
      <c r="X111" s="20"/>
      <c r="Y111" s="20"/>
      <c r="Z111" s="19"/>
      <c r="AA111" s="20"/>
      <c r="AB111" s="20"/>
      <c r="AC111" s="20"/>
      <c r="AD111" s="20"/>
      <c r="AE111" s="19"/>
      <c r="AF111" s="20"/>
      <c r="AG111" s="20"/>
      <c r="AH111" s="20"/>
      <c r="AI111" s="19"/>
      <c r="AJ111" s="20"/>
      <c r="AK111" s="20"/>
      <c r="AL111" s="20"/>
      <c r="AM111" s="19"/>
      <c r="AN111" s="20"/>
      <c r="AO111" s="20"/>
      <c r="AP111" s="20"/>
      <c r="AQ111" s="19"/>
      <c r="AR111" s="20"/>
      <c r="AS111" s="20"/>
      <c r="AT111" s="20"/>
      <c r="AU111" s="19"/>
      <c r="AV111" s="20"/>
      <c r="AW111" s="20"/>
      <c r="AX111" s="20"/>
      <c r="AY111" s="22"/>
      <c r="AZ111" s="23"/>
      <c r="BA111" s="23"/>
      <c r="BB111" s="23"/>
      <c r="BC111" s="19"/>
      <c r="BD111" s="23"/>
      <c r="BE111" s="27"/>
      <c r="BF111" s="27"/>
      <c r="BG111" s="23"/>
    </row>
    <row r="112" spans="1:61" x14ac:dyDescent="0.3">
      <c r="A112" s="19"/>
      <c r="B112" s="20"/>
      <c r="C112" s="20"/>
      <c r="D112" s="20"/>
      <c r="E112" s="20"/>
      <c r="F112" s="19"/>
      <c r="G112" s="20"/>
      <c r="H112" s="20"/>
      <c r="I112" s="20"/>
      <c r="J112" s="20"/>
      <c r="K112" s="19"/>
      <c r="L112" s="20"/>
      <c r="M112" s="20"/>
      <c r="N112" s="20"/>
      <c r="O112" s="20"/>
      <c r="P112" s="19"/>
      <c r="Q112" s="20"/>
      <c r="R112" s="20"/>
      <c r="S112" s="20"/>
      <c r="T112" s="20"/>
      <c r="U112" s="19"/>
      <c r="V112" s="20"/>
      <c r="W112" s="20"/>
      <c r="X112" s="20"/>
      <c r="Y112" s="20"/>
      <c r="Z112" s="19"/>
      <c r="AA112" s="20"/>
      <c r="AB112" s="20"/>
      <c r="AC112" s="20"/>
      <c r="AD112" s="20"/>
      <c r="AE112" s="19"/>
      <c r="AF112" s="20"/>
      <c r="AG112" s="20"/>
      <c r="AH112" s="20"/>
      <c r="AI112" s="19"/>
      <c r="AJ112" s="20"/>
      <c r="AK112" s="20"/>
      <c r="AL112" s="20"/>
      <c r="AM112" s="19"/>
      <c r="AN112" s="20"/>
      <c r="AO112" s="20"/>
      <c r="AP112" s="20"/>
      <c r="AQ112" s="19"/>
      <c r="AR112" s="20"/>
      <c r="AS112" s="20"/>
      <c r="AT112" s="20"/>
      <c r="AU112" s="19"/>
      <c r="AV112" s="20"/>
      <c r="AW112" s="20"/>
      <c r="AX112" s="20"/>
      <c r="AY112" s="22"/>
      <c r="AZ112" s="23"/>
      <c r="BA112" s="23"/>
      <c r="BB112" s="23"/>
      <c r="BC112" s="19"/>
      <c r="BD112" s="23"/>
      <c r="BE112" s="27"/>
      <c r="BF112" s="27"/>
      <c r="BG112" s="23"/>
    </row>
    <row r="113" spans="1:59" x14ac:dyDescent="0.3">
      <c r="A113" s="19"/>
      <c r="B113" s="20"/>
      <c r="C113" s="20"/>
      <c r="D113" s="20"/>
      <c r="E113" s="20"/>
      <c r="F113" s="19"/>
      <c r="G113" s="20"/>
      <c r="H113" s="20"/>
      <c r="I113" s="20"/>
      <c r="J113" s="20"/>
      <c r="K113" s="19"/>
      <c r="L113" s="20"/>
      <c r="M113" s="20"/>
      <c r="N113" s="20"/>
      <c r="O113" s="20"/>
      <c r="P113" s="19"/>
      <c r="Q113" s="20"/>
      <c r="R113" s="20"/>
      <c r="S113" s="20"/>
      <c r="T113" s="20"/>
      <c r="U113" s="19"/>
      <c r="V113" s="20"/>
      <c r="W113" s="20"/>
      <c r="X113" s="20"/>
      <c r="Y113" s="20"/>
      <c r="Z113" s="19"/>
      <c r="AA113" s="20"/>
      <c r="AB113" s="20"/>
      <c r="AC113" s="20"/>
      <c r="AD113" s="20"/>
      <c r="AE113" s="19"/>
      <c r="AF113" s="20"/>
      <c r="AG113" s="20"/>
      <c r="AH113" s="20"/>
      <c r="AI113" s="19"/>
      <c r="AJ113" s="20"/>
      <c r="AK113" s="20"/>
      <c r="AL113" s="20"/>
      <c r="AM113" s="19"/>
      <c r="AN113" s="20"/>
      <c r="AO113" s="20"/>
      <c r="AP113" s="20"/>
      <c r="AQ113" s="19"/>
      <c r="AR113" s="20"/>
      <c r="AS113" s="20"/>
      <c r="AT113" s="20"/>
      <c r="AU113" s="19"/>
      <c r="AV113" s="20"/>
      <c r="AW113" s="20"/>
      <c r="AX113" s="20"/>
      <c r="AY113" s="22"/>
      <c r="AZ113" s="23"/>
      <c r="BA113" s="23"/>
      <c r="BB113" s="23"/>
      <c r="BC113" s="19"/>
      <c r="BD113" s="23"/>
      <c r="BE113" s="27"/>
      <c r="BF113" s="27"/>
      <c r="BG113" s="23"/>
    </row>
    <row r="114" spans="1:59" x14ac:dyDescent="0.3">
      <c r="A114" s="19"/>
      <c r="B114" s="20"/>
      <c r="C114" s="20"/>
      <c r="D114" s="20"/>
      <c r="E114" s="20"/>
      <c r="F114" s="19"/>
      <c r="G114" s="20"/>
      <c r="H114" s="20"/>
      <c r="I114" s="20"/>
      <c r="J114" s="20"/>
      <c r="K114" s="19"/>
      <c r="L114" s="20"/>
      <c r="M114" s="20"/>
      <c r="N114" s="20"/>
      <c r="O114" s="20"/>
      <c r="P114" s="19"/>
      <c r="Q114" s="20"/>
      <c r="R114" s="20"/>
      <c r="S114" s="20"/>
      <c r="T114" s="20"/>
      <c r="U114" s="19"/>
      <c r="V114" s="20"/>
      <c r="W114" s="20"/>
      <c r="X114" s="20"/>
      <c r="Y114" s="20"/>
      <c r="Z114" s="19"/>
      <c r="AA114" s="20"/>
      <c r="AB114" s="20"/>
      <c r="AC114" s="20"/>
      <c r="AD114" s="20"/>
      <c r="AE114" s="19"/>
      <c r="AF114" s="20"/>
      <c r="AG114" s="20"/>
      <c r="AH114" s="20"/>
      <c r="AI114" s="19"/>
      <c r="AJ114" s="20"/>
      <c r="AK114" s="20"/>
      <c r="AL114" s="20"/>
      <c r="AM114" s="19"/>
      <c r="AN114" s="20"/>
      <c r="AO114" s="20"/>
      <c r="AP114" s="20"/>
      <c r="AQ114" s="19"/>
      <c r="AR114" s="20"/>
      <c r="AS114" s="20"/>
      <c r="AT114" s="20"/>
      <c r="AU114" s="19"/>
      <c r="AV114" s="20"/>
      <c r="AW114" s="20"/>
      <c r="AX114" s="20"/>
      <c r="AY114" s="22"/>
      <c r="AZ114" s="23"/>
      <c r="BA114" s="23"/>
      <c r="BB114" s="23"/>
      <c r="BC114" s="19"/>
      <c r="BD114" s="23"/>
      <c r="BE114" s="27"/>
      <c r="BF114" s="27"/>
      <c r="BG114" s="23"/>
    </row>
    <row r="115" spans="1:59" x14ac:dyDescent="0.3">
      <c r="A115" s="19"/>
      <c r="B115" s="20"/>
      <c r="C115" s="20"/>
      <c r="D115" s="20"/>
      <c r="E115" s="20"/>
      <c r="F115" s="19"/>
      <c r="G115" s="20"/>
      <c r="H115" s="20"/>
      <c r="I115" s="20"/>
      <c r="J115" s="20"/>
      <c r="K115" s="19"/>
      <c r="L115" s="20"/>
      <c r="M115" s="20"/>
      <c r="N115" s="20"/>
      <c r="O115" s="20"/>
      <c r="P115" s="19"/>
      <c r="Q115" s="20"/>
      <c r="R115" s="20"/>
      <c r="S115" s="20"/>
      <c r="T115" s="20"/>
      <c r="U115" s="19"/>
      <c r="V115" s="20"/>
      <c r="W115" s="20"/>
      <c r="X115" s="20"/>
      <c r="Y115" s="20"/>
      <c r="Z115" s="19"/>
      <c r="AA115" s="20"/>
      <c r="AB115" s="20"/>
      <c r="AC115" s="20"/>
      <c r="AD115" s="20"/>
      <c r="AE115" s="19"/>
      <c r="AF115" s="20"/>
      <c r="AG115" s="20"/>
      <c r="AH115" s="20"/>
      <c r="AI115" s="19"/>
      <c r="AJ115" s="20"/>
      <c r="AK115" s="20"/>
      <c r="AL115" s="20"/>
      <c r="AM115" s="19"/>
      <c r="AN115" s="20"/>
      <c r="AO115" s="20"/>
      <c r="AP115" s="20"/>
      <c r="AQ115" s="19"/>
      <c r="AR115" s="20"/>
      <c r="AS115" s="20"/>
      <c r="AT115" s="20"/>
      <c r="AU115" s="19"/>
      <c r="AV115" s="20"/>
      <c r="AW115" s="20"/>
      <c r="AX115" s="20"/>
      <c r="AY115" s="22"/>
      <c r="AZ115" s="23"/>
      <c r="BA115" s="23"/>
      <c r="BB115" s="23"/>
      <c r="BC115" s="19"/>
      <c r="BD115" s="23"/>
      <c r="BE115" s="27"/>
      <c r="BF115" s="27"/>
      <c r="BG115" s="23"/>
    </row>
    <row r="116" spans="1:59" x14ac:dyDescent="0.3">
      <c r="A116" s="19"/>
      <c r="B116" s="20"/>
      <c r="C116" s="20"/>
      <c r="D116" s="20"/>
      <c r="E116" s="20"/>
      <c r="F116" s="19"/>
      <c r="G116" s="20"/>
      <c r="H116" s="20"/>
      <c r="I116" s="20"/>
      <c r="J116" s="20"/>
      <c r="K116" s="19"/>
      <c r="L116" s="20"/>
      <c r="M116" s="20"/>
      <c r="N116" s="20"/>
      <c r="O116" s="20"/>
      <c r="P116" s="19"/>
      <c r="Q116" s="20"/>
      <c r="R116" s="20"/>
      <c r="S116" s="20"/>
      <c r="T116" s="20"/>
      <c r="U116" s="19"/>
      <c r="V116" s="20"/>
      <c r="W116" s="20"/>
      <c r="X116" s="20"/>
      <c r="Y116" s="20"/>
      <c r="Z116" s="19"/>
      <c r="AA116" s="20"/>
      <c r="AB116" s="20"/>
      <c r="AC116" s="20"/>
      <c r="AD116" s="20"/>
      <c r="AE116" s="19"/>
      <c r="AF116" s="20"/>
      <c r="AG116" s="20"/>
      <c r="AH116" s="20"/>
      <c r="AI116" s="19"/>
      <c r="AJ116" s="20"/>
      <c r="AK116" s="20"/>
      <c r="AL116" s="20"/>
      <c r="AM116" s="19"/>
      <c r="AN116" s="20"/>
      <c r="AO116" s="20"/>
      <c r="AP116" s="20"/>
      <c r="AQ116" s="19"/>
      <c r="AR116" s="20"/>
      <c r="AS116" s="20"/>
      <c r="AT116" s="20"/>
      <c r="AU116" s="19"/>
      <c r="AV116" s="20"/>
      <c r="AW116" s="20"/>
      <c r="AX116" s="20"/>
      <c r="AY116" s="22"/>
      <c r="AZ116" s="23"/>
      <c r="BA116" s="23"/>
      <c r="BB116" s="23"/>
      <c r="BC116" s="19"/>
      <c r="BD116" s="23"/>
      <c r="BE116" s="27"/>
      <c r="BF116" s="27"/>
      <c r="BG116" s="23"/>
    </row>
    <row r="117" spans="1:59" x14ac:dyDescent="0.3">
      <c r="A117" s="19"/>
      <c r="B117" s="20"/>
      <c r="C117" s="20"/>
      <c r="D117" s="20"/>
      <c r="E117" s="20"/>
      <c r="F117" s="19"/>
      <c r="G117" s="20"/>
      <c r="H117" s="20"/>
      <c r="I117" s="20"/>
      <c r="J117" s="20"/>
      <c r="K117" s="19"/>
      <c r="L117" s="20"/>
      <c r="M117" s="20"/>
      <c r="N117" s="20"/>
      <c r="O117" s="20"/>
      <c r="P117" s="19"/>
      <c r="Q117" s="20"/>
      <c r="R117" s="20"/>
      <c r="S117" s="20"/>
      <c r="T117" s="20"/>
      <c r="U117" s="19"/>
      <c r="V117" s="20"/>
      <c r="W117" s="20"/>
      <c r="X117" s="20"/>
      <c r="Y117" s="20"/>
      <c r="Z117" s="19"/>
      <c r="AA117" s="20"/>
      <c r="AB117" s="20"/>
      <c r="AC117" s="20"/>
      <c r="AD117" s="20"/>
      <c r="AE117" s="19"/>
      <c r="AF117" s="20"/>
      <c r="AG117" s="20"/>
      <c r="AH117" s="20"/>
      <c r="AI117" s="19"/>
      <c r="AJ117" s="20"/>
      <c r="AK117" s="20"/>
      <c r="AL117" s="20"/>
      <c r="AM117" s="19"/>
      <c r="AN117" s="20"/>
      <c r="AO117" s="20"/>
      <c r="AP117" s="20"/>
      <c r="AQ117" s="19"/>
      <c r="AR117" s="20"/>
      <c r="AS117" s="20"/>
      <c r="AT117" s="20"/>
      <c r="AU117" s="19"/>
      <c r="AV117" s="20"/>
      <c r="AW117" s="20"/>
      <c r="AX117" s="20"/>
      <c r="AY117" s="22"/>
      <c r="AZ117" s="23"/>
      <c r="BA117" s="23"/>
      <c r="BB117" s="23"/>
      <c r="BC117" s="19"/>
      <c r="BD117" s="23"/>
      <c r="BE117" s="27"/>
      <c r="BF117" s="27"/>
      <c r="BG117" s="23"/>
    </row>
    <row r="118" spans="1:59" x14ac:dyDescent="0.3">
      <c r="A118" s="19"/>
      <c r="B118" s="20"/>
      <c r="C118" s="20"/>
      <c r="D118" s="20"/>
      <c r="E118" s="20"/>
      <c r="F118" s="19"/>
      <c r="G118" s="20"/>
      <c r="H118" s="20"/>
      <c r="I118" s="20"/>
      <c r="J118" s="20"/>
      <c r="K118" s="19"/>
      <c r="L118" s="20"/>
      <c r="M118" s="20"/>
      <c r="N118" s="20"/>
      <c r="O118" s="20"/>
      <c r="P118" s="19"/>
      <c r="Q118" s="20"/>
      <c r="R118" s="20"/>
      <c r="S118" s="20"/>
      <c r="T118" s="20"/>
      <c r="U118" s="19"/>
      <c r="V118" s="20"/>
      <c r="W118" s="20"/>
      <c r="X118" s="20"/>
      <c r="Y118" s="20"/>
      <c r="Z118" s="19"/>
      <c r="AA118" s="20"/>
      <c r="AB118" s="20"/>
      <c r="AC118" s="20"/>
      <c r="AD118" s="20"/>
      <c r="AE118" s="19"/>
      <c r="AF118" s="20"/>
      <c r="AG118" s="20"/>
      <c r="AH118" s="20"/>
      <c r="AI118" s="19"/>
      <c r="AJ118" s="20"/>
      <c r="AK118" s="20"/>
      <c r="AL118" s="20"/>
      <c r="AM118" s="19"/>
      <c r="AN118" s="20"/>
      <c r="AO118" s="20"/>
      <c r="AP118" s="20"/>
      <c r="AQ118" s="19"/>
      <c r="AR118" s="20"/>
      <c r="AS118" s="20"/>
      <c r="AT118" s="20"/>
      <c r="AU118" s="19"/>
      <c r="AV118" s="20"/>
      <c r="AW118" s="20"/>
      <c r="AX118" s="20"/>
      <c r="AY118" s="22"/>
      <c r="AZ118" s="23"/>
      <c r="BA118" s="23"/>
      <c r="BB118" s="23"/>
      <c r="BC118" s="19"/>
      <c r="BD118" s="23"/>
      <c r="BE118" s="27"/>
      <c r="BF118" s="27"/>
      <c r="BG118" s="23"/>
    </row>
    <row r="119" spans="1:59" x14ac:dyDescent="0.3">
      <c r="A119" s="19"/>
      <c r="B119" s="20"/>
      <c r="C119" s="20"/>
      <c r="D119" s="20"/>
      <c r="E119" s="20"/>
      <c r="F119" s="19"/>
      <c r="G119" s="20"/>
      <c r="H119" s="20"/>
      <c r="I119" s="20"/>
      <c r="J119" s="20"/>
      <c r="K119" s="19"/>
      <c r="L119" s="20"/>
      <c r="M119" s="20"/>
      <c r="N119" s="20"/>
      <c r="O119" s="20"/>
      <c r="P119" s="19"/>
      <c r="Q119" s="20"/>
      <c r="R119" s="20"/>
      <c r="S119" s="20"/>
      <c r="T119" s="20"/>
      <c r="U119" s="19"/>
      <c r="V119" s="20"/>
      <c r="W119" s="20"/>
      <c r="X119" s="20"/>
      <c r="Y119" s="20"/>
      <c r="Z119" s="19"/>
      <c r="AA119" s="20"/>
      <c r="AB119" s="20"/>
      <c r="AC119" s="20"/>
      <c r="AD119" s="20"/>
      <c r="AE119" s="19"/>
      <c r="AF119" s="20"/>
      <c r="AG119" s="20"/>
      <c r="AH119" s="20"/>
      <c r="AI119" s="19"/>
      <c r="AJ119" s="20"/>
      <c r="AK119" s="20"/>
      <c r="AL119" s="20"/>
      <c r="AM119" s="19"/>
      <c r="AN119" s="20"/>
      <c r="AO119" s="20"/>
      <c r="AP119" s="20"/>
      <c r="AQ119" s="19"/>
      <c r="AR119" s="20"/>
      <c r="AS119" s="20"/>
      <c r="AT119" s="20"/>
      <c r="AU119" s="19"/>
      <c r="AV119" s="20"/>
      <c r="AW119" s="20"/>
      <c r="AX119" s="20"/>
      <c r="AY119" s="22"/>
      <c r="AZ119" s="23"/>
      <c r="BA119" s="23"/>
      <c r="BB119" s="23"/>
      <c r="BC119" s="19"/>
      <c r="BD119" s="23"/>
      <c r="BE119" s="27"/>
      <c r="BF119" s="27"/>
      <c r="BG119" s="23"/>
    </row>
    <row r="120" spans="1:59" x14ac:dyDescent="0.3">
      <c r="A120" s="19"/>
      <c r="B120" s="20"/>
      <c r="C120" s="20"/>
      <c r="D120" s="20"/>
      <c r="E120" s="20"/>
      <c r="F120" s="19"/>
      <c r="G120" s="20"/>
      <c r="H120" s="20"/>
      <c r="I120" s="20"/>
      <c r="J120" s="20"/>
      <c r="K120" s="19"/>
      <c r="L120" s="20"/>
      <c r="M120" s="20"/>
      <c r="N120" s="20"/>
      <c r="O120" s="20"/>
      <c r="P120" s="19"/>
      <c r="Q120" s="20"/>
      <c r="R120" s="20"/>
      <c r="S120" s="20"/>
      <c r="T120" s="20"/>
      <c r="U120" s="19"/>
      <c r="V120" s="20"/>
      <c r="W120" s="20"/>
      <c r="X120" s="20"/>
      <c r="Y120" s="20"/>
      <c r="Z120" s="19"/>
      <c r="AA120" s="20"/>
      <c r="AB120" s="20"/>
      <c r="AC120" s="20"/>
      <c r="AD120" s="20"/>
      <c r="AE120" s="19"/>
      <c r="AF120" s="20"/>
      <c r="AG120" s="20"/>
      <c r="AH120" s="20"/>
      <c r="AI120" s="19"/>
      <c r="AJ120" s="20"/>
      <c r="AK120" s="20"/>
      <c r="AL120" s="20"/>
      <c r="AM120" s="19"/>
      <c r="AN120" s="20"/>
      <c r="AO120" s="20"/>
      <c r="AP120" s="20"/>
      <c r="AQ120" s="19"/>
      <c r="AR120" s="20"/>
      <c r="AS120" s="20"/>
      <c r="AT120" s="20"/>
      <c r="AU120" s="19"/>
      <c r="AV120" s="20"/>
      <c r="AW120" s="20"/>
      <c r="AX120" s="20"/>
      <c r="AY120" s="22"/>
      <c r="AZ120" s="23"/>
      <c r="BA120" s="23"/>
      <c r="BB120" s="23"/>
      <c r="BC120" s="19"/>
      <c r="BD120" s="23"/>
      <c r="BE120" s="27"/>
      <c r="BF120" s="27"/>
      <c r="BG120" s="23"/>
    </row>
    <row r="121" spans="1:59" x14ac:dyDescent="0.3">
      <c r="A121" s="19"/>
      <c r="B121" s="20"/>
      <c r="C121" s="20"/>
      <c r="D121" s="20"/>
      <c r="E121" s="20"/>
      <c r="F121" s="19"/>
      <c r="G121" s="20"/>
      <c r="H121" s="20"/>
      <c r="I121" s="20"/>
      <c r="J121" s="20"/>
      <c r="K121" s="19"/>
      <c r="L121" s="20"/>
      <c r="M121" s="20"/>
      <c r="N121" s="20"/>
      <c r="O121" s="20"/>
      <c r="P121" s="19"/>
      <c r="Q121" s="20"/>
      <c r="R121" s="20"/>
      <c r="S121" s="20"/>
      <c r="T121" s="20"/>
      <c r="U121" s="19"/>
      <c r="V121" s="20"/>
      <c r="W121" s="20"/>
      <c r="X121" s="20"/>
      <c r="Y121" s="20"/>
      <c r="Z121" s="19"/>
      <c r="AA121" s="20"/>
      <c r="AB121" s="20"/>
      <c r="AC121" s="20"/>
      <c r="AD121" s="20"/>
      <c r="AE121" s="19"/>
      <c r="AF121" s="20"/>
      <c r="AG121" s="20"/>
      <c r="AH121" s="20"/>
      <c r="AI121" s="19"/>
      <c r="AJ121" s="20"/>
      <c r="AK121" s="20"/>
      <c r="AL121" s="20"/>
      <c r="AM121" s="19"/>
      <c r="AN121" s="20"/>
      <c r="AO121" s="20"/>
      <c r="AP121" s="20"/>
      <c r="AQ121" s="19"/>
      <c r="AR121" s="20"/>
      <c r="AS121" s="20"/>
      <c r="AT121" s="20"/>
      <c r="AU121" s="19"/>
      <c r="AV121" s="20"/>
      <c r="AW121" s="20"/>
      <c r="AX121" s="20"/>
      <c r="AY121" s="22"/>
      <c r="AZ121" s="23"/>
      <c r="BA121" s="23"/>
      <c r="BB121" s="23"/>
      <c r="BC121" s="19"/>
      <c r="BD121" s="23"/>
      <c r="BE121" s="27"/>
      <c r="BF121" s="27"/>
      <c r="BG121" s="23"/>
    </row>
    <row r="122" spans="1:59" x14ac:dyDescent="0.3">
      <c r="A122" s="19"/>
      <c r="B122" s="20"/>
      <c r="C122" s="20"/>
      <c r="D122" s="20"/>
      <c r="E122" s="20"/>
      <c r="F122" s="19"/>
      <c r="G122" s="20"/>
      <c r="H122" s="20"/>
      <c r="I122" s="20"/>
      <c r="J122" s="20"/>
      <c r="K122" s="19"/>
      <c r="L122" s="20"/>
      <c r="M122" s="20"/>
      <c r="N122" s="20"/>
      <c r="O122" s="20"/>
      <c r="P122" s="19"/>
      <c r="Q122" s="20"/>
      <c r="R122" s="20"/>
      <c r="S122" s="20"/>
      <c r="T122" s="20"/>
      <c r="U122" s="19"/>
      <c r="V122" s="20"/>
      <c r="W122" s="20"/>
      <c r="X122" s="20"/>
      <c r="Y122" s="20"/>
      <c r="Z122" s="19"/>
      <c r="AA122" s="20"/>
      <c r="AB122" s="20"/>
      <c r="AC122" s="20"/>
      <c r="AD122" s="20"/>
      <c r="AE122" s="19"/>
      <c r="AF122" s="20"/>
      <c r="AG122" s="20"/>
      <c r="AH122" s="20"/>
      <c r="AI122" s="19"/>
      <c r="AJ122" s="20"/>
      <c r="AK122" s="20"/>
      <c r="AL122" s="20"/>
      <c r="AM122" s="19"/>
      <c r="AN122" s="20"/>
      <c r="AO122" s="20"/>
      <c r="AP122" s="20"/>
      <c r="AQ122" s="19"/>
      <c r="AR122" s="20"/>
      <c r="AS122" s="20"/>
      <c r="AT122" s="20"/>
      <c r="AU122" s="19"/>
      <c r="AV122" s="20"/>
      <c r="AW122" s="20"/>
      <c r="AX122" s="20"/>
      <c r="AY122" s="22"/>
      <c r="AZ122" s="23"/>
      <c r="BA122" s="23"/>
      <c r="BB122" s="23"/>
      <c r="BC122" s="19"/>
      <c r="BD122" s="23"/>
      <c r="BE122" s="27"/>
      <c r="BF122" s="27"/>
      <c r="BG122" s="23"/>
    </row>
    <row r="123" spans="1:59" x14ac:dyDescent="0.3">
      <c r="A123" s="19"/>
      <c r="B123" s="20"/>
      <c r="C123" s="20"/>
      <c r="D123" s="20"/>
      <c r="E123" s="20"/>
      <c r="F123" s="19"/>
      <c r="G123" s="20"/>
      <c r="H123" s="20"/>
      <c r="I123" s="20"/>
      <c r="J123" s="20"/>
      <c r="K123" s="19"/>
      <c r="L123" s="20"/>
      <c r="M123" s="20"/>
      <c r="N123" s="20"/>
      <c r="O123" s="20"/>
      <c r="P123" s="19"/>
      <c r="Q123" s="20"/>
      <c r="R123" s="20"/>
      <c r="S123" s="20"/>
      <c r="T123" s="20"/>
      <c r="U123" s="19"/>
      <c r="V123" s="20"/>
      <c r="W123" s="20"/>
      <c r="X123" s="20"/>
      <c r="Y123" s="20"/>
      <c r="Z123" s="19"/>
      <c r="AA123" s="20"/>
      <c r="AB123" s="20"/>
      <c r="AC123" s="20"/>
      <c r="AD123" s="20"/>
      <c r="AE123" s="19"/>
      <c r="AF123" s="20"/>
      <c r="AG123" s="20"/>
      <c r="AH123" s="20"/>
      <c r="AI123" s="19"/>
      <c r="AJ123" s="20"/>
      <c r="AK123" s="20"/>
      <c r="AL123" s="20"/>
      <c r="AM123" s="19"/>
      <c r="AN123" s="20"/>
      <c r="AO123" s="20"/>
      <c r="AP123" s="20"/>
      <c r="AQ123" s="19"/>
      <c r="AR123" s="20"/>
      <c r="AS123" s="20"/>
      <c r="AT123" s="20"/>
      <c r="AU123" s="19"/>
      <c r="AV123" s="20"/>
      <c r="AW123" s="20"/>
      <c r="AX123" s="20"/>
      <c r="AY123" s="22"/>
      <c r="AZ123" s="23"/>
      <c r="BA123" s="23"/>
      <c r="BB123" s="23"/>
      <c r="BC123" s="19"/>
      <c r="BD123" s="23"/>
      <c r="BE123" s="27"/>
      <c r="BF123" s="27"/>
      <c r="BG123" s="23"/>
    </row>
  </sheetData>
  <mergeCells count="13">
    <mergeCell ref="AB1:AD1"/>
    <mergeCell ref="C1:E1"/>
    <mergeCell ref="H1:J1"/>
    <mergeCell ref="M1:O1"/>
    <mergeCell ref="R1:T1"/>
    <mergeCell ref="W1:Y1"/>
    <mergeCell ref="BE1:BG1"/>
    <mergeCell ref="AG1:AH1"/>
    <mergeCell ref="AK1:AL1"/>
    <mergeCell ref="AO1:AP1"/>
    <mergeCell ref="AS1:AT1"/>
    <mergeCell ref="AW1:AX1"/>
    <mergeCell ref="BA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SANTHAPHAN Natthaphat/Director-Revenue-AESB/Ascott/CLI/TH</dc:creator>
  <cp:lastModifiedBy>SANTHAPHAN Natthaphat/Director-Revenue-AESB/Ascott/CLI</cp:lastModifiedBy>
  <dcterms:created xsi:type="dcterms:W3CDTF">2026-07-14T04:23:20Z</dcterms:created>
  <dcterms:modified xsi:type="dcterms:W3CDTF">2026-07-14T08:10:33Z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