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Guide" sheetId="1" state="visible" r:id="rId1"/>
    <sheet name="Dashboard" sheetId="2" state="visible" r:id="rId2"/>
    <sheet name="Register" sheetId="3" state="visible" r:id="rId3"/>
    <sheet name="Lists" sheetId="4" state="visible" r:id="rId4"/>
  </sheets>
  <definedNames>
    <definedName name="_xlnm._FilterDatabase" localSheetId="2" hidden="1">'Register'!$A$4:$T$404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3">
    <font>
      <name val="Calibri"/>
      <family val="2"/>
      <color theme="1"/>
      <sz val="11"/>
      <scheme val="minor"/>
    </font>
    <font>
      <b val="1"/>
      <color rgb="001F3864"/>
    </font>
    <font>
      <b val="1"/>
    </font>
    <font>
      <b val="1"/>
      <color rgb="00FFFFFF"/>
      <sz val="10"/>
    </font>
    <font>
      <b val="1"/>
      <color rgb="001F3864"/>
      <sz val="16"/>
    </font>
    <font>
      <color rgb="00595959"/>
      <sz val="10"/>
    </font>
    <font>
      <color rgb="00595959"/>
    </font>
    <font>
      <b val="1"/>
      <color rgb="001F3864"/>
      <sz val="12"/>
    </font>
    <font>
      <b val="1"/>
      <color rgb="00833C00"/>
    </font>
    <font>
      <b val="1"/>
      <color rgb="009C0006"/>
    </font>
    <font>
      <color rgb="007F6000"/>
    </font>
    <font>
      <color rgb="00375623"/>
    </font>
    <font>
      <color rgb="0080808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6" fillId="0" borderId="0" pivotButton="0" quotePrefix="0" xfId="0"/>
    <xf numFmtId="0" fontId="2" fillId="0" borderId="1" applyAlignment="1" pivotButton="0" quotePrefix="0" xfId="0">
      <alignment horizontal="center"/>
    </xf>
    <xf numFmtId="0" fontId="7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center"/>
    </xf>
    <xf numFmtId="0" fontId="1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5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vertical="top"/>
    </xf>
    <xf numFmtId="0" fontId="3" fillId="2" borderId="0" pivotButton="0" quotePrefix="0" xfId="0"/>
  </cellXfs>
  <cellStyles count="1">
    <cellStyle name="Normal" xfId="0" builtinId="0" hidden="0"/>
  </cellStyles>
  <dxfs count="5">
    <dxf>
      <font>
        <b val="1"/>
        <color rgb="00833C00"/>
      </font>
      <fill>
        <patternFill patternType="solid">
          <fgColor rgb="00F8CBAD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699"/>
        </patternFill>
      </fill>
    </dxf>
    <dxf>
      <font>
        <color rgb="00375623"/>
      </font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5" customWidth="1" min="3" max="3"/>
  </cols>
  <sheetData>
    <row r="1" ht="26" customHeight="1">
      <c r="B1" s="1" t="inlineStr">
        <is>
          <t>How to use this file / วิธีใช้ไฟล์นี้</t>
        </is>
      </c>
    </row>
    <row r="3" ht="16" customHeight="1">
      <c r="B3" s="2" t="inlineStr">
        <is>
          <t>Three tabs</t>
        </is>
      </c>
      <c r="C3" s="3" t="inlineStr">
        <is>
          <t>Dashboard = the overview. Register = where you type. Lists = the dropdown choices.</t>
        </is>
      </c>
    </row>
    <row r="4" ht="16" customHeight="1">
      <c r="B4" s="2" t="inlineStr">
        <is>
          <t>แท็บ 3 อัน</t>
        </is>
      </c>
      <c r="C4" s="3" t="inlineStr">
        <is>
          <t>Dashboard คือภาพรวม, Register คือที่กรอกข้อมูล, Lists คือรายการตัวเลือก</t>
        </is>
      </c>
    </row>
    <row r="6" ht="16" customHeight="1">
      <c r="B6" s="2" t="inlineStr">
        <is>
          <t>Step 1</t>
        </is>
      </c>
      <c r="C6" s="3" t="inlineStr">
        <is>
          <t>Go to the Register tab. Each row is one licence, permit, tax, insurance policy or contract.</t>
        </is>
      </c>
    </row>
    <row r="7" ht="30" customHeight="1">
      <c r="B7" s="2" t="inlineStr">
        <is>
          <t>Step 2</t>
        </is>
      </c>
      <c r="C7" s="3" t="inlineStr">
        <is>
          <t>Fill in: Reference / Licence no., Issue date, Expiry date, Responsible person, Fee, and where the document is kept.</t>
        </is>
      </c>
    </row>
    <row r="8" ht="16" customHeight="1">
      <c r="B8" s="2" t="inlineStr">
        <is>
          <t>Step 3</t>
        </is>
      </c>
      <c r="C8" s="3" t="inlineStr">
        <is>
          <t>Leave the grey formula columns alone — Action by, Days left and Status fill themselves in.</t>
        </is>
      </c>
    </row>
    <row r="9" ht="16" customHeight="1">
      <c r="B9" s="2" t="inlineStr">
        <is>
          <t>Step 4</t>
        </is>
      </c>
      <c r="C9" s="3" t="inlineStr">
        <is>
          <t>Open the Dashboard tab to see what is expiring.</t>
        </is>
      </c>
    </row>
    <row r="11" ht="30" customHeight="1">
      <c r="B11" s="2" t="inlineStr">
        <is>
          <t>Dates</t>
        </is>
      </c>
      <c r="C11" s="3" t="inlineStr">
        <is>
          <t>Type dates as a real date (e.g. 31/12/2026). If Excel shows a number instead, format the cell as Date.</t>
        </is>
      </c>
    </row>
    <row r="12" ht="30" customHeight="1">
      <c r="B12" s="2" t="inlineStr">
        <is>
          <t>Notice (days)</t>
        </is>
      </c>
      <c r="C12" s="3" t="inlineStr">
        <is>
          <t>How many days before expiry you want to start the renewal. Default 60. 'Action by' = expiry minus this.</t>
        </is>
      </c>
    </row>
    <row r="13" ht="30" customHeight="1">
      <c r="B13" s="2" t="inlineStr">
        <is>
          <t>Rows</t>
        </is>
      </c>
      <c r="C13" s="3" t="inlineStr">
        <is>
          <t>Formulas already run to row 404. Just keep typing down — do not insert rows above 404 and you never need to copy formulas.</t>
        </is>
      </c>
    </row>
    <row r="14" ht="16" customHeight="1">
      <c r="B14" s="2" t="inlineStr">
        <is>
          <t>Delete a row</t>
        </is>
      </c>
      <c r="C14" s="3" t="inlineStr">
        <is>
          <t>Clear the Item (EN) cell and the row drops out of the count and the dashboard.</t>
        </is>
      </c>
    </row>
    <row r="16" ht="30" customHeight="1">
      <c r="B16" s="2" t="inlineStr">
        <is>
          <t>Colours</t>
        </is>
      </c>
      <c r="C16" s="3" t="inlineStr">
        <is>
          <t>Red = expired. Pink = expires within 30 days. Amber = within 90 days. Green = fine. Grey = no expiry date yet.</t>
        </is>
      </c>
    </row>
    <row r="17" ht="30" customHeight="1">
      <c r="B17" s="2" t="inlineStr">
        <is>
          <t>สี</t>
        </is>
      </c>
      <c r="C17" s="3" t="inlineStr">
        <is>
          <t>แดง = หมดอายุแล้ว, ชมพู = ครบกำหนดใน 30 วัน, เหลือง = ใน 90 วัน, เขียว = ยังมีเวลา, เทา = ยังไม่ได้ใส่วันหมดอายุ</t>
        </is>
      </c>
    </row>
    <row r="19" ht="30" customHeight="1">
      <c r="B19" s="2" t="inlineStr">
        <is>
          <t>The seeded rows</t>
        </is>
      </c>
      <c r="C19" s="3" t="inlineStr">
        <is>
          <t>The rows already in the Register are a checklist of the licences and contracts a Thai hotel normally holds — they have no dates yet. Delete anything a property does not have, and add anything missing.</t>
        </is>
      </c>
    </row>
    <row r="20" ht="16" customHeight="1">
      <c r="B20" s="2" t="inlineStr">
        <is>
          <t>รายการที่ใส่ไว้ให้</t>
        </is>
      </c>
      <c r="C20" s="3" t="inlineStr">
        <is>
          <t>เป็นเช็คลิสต์ใบอนุญาต/สัญญาที่โรงแรมไทยมักมี ยังไม่มีวันที่ ลบอันที่ไม่มี และเพิ่มอันที่ขาด</t>
        </is>
      </c>
    </row>
    <row r="22" ht="30" customHeight="1">
      <c r="B22" s="2" t="inlineStr">
        <is>
          <t>Rebuild</t>
        </is>
      </c>
      <c r="C22" s="3" t="inlineStr">
        <is>
          <t>scripts/build_license_tracker.py rebuilds this file's structure. Rebuilding starts from empty rows, so keep your filled-in copy — do not overwrite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42" customWidth="1" min="4" max="4"/>
    <col width="32" customWidth="1" min="5" max="5"/>
    <col width="14" customWidth="1" min="6" max="6"/>
    <col width="11" customWidth="1" min="7" max="7"/>
    <col width="12" customWidth="1" min="8" max="8"/>
    <col width="16" customWidth="1" min="9" max="9"/>
  </cols>
  <sheetData>
    <row r="1" ht="24" customHeight="1">
      <c r="A1" s="1" t="inlineStr">
        <is>
          <t>Licence &amp; Contract Dashboard — 4 properties</t>
        </is>
      </c>
    </row>
    <row r="2">
      <c r="A2" s="4" t="inlineStr">
        <is>
          <t>Everything below reads the Register tab. Reopen the file to refresh. ตัวเลขทั้งหมดดึงจากแท็บ Register อัตโนมัติ</t>
        </is>
      </c>
    </row>
    <row r="3" ht="6" customHeight="1"/>
    <row r="4">
      <c r="A4" s="5" t="inlineStr">
        <is>
          <t>As at</t>
        </is>
      </c>
      <c r="B4" s="6">
        <f>TODAY()</f>
        <v/>
      </c>
    </row>
    <row r="6" ht="30" customHeight="1">
      <c r="A6" s="7" t="inlineStr">
        <is>
          <t>Property</t>
        </is>
      </c>
      <c r="B6" s="7" t="inlineStr">
        <is>
          <t>Expired</t>
        </is>
      </c>
      <c r="C6" s="7" t="inlineStr">
        <is>
          <t>Urgent (≤30 d)</t>
        </is>
      </c>
      <c r="D6" s="7" t="inlineStr">
        <is>
          <t>Due soon (≤90 d)</t>
        </is>
      </c>
      <c r="E6" s="7" t="inlineStr">
        <is>
          <t>OK</t>
        </is>
      </c>
      <c r="F6" s="7" t="inlineStr">
        <is>
          <t>No date</t>
        </is>
      </c>
      <c r="G6" s="7" t="inlineStr">
        <is>
          <t>Total items</t>
        </is>
      </c>
    </row>
    <row r="7">
      <c r="A7" s="8" t="inlineStr">
        <is>
          <t>SR9</t>
        </is>
      </c>
      <c r="B7" s="9">
        <f>COUNTIFS(Register!$B$5:$B$404,$A7,Register!$O$5:$O$404,"Expired")</f>
        <v/>
      </c>
      <c r="C7" s="9">
        <f>COUNTIFS(Register!$B$5:$B$404,$A7,Register!$O$5:$O$404,"Urgent")</f>
        <v/>
      </c>
      <c r="D7" s="9">
        <f>COUNTIFS(Register!$B$5:$B$404,$A7,Register!$O$5:$O$404,"Due soon")</f>
        <v/>
      </c>
      <c r="E7" s="9">
        <f>COUNTIFS(Register!$B$5:$B$404,$A7,Register!$O$5:$O$404,"OK")</f>
        <v/>
      </c>
      <c r="F7" s="9">
        <f>COUNTIFS(Register!$B$5:$B$404,$A7,Register!$O$5:$O$404,"No date")</f>
        <v/>
      </c>
      <c r="G7" s="9">
        <f>COUNTIFS(Register!$B$5:$B$404,$A7,Register!$E$5:$E$404,"?*")</f>
        <v/>
      </c>
      <c r="I7" s="10" t="inlineStr">
        <is>
          <t>Somerset Rama 9 Bangkok</t>
        </is>
      </c>
    </row>
    <row r="8">
      <c r="A8" s="8" t="inlineStr">
        <is>
          <t>AES</t>
        </is>
      </c>
      <c r="B8" s="9">
        <f>COUNTIFS(Register!$B$5:$B$404,$A8,Register!$O$5:$O$404,"Expired")</f>
        <v/>
      </c>
      <c r="C8" s="9">
        <f>COUNTIFS(Register!$B$5:$B$404,$A8,Register!$O$5:$O$404,"Urgent")</f>
        <v/>
      </c>
      <c r="D8" s="9">
        <f>COUNTIFS(Register!$B$5:$B$404,$A8,Register!$O$5:$O$404,"Due soon")</f>
        <v/>
      </c>
      <c r="E8" s="9">
        <f>COUNTIFS(Register!$B$5:$B$404,$A8,Register!$O$5:$O$404,"OK")</f>
        <v/>
      </c>
      <c r="F8" s="9">
        <f>COUNTIFS(Register!$B$5:$B$404,$A8,Register!$O$5:$O$404,"No date")</f>
        <v/>
      </c>
      <c r="G8" s="9">
        <f>COUNTIFS(Register!$B$5:$B$404,$A8,Register!$E$5:$E$404,"?*")</f>
        <v/>
      </c>
      <c r="I8" s="10" t="inlineStr">
        <is>
          <t>Ascott Embassy Sathorn Bangkok</t>
        </is>
      </c>
    </row>
    <row r="9">
      <c r="A9" s="8" t="inlineStr">
        <is>
          <t>LYF</t>
        </is>
      </c>
      <c r="B9" s="9">
        <f>COUNTIFS(Register!$B$5:$B$404,$A9,Register!$O$5:$O$404,"Expired")</f>
        <v/>
      </c>
      <c r="C9" s="9">
        <f>COUNTIFS(Register!$B$5:$B$404,$A9,Register!$O$5:$O$404,"Urgent")</f>
        <v/>
      </c>
      <c r="D9" s="9">
        <f>COUNTIFS(Register!$B$5:$B$404,$A9,Register!$O$5:$O$404,"Due soon")</f>
        <v/>
      </c>
      <c r="E9" s="9">
        <f>COUNTIFS(Register!$B$5:$B$404,$A9,Register!$O$5:$O$404,"OK")</f>
        <v/>
      </c>
      <c r="F9" s="9">
        <f>COUNTIFS(Register!$B$5:$B$404,$A9,Register!$O$5:$O$404,"No date")</f>
        <v/>
      </c>
      <c r="G9" s="9">
        <f>COUNTIFS(Register!$B$5:$B$404,$A9,Register!$E$5:$E$404,"?*")</f>
        <v/>
      </c>
      <c r="I9" s="10" t="inlineStr">
        <is>
          <t>lyf Sukhumvit 8 Bangkok</t>
        </is>
      </c>
    </row>
    <row r="10">
      <c r="A10" s="8" t="inlineStr">
        <is>
          <t>SP</t>
        </is>
      </c>
      <c r="B10" s="9">
        <f>COUNTIFS(Register!$B$5:$B$404,$A10,Register!$O$5:$O$404,"Expired")</f>
        <v/>
      </c>
      <c r="C10" s="9">
        <f>COUNTIFS(Register!$B$5:$B$404,$A10,Register!$O$5:$O$404,"Urgent")</f>
        <v/>
      </c>
      <c r="D10" s="9">
        <f>COUNTIFS(Register!$B$5:$B$404,$A10,Register!$O$5:$O$404,"Due soon")</f>
        <v/>
      </c>
      <c r="E10" s="9">
        <f>COUNTIFS(Register!$B$5:$B$404,$A10,Register!$O$5:$O$404,"OK")</f>
        <v/>
      </c>
      <c r="F10" s="9">
        <f>COUNTIFS(Register!$B$5:$B$404,$A10,Register!$O$5:$O$404,"No date")</f>
        <v/>
      </c>
      <c r="G10" s="9">
        <f>COUNTIFS(Register!$B$5:$B$404,$A10,Register!$E$5:$E$404,"?*")</f>
        <v/>
      </c>
      <c r="I10" s="10" t="inlineStr">
        <is>
          <t>Somerset Pattaya</t>
        </is>
      </c>
    </row>
    <row r="11">
      <c r="A11" s="8" t="inlineStr">
        <is>
          <t>TOTAL</t>
        </is>
      </c>
      <c r="B11" s="11">
        <f>SUM(B7:B10)</f>
        <v/>
      </c>
      <c r="C11" s="11">
        <f>SUM(C7:C10)</f>
        <v/>
      </c>
      <c r="D11" s="11">
        <f>SUM(D7:D10)</f>
        <v/>
      </c>
      <c r="E11" s="11">
        <f>SUM(E7:E10)</f>
        <v/>
      </c>
      <c r="F11" s="11">
        <f>SUM(F7:F10)</f>
        <v/>
      </c>
      <c r="G11" s="11">
        <f>SUM(G7:G10)</f>
        <v/>
      </c>
    </row>
    <row r="13">
      <c r="A13" s="12" t="inlineStr">
        <is>
          <t>Expiring next — soonest first (already expired items included)</t>
        </is>
      </c>
    </row>
    <row r="14">
      <c r="A14" s="13" t="inlineStr">
        <is>
          <t>Rank</t>
        </is>
      </c>
      <c r="B14" s="13" t="inlineStr">
        <is>
          <t>Property</t>
        </is>
      </c>
      <c r="C14" s="13" t="inlineStr">
        <is>
          <t>Category</t>
        </is>
      </c>
      <c r="D14" s="13" t="inlineStr">
        <is>
          <t>Item</t>
        </is>
      </c>
      <c r="E14" s="13" t="inlineStr">
        <is>
          <t>Counterparty</t>
        </is>
      </c>
      <c r="F14" s="13" t="inlineStr">
        <is>
          <t>Expiry date</t>
        </is>
      </c>
      <c r="G14" s="13" t="inlineStr">
        <is>
          <t>Days left</t>
        </is>
      </c>
      <c r="H14" s="13" t="inlineStr">
        <is>
          <t>Status</t>
        </is>
      </c>
      <c r="I14" s="13" t="inlineStr">
        <is>
          <t>Responsible</t>
        </is>
      </c>
    </row>
    <row r="15">
      <c r="A15" s="9" t="n">
        <v>1</v>
      </c>
      <c r="B15" s="14">
        <f>IFERROR(INDEX(Register!$B$5:$B$404,MATCH(SMALL(Register!$U$5:$U$404,$A15),Register!$U$5:$U$404,0)),"")</f>
        <v/>
      </c>
      <c r="C15" s="14">
        <f>IFERROR(INDEX(Register!$D$5:$D$404,MATCH(SMALL(Register!$U$5:$U$404,$A15),Register!$U$5:$U$404,0)),"")</f>
        <v/>
      </c>
      <c r="D15" s="14">
        <f>IFERROR(INDEX(Register!$E$5:$E$404,MATCH(SMALL(Register!$U$5:$U$404,$A15),Register!$U$5:$U$404,0)),"")</f>
        <v/>
      </c>
      <c r="E15" s="14">
        <f>IFERROR(INDEX(Register!$G$5:$G$404,MATCH(SMALL(Register!$U$5:$U$404,$A15),Register!$U$5:$U$404,0)),"")</f>
        <v/>
      </c>
      <c r="F15" s="15">
        <f>IFERROR(INDEX(Register!$J$5:$J$404,MATCH(SMALL(Register!$U$5:$U$404,$A15),Register!$U$5:$U$404,0)),"")</f>
        <v/>
      </c>
      <c r="G15" s="9">
        <f>IFERROR(INDEX(Register!$N$5:$N$404,MATCH(SMALL(Register!$U$5:$U$404,$A15),Register!$U$5:$U$404,0)),"")</f>
        <v/>
      </c>
      <c r="H15" s="9">
        <f>IFERROR(INDEX(Register!$O$5:$O$404,MATCH(SMALL(Register!$U$5:$U$404,$A15),Register!$U$5:$U$404,0)),"")</f>
        <v/>
      </c>
      <c r="I15" s="14">
        <f>IFERROR(INDEX(Register!$P$5:$P$404,MATCH(SMALL(Register!$U$5:$U$404,$A15),Register!$U$5:$U$404,0)),"")</f>
        <v/>
      </c>
    </row>
    <row r="16">
      <c r="A16" s="9" t="n">
        <v>2</v>
      </c>
      <c r="B16" s="14">
        <f>IFERROR(INDEX(Register!$B$5:$B$404,MATCH(SMALL(Register!$U$5:$U$404,$A16),Register!$U$5:$U$404,0)),"")</f>
        <v/>
      </c>
      <c r="C16" s="14">
        <f>IFERROR(INDEX(Register!$D$5:$D$404,MATCH(SMALL(Register!$U$5:$U$404,$A16),Register!$U$5:$U$404,0)),"")</f>
        <v/>
      </c>
      <c r="D16" s="14">
        <f>IFERROR(INDEX(Register!$E$5:$E$404,MATCH(SMALL(Register!$U$5:$U$404,$A16),Register!$U$5:$U$404,0)),"")</f>
        <v/>
      </c>
      <c r="E16" s="14">
        <f>IFERROR(INDEX(Register!$G$5:$G$404,MATCH(SMALL(Register!$U$5:$U$404,$A16),Register!$U$5:$U$404,0)),"")</f>
        <v/>
      </c>
      <c r="F16" s="15">
        <f>IFERROR(INDEX(Register!$J$5:$J$404,MATCH(SMALL(Register!$U$5:$U$404,$A16),Register!$U$5:$U$404,0)),"")</f>
        <v/>
      </c>
      <c r="G16" s="9">
        <f>IFERROR(INDEX(Register!$N$5:$N$404,MATCH(SMALL(Register!$U$5:$U$404,$A16),Register!$U$5:$U$404,0)),"")</f>
        <v/>
      </c>
      <c r="H16" s="9">
        <f>IFERROR(INDEX(Register!$O$5:$O$404,MATCH(SMALL(Register!$U$5:$U$404,$A16),Register!$U$5:$U$404,0)),"")</f>
        <v/>
      </c>
      <c r="I16" s="14">
        <f>IFERROR(INDEX(Register!$P$5:$P$404,MATCH(SMALL(Register!$U$5:$U$404,$A16),Register!$U$5:$U$404,0)),"")</f>
        <v/>
      </c>
    </row>
    <row r="17">
      <c r="A17" s="9" t="n">
        <v>3</v>
      </c>
      <c r="B17" s="14">
        <f>IFERROR(INDEX(Register!$B$5:$B$404,MATCH(SMALL(Register!$U$5:$U$404,$A17),Register!$U$5:$U$404,0)),"")</f>
        <v/>
      </c>
      <c r="C17" s="14">
        <f>IFERROR(INDEX(Register!$D$5:$D$404,MATCH(SMALL(Register!$U$5:$U$404,$A17),Register!$U$5:$U$404,0)),"")</f>
        <v/>
      </c>
      <c r="D17" s="14">
        <f>IFERROR(INDEX(Register!$E$5:$E$404,MATCH(SMALL(Register!$U$5:$U$404,$A17),Register!$U$5:$U$404,0)),"")</f>
        <v/>
      </c>
      <c r="E17" s="14">
        <f>IFERROR(INDEX(Register!$G$5:$G$404,MATCH(SMALL(Register!$U$5:$U$404,$A17),Register!$U$5:$U$404,0)),"")</f>
        <v/>
      </c>
      <c r="F17" s="15">
        <f>IFERROR(INDEX(Register!$J$5:$J$404,MATCH(SMALL(Register!$U$5:$U$404,$A17),Register!$U$5:$U$404,0)),"")</f>
        <v/>
      </c>
      <c r="G17" s="9">
        <f>IFERROR(INDEX(Register!$N$5:$N$404,MATCH(SMALL(Register!$U$5:$U$404,$A17),Register!$U$5:$U$404,0)),"")</f>
        <v/>
      </c>
      <c r="H17" s="9">
        <f>IFERROR(INDEX(Register!$O$5:$O$404,MATCH(SMALL(Register!$U$5:$U$404,$A17),Register!$U$5:$U$404,0)),"")</f>
        <v/>
      </c>
      <c r="I17" s="14">
        <f>IFERROR(INDEX(Register!$P$5:$P$404,MATCH(SMALL(Register!$U$5:$U$404,$A17),Register!$U$5:$U$404,0)),"")</f>
        <v/>
      </c>
    </row>
    <row r="18">
      <c r="A18" s="9" t="n">
        <v>4</v>
      </c>
      <c r="B18" s="14">
        <f>IFERROR(INDEX(Register!$B$5:$B$404,MATCH(SMALL(Register!$U$5:$U$404,$A18),Register!$U$5:$U$404,0)),"")</f>
        <v/>
      </c>
      <c r="C18" s="14">
        <f>IFERROR(INDEX(Register!$D$5:$D$404,MATCH(SMALL(Register!$U$5:$U$404,$A18),Register!$U$5:$U$404,0)),"")</f>
        <v/>
      </c>
      <c r="D18" s="14">
        <f>IFERROR(INDEX(Register!$E$5:$E$404,MATCH(SMALL(Register!$U$5:$U$404,$A18),Register!$U$5:$U$404,0)),"")</f>
        <v/>
      </c>
      <c r="E18" s="14">
        <f>IFERROR(INDEX(Register!$G$5:$G$404,MATCH(SMALL(Register!$U$5:$U$404,$A18),Register!$U$5:$U$404,0)),"")</f>
        <v/>
      </c>
      <c r="F18" s="15">
        <f>IFERROR(INDEX(Register!$J$5:$J$404,MATCH(SMALL(Register!$U$5:$U$404,$A18),Register!$U$5:$U$404,0)),"")</f>
        <v/>
      </c>
      <c r="G18" s="9">
        <f>IFERROR(INDEX(Register!$N$5:$N$404,MATCH(SMALL(Register!$U$5:$U$404,$A18),Register!$U$5:$U$404,0)),"")</f>
        <v/>
      </c>
      <c r="H18" s="9">
        <f>IFERROR(INDEX(Register!$O$5:$O$404,MATCH(SMALL(Register!$U$5:$U$404,$A18),Register!$U$5:$U$404,0)),"")</f>
        <v/>
      </c>
      <c r="I18" s="14">
        <f>IFERROR(INDEX(Register!$P$5:$P$404,MATCH(SMALL(Register!$U$5:$U$404,$A18),Register!$U$5:$U$404,0)),"")</f>
        <v/>
      </c>
    </row>
    <row r="19">
      <c r="A19" s="9" t="n">
        <v>5</v>
      </c>
      <c r="B19" s="14">
        <f>IFERROR(INDEX(Register!$B$5:$B$404,MATCH(SMALL(Register!$U$5:$U$404,$A19),Register!$U$5:$U$404,0)),"")</f>
        <v/>
      </c>
      <c r="C19" s="14">
        <f>IFERROR(INDEX(Register!$D$5:$D$404,MATCH(SMALL(Register!$U$5:$U$404,$A19),Register!$U$5:$U$404,0)),"")</f>
        <v/>
      </c>
      <c r="D19" s="14">
        <f>IFERROR(INDEX(Register!$E$5:$E$404,MATCH(SMALL(Register!$U$5:$U$404,$A19),Register!$U$5:$U$404,0)),"")</f>
        <v/>
      </c>
      <c r="E19" s="14">
        <f>IFERROR(INDEX(Register!$G$5:$G$404,MATCH(SMALL(Register!$U$5:$U$404,$A19),Register!$U$5:$U$404,0)),"")</f>
        <v/>
      </c>
      <c r="F19" s="15">
        <f>IFERROR(INDEX(Register!$J$5:$J$404,MATCH(SMALL(Register!$U$5:$U$404,$A19),Register!$U$5:$U$404,0)),"")</f>
        <v/>
      </c>
      <c r="G19" s="9">
        <f>IFERROR(INDEX(Register!$N$5:$N$404,MATCH(SMALL(Register!$U$5:$U$404,$A19),Register!$U$5:$U$404,0)),"")</f>
        <v/>
      </c>
      <c r="H19" s="9">
        <f>IFERROR(INDEX(Register!$O$5:$O$404,MATCH(SMALL(Register!$U$5:$U$404,$A19),Register!$U$5:$U$404,0)),"")</f>
        <v/>
      </c>
      <c r="I19" s="14">
        <f>IFERROR(INDEX(Register!$P$5:$P$404,MATCH(SMALL(Register!$U$5:$U$404,$A19),Register!$U$5:$U$404,0)),"")</f>
        <v/>
      </c>
    </row>
    <row r="20">
      <c r="A20" s="9" t="n">
        <v>6</v>
      </c>
      <c r="B20" s="14">
        <f>IFERROR(INDEX(Register!$B$5:$B$404,MATCH(SMALL(Register!$U$5:$U$404,$A20),Register!$U$5:$U$404,0)),"")</f>
        <v/>
      </c>
      <c r="C20" s="14">
        <f>IFERROR(INDEX(Register!$D$5:$D$404,MATCH(SMALL(Register!$U$5:$U$404,$A20),Register!$U$5:$U$404,0)),"")</f>
        <v/>
      </c>
      <c r="D20" s="14">
        <f>IFERROR(INDEX(Register!$E$5:$E$404,MATCH(SMALL(Register!$U$5:$U$404,$A20),Register!$U$5:$U$404,0)),"")</f>
        <v/>
      </c>
      <c r="E20" s="14">
        <f>IFERROR(INDEX(Register!$G$5:$G$404,MATCH(SMALL(Register!$U$5:$U$404,$A20),Register!$U$5:$U$404,0)),"")</f>
        <v/>
      </c>
      <c r="F20" s="15">
        <f>IFERROR(INDEX(Register!$J$5:$J$404,MATCH(SMALL(Register!$U$5:$U$404,$A20),Register!$U$5:$U$404,0)),"")</f>
        <v/>
      </c>
      <c r="G20" s="9">
        <f>IFERROR(INDEX(Register!$N$5:$N$404,MATCH(SMALL(Register!$U$5:$U$404,$A20),Register!$U$5:$U$404,0)),"")</f>
        <v/>
      </c>
      <c r="H20" s="9">
        <f>IFERROR(INDEX(Register!$O$5:$O$404,MATCH(SMALL(Register!$U$5:$U$404,$A20),Register!$U$5:$U$404,0)),"")</f>
        <v/>
      </c>
      <c r="I20" s="14">
        <f>IFERROR(INDEX(Register!$P$5:$P$404,MATCH(SMALL(Register!$U$5:$U$404,$A20),Register!$U$5:$U$404,0)),"")</f>
        <v/>
      </c>
    </row>
    <row r="21">
      <c r="A21" s="9" t="n">
        <v>7</v>
      </c>
      <c r="B21" s="14">
        <f>IFERROR(INDEX(Register!$B$5:$B$404,MATCH(SMALL(Register!$U$5:$U$404,$A21),Register!$U$5:$U$404,0)),"")</f>
        <v/>
      </c>
      <c r="C21" s="14">
        <f>IFERROR(INDEX(Register!$D$5:$D$404,MATCH(SMALL(Register!$U$5:$U$404,$A21),Register!$U$5:$U$404,0)),"")</f>
        <v/>
      </c>
      <c r="D21" s="14">
        <f>IFERROR(INDEX(Register!$E$5:$E$404,MATCH(SMALL(Register!$U$5:$U$404,$A21),Register!$U$5:$U$404,0)),"")</f>
        <v/>
      </c>
      <c r="E21" s="14">
        <f>IFERROR(INDEX(Register!$G$5:$G$404,MATCH(SMALL(Register!$U$5:$U$404,$A21),Register!$U$5:$U$404,0)),"")</f>
        <v/>
      </c>
      <c r="F21" s="15">
        <f>IFERROR(INDEX(Register!$J$5:$J$404,MATCH(SMALL(Register!$U$5:$U$404,$A21),Register!$U$5:$U$404,0)),"")</f>
        <v/>
      </c>
      <c r="G21" s="9">
        <f>IFERROR(INDEX(Register!$N$5:$N$404,MATCH(SMALL(Register!$U$5:$U$404,$A21),Register!$U$5:$U$404,0)),"")</f>
        <v/>
      </c>
      <c r="H21" s="9">
        <f>IFERROR(INDEX(Register!$O$5:$O$404,MATCH(SMALL(Register!$U$5:$U$404,$A21),Register!$U$5:$U$404,0)),"")</f>
        <v/>
      </c>
      <c r="I21" s="14">
        <f>IFERROR(INDEX(Register!$P$5:$P$404,MATCH(SMALL(Register!$U$5:$U$404,$A21),Register!$U$5:$U$404,0)),"")</f>
        <v/>
      </c>
    </row>
    <row r="22">
      <c r="A22" s="9" t="n">
        <v>8</v>
      </c>
      <c r="B22" s="14">
        <f>IFERROR(INDEX(Register!$B$5:$B$404,MATCH(SMALL(Register!$U$5:$U$404,$A22),Register!$U$5:$U$404,0)),"")</f>
        <v/>
      </c>
      <c r="C22" s="14">
        <f>IFERROR(INDEX(Register!$D$5:$D$404,MATCH(SMALL(Register!$U$5:$U$404,$A22),Register!$U$5:$U$404,0)),"")</f>
        <v/>
      </c>
      <c r="D22" s="14">
        <f>IFERROR(INDEX(Register!$E$5:$E$404,MATCH(SMALL(Register!$U$5:$U$404,$A22),Register!$U$5:$U$404,0)),"")</f>
        <v/>
      </c>
      <c r="E22" s="14">
        <f>IFERROR(INDEX(Register!$G$5:$G$404,MATCH(SMALL(Register!$U$5:$U$404,$A22),Register!$U$5:$U$404,0)),"")</f>
        <v/>
      </c>
      <c r="F22" s="15">
        <f>IFERROR(INDEX(Register!$J$5:$J$404,MATCH(SMALL(Register!$U$5:$U$404,$A22),Register!$U$5:$U$404,0)),"")</f>
        <v/>
      </c>
      <c r="G22" s="9">
        <f>IFERROR(INDEX(Register!$N$5:$N$404,MATCH(SMALL(Register!$U$5:$U$404,$A22),Register!$U$5:$U$404,0)),"")</f>
        <v/>
      </c>
      <c r="H22" s="9">
        <f>IFERROR(INDEX(Register!$O$5:$O$404,MATCH(SMALL(Register!$U$5:$U$404,$A22),Register!$U$5:$U$404,0)),"")</f>
        <v/>
      </c>
      <c r="I22" s="14">
        <f>IFERROR(INDEX(Register!$P$5:$P$404,MATCH(SMALL(Register!$U$5:$U$404,$A22),Register!$U$5:$U$404,0)),"")</f>
        <v/>
      </c>
    </row>
    <row r="23">
      <c r="A23" s="9" t="n">
        <v>9</v>
      </c>
      <c r="B23" s="14">
        <f>IFERROR(INDEX(Register!$B$5:$B$404,MATCH(SMALL(Register!$U$5:$U$404,$A23),Register!$U$5:$U$404,0)),"")</f>
        <v/>
      </c>
      <c r="C23" s="14">
        <f>IFERROR(INDEX(Register!$D$5:$D$404,MATCH(SMALL(Register!$U$5:$U$404,$A23),Register!$U$5:$U$404,0)),"")</f>
        <v/>
      </c>
      <c r="D23" s="14">
        <f>IFERROR(INDEX(Register!$E$5:$E$404,MATCH(SMALL(Register!$U$5:$U$404,$A23),Register!$U$5:$U$404,0)),"")</f>
        <v/>
      </c>
      <c r="E23" s="14">
        <f>IFERROR(INDEX(Register!$G$5:$G$404,MATCH(SMALL(Register!$U$5:$U$404,$A23),Register!$U$5:$U$404,0)),"")</f>
        <v/>
      </c>
      <c r="F23" s="15">
        <f>IFERROR(INDEX(Register!$J$5:$J$404,MATCH(SMALL(Register!$U$5:$U$404,$A23),Register!$U$5:$U$404,0)),"")</f>
        <v/>
      </c>
      <c r="G23" s="9">
        <f>IFERROR(INDEX(Register!$N$5:$N$404,MATCH(SMALL(Register!$U$5:$U$404,$A23),Register!$U$5:$U$404,0)),"")</f>
        <v/>
      </c>
      <c r="H23" s="9">
        <f>IFERROR(INDEX(Register!$O$5:$O$404,MATCH(SMALL(Register!$U$5:$U$404,$A23),Register!$U$5:$U$404,0)),"")</f>
        <v/>
      </c>
      <c r="I23" s="14">
        <f>IFERROR(INDEX(Register!$P$5:$P$404,MATCH(SMALL(Register!$U$5:$U$404,$A23),Register!$U$5:$U$404,0)),"")</f>
        <v/>
      </c>
    </row>
    <row r="24">
      <c r="A24" s="9" t="n">
        <v>10</v>
      </c>
      <c r="B24" s="14">
        <f>IFERROR(INDEX(Register!$B$5:$B$404,MATCH(SMALL(Register!$U$5:$U$404,$A24),Register!$U$5:$U$404,0)),"")</f>
        <v/>
      </c>
      <c r="C24" s="14">
        <f>IFERROR(INDEX(Register!$D$5:$D$404,MATCH(SMALL(Register!$U$5:$U$404,$A24),Register!$U$5:$U$404,0)),"")</f>
        <v/>
      </c>
      <c r="D24" s="14">
        <f>IFERROR(INDEX(Register!$E$5:$E$404,MATCH(SMALL(Register!$U$5:$U$404,$A24),Register!$U$5:$U$404,0)),"")</f>
        <v/>
      </c>
      <c r="E24" s="14">
        <f>IFERROR(INDEX(Register!$G$5:$G$404,MATCH(SMALL(Register!$U$5:$U$404,$A24),Register!$U$5:$U$404,0)),"")</f>
        <v/>
      </c>
      <c r="F24" s="15">
        <f>IFERROR(INDEX(Register!$J$5:$J$404,MATCH(SMALL(Register!$U$5:$U$404,$A24),Register!$U$5:$U$404,0)),"")</f>
        <v/>
      </c>
      <c r="G24" s="9">
        <f>IFERROR(INDEX(Register!$N$5:$N$404,MATCH(SMALL(Register!$U$5:$U$404,$A24),Register!$U$5:$U$404,0)),"")</f>
        <v/>
      </c>
      <c r="H24" s="9">
        <f>IFERROR(INDEX(Register!$O$5:$O$404,MATCH(SMALL(Register!$U$5:$U$404,$A24),Register!$U$5:$U$404,0)),"")</f>
        <v/>
      </c>
      <c r="I24" s="14">
        <f>IFERROR(INDEX(Register!$P$5:$P$404,MATCH(SMALL(Register!$U$5:$U$404,$A24),Register!$U$5:$U$404,0)),"")</f>
        <v/>
      </c>
    </row>
    <row r="25">
      <c r="A25" s="9" t="n">
        <v>11</v>
      </c>
      <c r="B25" s="14">
        <f>IFERROR(INDEX(Register!$B$5:$B$404,MATCH(SMALL(Register!$U$5:$U$404,$A25),Register!$U$5:$U$404,0)),"")</f>
        <v/>
      </c>
      <c r="C25" s="14">
        <f>IFERROR(INDEX(Register!$D$5:$D$404,MATCH(SMALL(Register!$U$5:$U$404,$A25),Register!$U$5:$U$404,0)),"")</f>
        <v/>
      </c>
      <c r="D25" s="14">
        <f>IFERROR(INDEX(Register!$E$5:$E$404,MATCH(SMALL(Register!$U$5:$U$404,$A25),Register!$U$5:$U$404,0)),"")</f>
        <v/>
      </c>
      <c r="E25" s="14">
        <f>IFERROR(INDEX(Register!$G$5:$G$404,MATCH(SMALL(Register!$U$5:$U$404,$A25),Register!$U$5:$U$404,0)),"")</f>
        <v/>
      </c>
      <c r="F25" s="15">
        <f>IFERROR(INDEX(Register!$J$5:$J$404,MATCH(SMALL(Register!$U$5:$U$404,$A25),Register!$U$5:$U$404,0)),"")</f>
        <v/>
      </c>
      <c r="G25" s="9">
        <f>IFERROR(INDEX(Register!$N$5:$N$404,MATCH(SMALL(Register!$U$5:$U$404,$A25),Register!$U$5:$U$404,0)),"")</f>
        <v/>
      </c>
      <c r="H25" s="9">
        <f>IFERROR(INDEX(Register!$O$5:$O$404,MATCH(SMALL(Register!$U$5:$U$404,$A25),Register!$U$5:$U$404,0)),"")</f>
        <v/>
      </c>
      <c r="I25" s="14">
        <f>IFERROR(INDEX(Register!$P$5:$P$404,MATCH(SMALL(Register!$U$5:$U$404,$A25),Register!$U$5:$U$404,0)),"")</f>
        <v/>
      </c>
    </row>
    <row r="26">
      <c r="A26" s="9" t="n">
        <v>12</v>
      </c>
      <c r="B26" s="14">
        <f>IFERROR(INDEX(Register!$B$5:$B$404,MATCH(SMALL(Register!$U$5:$U$404,$A26),Register!$U$5:$U$404,0)),"")</f>
        <v/>
      </c>
      <c r="C26" s="14">
        <f>IFERROR(INDEX(Register!$D$5:$D$404,MATCH(SMALL(Register!$U$5:$U$404,$A26),Register!$U$5:$U$404,0)),"")</f>
        <v/>
      </c>
      <c r="D26" s="14">
        <f>IFERROR(INDEX(Register!$E$5:$E$404,MATCH(SMALL(Register!$U$5:$U$404,$A26),Register!$U$5:$U$404,0)),"")</f>
        <v/>
      </c>
      <c r="E26" s="14">
        <f>IFERROR(INDEX(Register!$G$5:$G$404,MATCH(SMALL(Register!$U$5:$U$404,$A26),Register!$U$5:$U$404,0)),"")</f>
        <v/>
      </c>
      <c r="F26" s="15">
        <f>IFERROR(INDEX(Register!$J$5:$J$404,MATCH(SMALL(Register!$U$5:$U$404,$A26),Register!$U$5:$U$404,0)),"")</f>
        <v/>
      </c>
      <c r="G26" s="9">
        <f>IFERROR(INDEX(Register!$N$5:$N$404,MATCH(SMALL(Register!$U$5:$U$404,$A26),Register!$U$5:$U$404,0)),"")</f>
        <v/>
      </c>
      <c r="H26" s="9">
        <f>IFERROR(INDEX(Register!$O$5:$O$404,MATCH(SMALL(Register!$U$5:$U$404,$A26),Register!$U$5:$U$404,0)),"")</f>
        <v/>
      </c>
      <c r="I26" s="14">
        <f>IFERROR(INDEX(Register!$P$5:$P$404,MATCH(SMALL(Register!$U$5:$U$404,$A26),Register!$U$5:$U$404,0)),"")</f>
        <v/>
      </c>
    </row>
    <row r="27">
      <c r="A27" s="9" t="n">
        <v>13</v>
      </c>
      <c r="B27" s="14">
        <f>IFERROR(INDEX(Register!$B$5:$B$404,MATCH(SMALL(Register!$U$5:$U$404,$A27),Register!$U$5:$U$404,0)),"")</f>
        <v/>
      </c>
      <c r="C27" s="14">
        <f>IFERROR(INDEX(Register!$D$5:$D$404,MATCH(SMALL(Register!$U$5:$U$404,$A27),Register!$U$5:$U$404,0)),"")</f>
        <v/>
      </c>
      <c r="D27" s="14">
        <f>IFERROR(INDEX(Register!$E$5:$E$404,MATCH(SMALL(Register!$U$5:$U$404,$A27),Register!$U$5:$U$404,0)),"")</f>
        <v/>
      </c>
      <c r="E27" s="14">
        <f>IFERROR(INDEX(Register!$G$5:$G$404,MATCH(SMALL(Register!$U$5:$U$404,$A27),Register!$U$5:$U$404,0)),"")</f>
        <v/>
      </c>
      <c r="F27" s="15">
        <f>IFERROR(INDEX(Register!$J$5:$J$404,MATCH(SMALL(Register!$U$5:$U$404,$A27),Register!$U$5:$U$404,0)),"")</f>
        <v/>
      </c>
      <c r="G27" s="9">
        <f>IFERROR(INDEX(Register!$N$5:$N$404,MATCH(SMALL(Register!$U$5:$U$404,$A27),Register!$U$5:$U$404,0)),"")</f>
        <v/>
      </c>
      <c r="H27" s="9">
        <f>IFERROR(INDEX(Register!$O$5:$O$404,MATCH(SMALL(Register!$U$5:$U$404,$A27),Register!$U$5:$U$404,0)),"")</f>
        <v/>
      </c>
      <c r="I27" s="14">
        <f>IFERROR(INDEX(Register!$P$5:$P$404,MATCH(SMALL(Register!$U$5:$U$404,$A27),Register!$U$5:$U$404,0)),"")</f>
        <v/>
      </c>
    </row>
    <row r="28">
      <c r="A28" s="9" t="n">
        <v>14</v>
      </c>
      <c r="B28" s="14">
        <f>IFERROR(INDEX(Register!$B$5:$B$404,MATCH(SMALL(Register!$U$5:$U$404,$A28),Register!$U$5:$U$404,0)),"")</f>
        <v/>
      </c>
      <c r="C28" s="14">
        <f>IFERROR(INDEX(Register!$D$5:$D$404,MATCH(SMALL(Register!$U$5:$U$404,$A28),Register!$U$5:$U$404,0)),"")</f>
        <v/>
      </c>
      <c r="D28" s="14">
        <f>IFERROR(INDEX(Register!$E$5:$E$404,MATCH(SMALL(Register!$U$5:$U$404,$A28),Register!$U$5:$U$404,0)),"")</f>
        <v/>
      </c>
      <c r="E28" s="14">
        <f>IFERROR(INDEX(Register!$G$5:$G$404,MATCH(SMALL(Register!$U$5:$U$404,$A28),Register!$U$5:$U$404,0)),"")</f>
        <v/>
      </c>
      <c r="F28" s="15">
        <f>IFERROR(INDEX(Register!$J$5:$J$404,MATCH(SMALL(Register!$U$5:$U$404,$A28),Register!$U$5:$U$404,0)),"")</f>
        <v/>
      </c>
      <c r="G28" s="9">
        <f>IFERROR(INDEX(Register!$N$5:$N$404,MATCH(SMALL(Register!$U$5:$U$404,$A28),Register!$U$5:$U$404,0)),"")</f>
        <v/>
      </c>
      <c r="H28" s="9">
        <f>IFERROR(INDEX(Register!$O$5:$O$404,MATCH(SMALL(Register!$U$5:$U$404,$A28),Register!$U$5:$U$404,0)),"")</f>
        <v/>
      </c>
      <c r="I28" s="14">
        <f>IFERROR(INDEX(Register!$P$5:$P$404,MATCH(SMALL(Register!$U$5:$U$404,$A28),Register!$U$5:$U$404,0)),"")</f>
        <v/>
      </c>
    </row>
    <row r="29">
      <c r="A29" s="9" t="n">
        <v>15</v>
      </c>
      <c r="B29" s="14">
        <f>IFERROR(INDEX(Register!$B$5:$B$404,MATCH(SMALL(Register!$U$5:$U$404,$A29),Register!$U$5:$U$404,0)),"")</f>
        <v/>
      </c>
      <c r="C29" s="14">
        <f>IFERROR(INDEX(Register!$D$5:$D$404,MATCH(SMALL(Register!$U$5:$U$404,$A29),Register!$U$5:$U$404,0)),"")</f>
        <v/>
      </c>
      <c r="D29" s="14">
        <f>IFERROR(INDEX(Register!$E$5:$E$404,MATCH(SMALL(Register!$U$5:$U$404,$A29),Register!$U$5:$U$404,0)),"")</f>
        <v/>
      </c>
      <c r="E29" s="14">
        <f>IFERROR(INDEX(Register!$G$5:$G$404,MATCH(SMALL(Register!$U$5:$U$404,$A29),Register!$U$5:$U$404,0)),"")</f>
        <v/>
      </c>
      <c r="F29" s="15">
        <f>IFERROR(INDEX(Register!$J$5:$J$404,MATCH(SMALL(Register!$U$5:$U$404,$A29),Register!$U$5:$U$404,0)),"")</f>
        <v/>
      </c>
      <c r="G29" s="9">
        <f>IFERROR(INDEX(Register!$N$5:$N$404,MATCH(SMALL(Register!$U$5:$U$404,$A29),Register!$U$5:$U$404,0)),"")</f>
        <v/>
      </c>
      <c r="H29" s="9">
        <f>IFERROR(INDEX(Register!$O$5:$O$404,MATCH(SMALL(Register!$U$5:$U$404,$A29),Register!$U$5:$U$404,0)),"")</f>
        <v/>
      </c>
      <c r="I29" s="14">
        <f>IFERROR(INDEX(Register!$P$5:$P$404,MATCH(SMALL(Register!$U$5:$U$404,$A29),Register!$U$5:$U$404,0)),"")</f>
        <v/>
      </c>
    </row>
    <row r="30">
      <c r="A30" s="9" t="n">
        <v>16</v>
      </c>
      <c r="B30" s="14">
        <f>IFERROR(INDEX(Register!$B$5:$B$404,MATCH(SMALL(Register!$U$5:$U$404,$A30),Register!$U$5:$U$404,0)),"")</f>
        <v/>
      </c>
      <c r="C30" s="14">
        <f>IFERROR(INDEX(Register!$D$5:$D$404,MATCH(SMALL(Register!$U$5:$U$404,$A30),Register!$U$5:$U$404,0)),"")</f>
        <v/>
      </c>
      <c r="D30" s="14">
        <f>IFERROR(INDEX(Register!$E$5:$E$404,MATCH(SMALL(Register!$U$5:$U$404,$A30),Register!$U$5:$U$404,0)),"")</f>
        <v/>
      </c>
      <c r="E30" s="14">
        <f>IFERROR(INDEX(Register!$G$5:$G$404,MATCH(SMALL(Register!$U$5:$U$404,$A30),Register!$U$5:$U$404,0)),"")</f>
        <v/>
      </c>
      <c r="F30" s="15">
        <f>IFERROR(INDEX(Register!$J$5:$J$404,MATCH(SMALL(Register!$U$5:$U$404,$A30),Register!$U$5:$U$404,0)),"")</f>
        <v/>
      </c>
      <c r="G30" s="9">
        <f>IFERROR(INDEX(Register!$N$5:$N$404,MATCH(SMALL(Register!$U$5:$U$404,$A30),Register!$U$5:$U$404,0)),"")</f>
        <v/>
      </c>
      <c r="H30" s="9">
        <f>IFERROR(INDEX(Register!$O$5:$O$404,MATCH(SMALL(Register!$U$5:$U$404,$A30),Register!$U$5:$U$404,0)),"")</f>
        <v/>
      </c>
      <c r="I30" s="14">
        <f>IFERROR(INDEX(Register!$P$5:$P$404,MATCH(SMALL(Register!$U$5:$U$404,$A30),Register!$U$5:$U$404,0)),"")</f>
        <v/>
      </c>
    </row>
    <row r="31">
      <c r="A31" s="9" t="n">
        <v>17</v>
      </c>
      <c r="B31" s="14">
        <f>IFERROR(INDEX(Register!$B$5:$B$404,MATCH(SMALL(Register!$U$5:$U$404,$A31),Register!$U$5:$U$404,0)),"")</f>
        <v/>
      </c>
      <c r="C31" s="14">
        <f>IFERROR(INDEX(Register!$D$5:$D$404,MATCH(SMALL(Register!$U$5:$U$404,$A31),Register!$U$5:$U$404,0)),"")</f>
        <v/>
      </c>
      <c r="D31" s="14">
        <f>IFERROR(INDEX(Register!$E$5:$E$404,MATCH(SMALL(Register!$U$5:$U$404,$A31),Register!$U$5:$U$404,0)),"")</f>
        <v/>
      </c>
      <c r="E31" s="14">
        <f>IFERROR(INDEX(Register!$G$5:$G$404,MATCH(SMALL(Register!$U$5:$U$404,$A31),Register!$U$5:$U$404,0)),"")</f>
        <v/>
      </c>
      <c r="F31" s="15">
        <f>IFERROR(INDEX(Register!$J$5:$J$404,MATCH(SMALL(Register!$U$5:$U$404,$A31),Register!$U$5:$U$404,0)),"")</f>
        <v/>
      </c>
      <c r="G31" s="9">
        <f>IFERROR(INDEX(Register!$N$5:$N$404,MATCH(SMALL(Register!$U$5:$U$404,$A31),Register!$U$5:$U$404,0)),"")</f>
        <v/>
      </c>
      <c r="H31" s="9">
        <f>IFERROR(INDEX(Register!$O$5:$O$404,MATCH(SMALL(Register!$U$5:$U$404,$A31),Register!$U$5:$U$404,0)),"")</f>
        <v/>
      </c>
      <c r="I31" s="14">
        <f>IFERROR(INDEX(Register!$P$5:$P$404,MATCH(SMALL(Register!$U$5:$U$404,$A31),Register!$U$5:$U$404,0)),"")</f>
        <v/>
      </c>
    </row>
    <row r="32">
      <c r="A32" s="9" t="n">
        <v>18</v>
      </c>
      <c r="B32" s="14">
        <f>IFERROR(INDEX(Register!$B$5:$B$404,MATCH(SMALL(Register!$U$5:$U$404,$A32),Register!$U$5:$U$404,0)),"")</f>
        <v/>
      </c>
      <c r="C32" s="14">
        <f>IFERROR(INDEX(Register!$D$5:$D$404,MATCH(SMALL(Register!$U$5:$U$404,$A32),Register!$U$5:$U$404,0)),"")</f>
        <v/>
      </c>
      <c r="D32" s="14">
        <f>IFERROR(INDEX(Register!$E$5:$E$404,MATCH(SMALL(Register!$U$5:$U$404,$A32),Register!$U$5:$U$404,0)),"")</f>
        <v/>
      </c>
      <c r="E32" s="14">
        <f>IFERROR(INDEX(Register!$G$5:$G$404,MATCH(SMALL(Register!$U$5:$U$404,$A32),Register!$U$5:$U$404,0)),"")</f>
        <v/>
      </c>
      <c r="F32" s="15">
        <f>IFERROR(INDEX(Register!$J$5:$J$404,MATCH(SMALL(Register!$U$5:$U$404,$A32),Register!$U$5:$U$404,0)),"")</f>
        <v/>
      </c>
      <c r="G32" s="9">
        <f>IFERROR(INDEX(Register!$N$5:$N$404,MATCH(SMALL(Register!$U$5:$U$404,$A32),Register!$U$5:$U$404,0)),"")</f>
        <v/>
      </c>
      <c r="H32" s="9">
        <f>IFERROR(INDEX(Register!$O$5:$O$404,MATCH(SMALL(Register!$U$5:$U$404,$A32),Register!$U$5:$U$404,0)),"")</f>
        <v/>
      </c>
      <c r="I32" s="14">
        <f>IFERROR(INDEX(Register!$P$5:$P$404,MATCH(SMALL(Register!$U$5:$U$404,$A32),Register!$U$5:$U$404,0)),"")</f>
        <v/>
      </c>
    </row>
    <row r="33">
      <c r="A33" s="9" t="n">
        <v>19</v>
      </c>
      <c r="B33" s="14">
        <f>IFERROR(INDEX(Register!$B$5:$B$404,MATCH(SMALL(Register!$U$5:$U$404,$A33),Register!$U$5:$U$404,0)),"")</f>
        <v/>
      </c>
      <c r="C33" s="14">
        <f>IFERROR(INDEX(Register!$D$5:$D$404,MATCH(SMALL(Register!$U$5:$U$404,$A33),Register!$U$5:$U$404,0)),"")</f>
        <v/>
      </c>
      <c r="D33" s="14">
        <f>IFERROR(INDEX(Register!$E$5:$E$404,MATCH(SMALL(Register!$U$5:$U$404,$A33),Register!$U$5:$U$404,0)),"")</f>
        <v/>
      </c>
      <c r="E33" s="14">
        <f>IFERROR(INDEX(Register!$G$5:$G$404,MATCH(SMALL(Register!$U$5:$U$404,$A33),Register!$U$5:$U$404,0)),"")</f>
        <v/>
      </c>
      <c r="F33" s="15">
        <f>IFERROR(INDEX(Register!$J$5:$J$404,MATCH(SMALL(Register!$U$5:$U$404,$A33),Register!$U$5:$U$404,0)),"")</f>
        <v/>
      </c>
      <c r="G33" s="9">
        <f>IFERROR(INDEX(Register!$N$5:$N$404,MATCH(SMALL(Register!$U$5:$U$404,$A33),Register!$U$5:$U$404,0)),"")</f>
        <v/>
      </c>
      <c r="H33" s="9">
        <f>IFERROR(INDEX(Register!$O$5:$O$404,MATCH(SMALL(Register!$U$5:$U$404,$A33),Register!$U$5:$U$404,0)),"")</f>
        <v/>
      </c>
      <c r="I33" s="14">
        <f>IFERROR(INDEX(Register!$P$5:$P$404,MATCH(SMALL(Register!$U$5:$U$404,$A33),Register!$U$5:$U$404,0)),"")</f>
        <v/>
      </c>
    </row>
    <row r="34">
      <c r="A34" s="9" t="n">
        <v>20</v>
      </c>
      <c r="B34" s="14">
        <f>IFERROR(INDEX(Register!$B$5:$B$404,MATCH(SMALL(Register!$U$5:$U$404,$A34),Register!$U$5:$U$404,0)),"")</f>
        <v/>
      </c>
      <c r="C34" s="14">
        <f>IFERROR(INDEX(Register!$D$5:$D$404,MATCH(SMALL(Register!$U$5:$U$404,$A34),Register!$U$5:$U$404,0)),"")</f>
        <v/>
      </c>
      <c r="D34" s="14">
        <f>IFERROR(INDEX(Register!$E$5:$E$404,MATCH(SMALL(Register!$U$5:$U$404,$A34),Register!$U$5:$U$404,0)),"")</f>
        <v/>
      </c>
      <c r="E34" s="14">
        <f>IFERROR(INDEX(Register!$G$5:$G$404,MATCH(SMALL(Register!$U$5:$U$404,$A34),Register!$U$5:$U$404,0)),"")</f>
        <v/>
      </c>
      <c r="F34" s="15">
        <f>IFERROR(INDEX(Register!$J$5:$J$404,MATCH(SMALL(Register!$U$5:$U$404,$A34),Register!$U$5:$U$404,0)),"")</f>
        <v/>
      </c>
      <c r="G34" s="9">
        <f>IFERROR(INDEX(Register!$N$5:$N$404,MATCH(SMALL(Register!$U$5:$U$404,$A34),Register!$U$5:$U$404,0)),"")</f>
        <v/>
      </c>
      <c r="H34" s="9">
        <f>IFERROR(INDEX(Register!$O$5:$O$404,MATCH(SMALL(Register!$U$5:$U$404,$A34),Register!$U$5:$U$404,0)),"")</f>
        <v/>
      </c>
      <c r="I34" s="14">
        <f>IFERROR(INDEX(Register!$P$5:$P$404,MATCH(SMALL(Register!$U$5:$U$404,$A34),Register!$U$5:$U$404,0)),"")</f>
        <v/>
      </c>
    </row>
    <row r="35">
      <c r="A35" s="9" t="n">
        <v>21</v>
      </c>
      <c r="B35" s="14">
        <f>IFERROR(INDEX(Register!$B$5:$B$404,MATCH(SMALL(Register!$U$5:$U$404,$A35),Register!$U$5:$U$404,0)),"")</f>
        <v/>
      </c>
      <c r="C35" s="14">
        <f>IFERROR(INDEX(Register!$D$5:$D$404,MATCH(SMALL(Register!$U$5:$U$404,$A35),Register!$U$5:$U$404,0)),"")</f>
        <v/>
      </c>
      <c r="D35" s="14">
        <f>IFERROR(INDEX(Register!$E$5:$E$404,MATCH(SMALL(Register!$U$5:$U$404,$A35),Register!$U$5:$U$404,0)),"")</f>
        <v/>
      </c>
      <c r="E35" s="14">
        <f>IFERROR(INDEX(Register!$G$5:$G$404,MATCH(SMALL(Register!$U$5:$U$404,$A35),Register!$U$5:$U$404,0)),"")</f>
        <v/>
      </c>
      <c r="F35" s="15">
        <f>IFERROR(INDEX(Register!$J$5:$J$404,MATCH(SMALL(Register!$U$5:$U$404,$A35),Register!$U$5:$U$404,0)),"")</f>
        <v/>
      </c>
      <c r="G35" s="9">
        <f>IFERROR(INDEX(Register!$N$5:$N$404,MATCH(SMALL(Register!$U$5:$U$404,$A35),Register!$U$5:$U$404,0)),"")</f>
        <v/>
      </c>
      <c r="H35" s="9">
        <f>IFERROR(INDEX(Register!$O$5:$O$404,MATCH(SMALL(Register!$U$5:$U$404,$A35),Register!$U$5:$U$404,0)),"")</f>
        <v/>
      </c>
      <c r="I35" s="14">
        <f>IFERROR(INDEX(Register!$P$5:$P$404,MATCH(SMALL(Register!$U$5:$U$404,$A35),Register!$U$5:$U$404,0)),"")</f>
        <v/>
      </c>
    </row>
    <row r="36">
      <c r="A36" s="9" t="n">
        <v>22</v>
      </c>
      <c r="B36" s="14">
        <f>IFERROR(INDEX(Register!$B$5:$B$404,MATCH(SMALL(Register!$U$5:$U$404,$A36),Register!$U$5:$U$404,0)),"")</f>
        <v/>
      </c>
      <c r="C36" s="14">
        <f>IFERROR(INDEX(Register!$D$5:$D$404,MATCH(SMALL(Register!$U$5:$U$404,$A36),Register!$U$5:$U$404,0)),"")</f>
        <v/>
      </c>
      <c r="D36" s="14">
        <f>IFERROR(INDEX(Register!$E$5:$E$404,MATCH(SMALL(Register!$U$5:$U$404,$A36),Register!$U$5:$U$404,0)),"")</f>
        <v/>
      </c>
      <c r="E36" s="14">
        <f>IFERROR(INDEX(Register!$G$5:$G$404,MATCH(SMALL(Register!$U$5:$U$404,$A36),Register!$U$5:$U$404,0)),"")</f>
        <v/>
      </c>
      <c r="F36" s="15">
        <f>IFERROR(INDEX(Register!$J$5:$J$404,MATCH(SMALL(Register!$U$5:$U$404,$A36),Register!$U$5:$U$404,0)),"")</f>
        <v/>
      </c>
      <c r="G36" s="9">
        <f>IFERROR(INDEX(Register!$N$5:$N$404,MATCH(SMALL(Register!$U$5:$U$404,$A36),Register!$U$5:$U$404,0)),"")</f>
        <v/>
      </c>
      <c r="H36" s="9">
        <f>IFERROR(INDEX(Register!$O$5:$O$404,MATCH(SMALL(Register!$U$5:$U$404,$A36),Register!$U$5:$U$404,0)),"")</f>
        <v/>
      </c>
      <c r="I36" s="14">
        <f>IFERROR(INDEX(Register!$P$5:$P$404,MATCH(SMALL(Register!$U$5:$U$404,$A36),Register!$U$5:$U$404,0)),"")</f>
        <v/>
      </c>
    </row>
    <row r="37">
      <c r="A37" s="9" t="n">
        <v>23</v>
      </c>
      <c r="B37" s="14">
        <f>IFERROR(INDEX(Register!$B$5:$B$404,MATCH(SMALL(Register!$U$5:$U$404,$A37),Register!$U$5:$U$404,0)),"")</f>
        <v/>
      </c>
      <c r="C37" s="14">
        <f>IFERROR(INDEX(Register!$D$5:$D$404,MATCH(SMALL(Register!$U$5:$U$404,$A37),Register!$U$5:$U$404,0)),"")</f>
        <v/>
      </c>
      <c r="D37" s="14">
        <f>IFERROR(INDEX(Register!$E$5:$E$404,MATCH(SMALL(Register!$U$5:$U$404,$A37),Register!$U$5:$U$404,0)),"")</f>
        <v/>
      </c>
      <c r="E37" s="14">
        <f>IFERROR(INDEX(Register!$G$5:$G$404,MATCH(SMALL(Register!$U$5:$U$404,$A37),Register!$U$5:$U$404,0)),"")</f>
        <v/>
      </c>
      <c r="F37" s="15">
        <f>IFERROR(INDEX(Register!$J$5:$J$404,MATCH(SMALL(Register!$U$5:$U$404,$A37),Register!$U$5:$U$404,0)),"")</f>
        <v/>
      </c>
      <c r="G37" s="9">
        <f>IFERROR(INDEX(Register!$N$5:$N$404,MATCH(SMALL(Register!$U$5:$U$404,$A37),Register!$U$5:$U$404,0)),"")</f>
        <v/>
      </c>
      <c r="H37" s="9">
        <f>IFERROR(INDEX(Register!$O$5:$O$404,MATCH(SMALL(Register!$U$5:$U$404,$A37),Register!$U$5:$U$404,0)),"")</f>
        <v/>
      </c>
      <c r="I37" s="14">
        <f>IFERROR(INDEX(Register!$P$5:$P$404,MATCH(SMALL(Register!$U$5:$U$404,$A37),Register!$U$5:$U$404,0)),"")</f>
        <v/>
      </c>
    </row>
    <row r="38">
      <c r="A38" s="9" t="n">
        <v>24</v>
      </c>
      <c r="B38" s="14">
        <f>IFERROR(INDEX(Register!$B$5:$B$404,MATCH(SMALL(Register!$U$5:$U$404,$A38),Register!$U$5:$U$404,0)),"")</f>
        <v/>
      </c>
      <c r="C38" s="14">
        <f>IFERROR(INDEX(Register!$D$5:$D$404,MATCH(SMALL(Register!$U$5:$U$404,$A38),Register!$U$5:$U$404,0)),"")</f>
        <v/>
      </c>
      <c r="D38" s="14">
        <f>IFERROR(INDEX(Register!$E$5:$E$404,MATCH(SMALL(Register!$U$5:$U$404,$A38),Register!$U$5:$U$404,0)),"")</f>
        <v/>
      </c>
      <c r="E38" s="14">
        <f>IFERROR(INDEX(Register!$G$5:$G$404,MATCH(SMALL(Register!$U$5:$U$404,$A38),Register!$U$5:$U$404,0)),"")</f>
        <v/>
      </c>
      <c r="F38" s="15">
        <f>IFERROR(INDEX(Register!$J$5:$J$404,MATCH(SMALL(Register!$U$5:$U$404,$A38),Register!$U$5:$U$404,0)),"")</f>
        <v/>
      </c>
      <c r="G38" s="9">
        <f>IFERROR(INDEX(Register!$N$5:$N$404,MATCH(SMALL(Register!$U$5:$U$404,$A38),Register!$U$5:$U$404,0)),"")</f>
        <v/>
      </c>
      <c r="H38" s="9">
        <f>IFERROR(INDEX(Register!$O$5:$O$404,MATCH(SMALL(Register!$U$5:$U$404,$A38),Register!$U$5:$U$404,0)),"")</f>
        <v/>
      </c>
      <c r="I38" s="14">
        <f>IFERROR(INDEX(Register!$P$5:$P$404,MATCH(SMALL(Register!$U$5:$U$404,$A38),Register!$U$5:$U$404,0)),"")</f>
        <v/>
      </c>
    </row>
    <row r="39">
      <c r="A39" s="9" t="n">
        <v>25</v>
      </c>
      <c r="B39" s="14">
        <f>IFERROR(INDEX(Register!$B$5:$B$404,MATCH(SMALL(Register!$U$5:$U$404,$A39),Register!$U$5:$U$404,0)),"")</f>
        <v/>
      </c>
      <c r="C39" s="14">
        <f>IFERROR(INDEX(Register!$D$5:$D$404,MATCH(SMALL(Register!$U$5:$U$404,$A39),Register!$U$5:$U$404,0)),"")</f>
        <v/>
      </c>
      <c r="D39" s="14">
        <f>IFERROR(INDEX(Register!$E$5:$E$404,MATCH(SMALL(Register!$U$5:$U$404,$A39),Register!$U$5:$U$404,0)),"")</f>
        <v/>
      </c>
      <c r="E39" s="14">
        <f>IFERROR(INDEX(Register!$G$5:$G$404,MATCH(SMALL(Register!$U$5:$U$404,$A39),Register!$U$5:$U$404,0)),"")</f>
        <v/>
      </c>
      <c r="F39" s="15">
        <f>IFERROR(INDEX(Register!$J$5:$J$404,MATCH(SMALL(Register!$U$5:$U$404,$A39),Register!$U$5:$U$404,0)),"")</f>
        <v/>
      </c>
      <c r="G39" s="9">
        <f>IFERROR(INDEX(Register!$N$5:$N$404,MATCH(SMALL(Register!$U$5:$U$404,$A39),Register!$U$5:$U$404,0)),"")</f>
        <v/>
      </c>
      <c r="H39" s="9">
        <f>IFERROR(INDEX(Register!$O$5:$O$404,MATCH(SMALL(Register!$U$5:$U$404,$A39),Register!$U$5:$U$404,0)),"")</f>
        <v/>
      </c>
      <c r="I39" s="14">
        <f>IFERROR(INDEX(Register!$P$5:$P$404,MATCH(SMALL(Register!$U$5:$U$404,$A39),Register!$U$5:$U$404,0)),"")</f>
        <v/>
      </c>
    </row>
    <row r="40">
      <c r="A40" s="9" t="n">
        <v>26</v>
      </c>
      <c r="B40" s="14">
        <f>IFERROR(INDEX(Register!$B$5:$B$404,MATCH(SMALL(Register!$U$5:$U$404,$A40),Register!$U$5:$U$404,0)),"")</f>
        <v/>
      </c>
      <c r="C40" s="14">
        <f>IFERROR(INDEX(Register!$D$5:$D$404,MATCH(SMALL(Register!$U$5:$U$404,$A40),Register!$U$5:$U$404,0)),"")</f>
        <v/>
      </c>
      <c r="D40" s="14">
        <f>IFERROR(INDEX(Register!$E$5:$E$404,MATCH(SMALL(Register!$U$5:$U$404,$A40),Register!$U$5:$U$404,0)),"")</f>
        <v/>
      </c>
      <c r="E40" s="14">
        <f>IFERROR(INDEX(Register!$G$5:$G$404,MATCH(SMALL(Register!$U$5:$U$404,$A40),Register!$U$5:$U$404,0)),"")</f>
        <v/>
      </c>
      <c r="F40" s="15">
        <f>IFERROR(INDEX(Register!$J$5:$J$404,MATCH(SMALL(Register!$U$5:$U$404,$A40),Register!$U$5:$U$404,0)),"")</f>
        <v/>
      </c>
      <c r="G40" s="9">
        <f>IFERROR(INDEX(Register!$N$5:$N$404,MATCH(SMALL(Register!$U$5:$U$404,$A40),Register!$U$5:$U$404,0)),"")</f>
        <v/>
      </c>
      <c r="H40" s="9">
        <f>IFERROR(INDEX(Register!$O$5:$O$404,MATCH(SMALL(Register!$U$5:$U$404,$A40),Register!$U$5:$U$404,0)),"")</f>
        <v/>
      </c>
      <c r="I40" s="14">
        <f>IFERROR(INDEX(Register!$P$5:$P$404,MATCH(SMALL(Register!$U$5:$U$404,$A40),Register!$U$5:$U$404,0)),"")</f>
        <v/>
      </c>
    </row>
    <row r="41">
      <c r="A41" s="9" t="n">
        <v>27</v>
      </c>
      <c r="B41" s="14">
        <f>IFERROR(INDEX(Register!$B$5:$B$404,MATCH(SMALL(Register!$U$5:$U$404,$A41),Register!$U$5:$U$404,0)),"")</f>
        <v/>
      </c>
      <c r="C41" s="14">
        <f>IFERROR(INDEX(Register!$D$5:$D$404,MATCH(SMALL(Register!$U$5:$U$404,$A41),Register!$U$5:$U$404,0)),"")</f>
        <v/>
      </c>
      <c r="D41" s="14">
        <f>IFERROR(INDEX(Register!$E$5:$E$404,MATCH(SMALL(Register!$U$5:$U$404,$A41),Register!$U$5:$U$404,0)),"")</f>
        <v/>
      </c>
      <c r="E41" s="14">
        <f>IFERROR(INDEX(Register!$G$5:$G$404,MATCH(SMALL(Register!$U$5:$U$404,$A41),Register!$U$5:$U$404,0)),"")</f>
        <v/>
      </c>
      <c r="F41" s="15">
        <f>IFERROR(INDEX(Register!$J$5:$J$404,MATCH(SMALL(Register!$U$5:$U$404,$A41),Register!$U$5:$U$404,0)),"")</f>
        <v/>
      </c>
      <c r="G41" s="9">
        <f>IFERROR(INDEX(Register!$N$5:$N$404,MATCH(SMALL(Register!$U$5:$U$404,$A41),Register!$U$5:$U$404,0)),"")</f>
        <v/>
      </c>
      <c r="H41" s="9">
        <f>IFERROR(INDEX(Register!$O$5:$O$404,MATCH(SMALL(Register!$U$5:$U$404,$A41),Register!$U$5:$U$404,0)),"")</f>
        <v/>
      </c>
      <c r="I41" s="14">
        <f>IFERROR(INDEX(Register!$P$5:$P$404,MATCH(SMALL(Register!$U$5:$U$404,$A41),Register!$U$5:$U$404,0)),"")</f>
        <v/>
      </c>
    </row>
    <row r="42">
      <c r="A42" s="9" t="n">
        <v>28</v>
      </c>
      <c r="B42" s="14">
        <f>IFERROR(INDEX(Register!$B$5:$B$404,MATCH(SMALL(Register!$U$5:$U$404,$A42),Register!$U$5:$U$404,0)),"")</f>
        <v/>
      </c>
      <c r="C42" s="14">
        <f>IFERROR(INDEX(Register!$D$5:$D$404,MATCH(SMALL(Register!$U$5:$U$404,$A42),Register!$U$5:$U$404,0)),"")</f>
        <v/>
      </c>
      <c r="D42" s="14">
        <f>IFERROR(INDEX(Register!$E$5:$E$404,MATCH(SMALL(Register!$U$5:$U$404,$A42),Register!$U$5:$U$404,0)),"")</f>
        <v/>
      </c>
      <c r="E42" s="14">
        <f>IFERROR(INDEX(Register!$G$5:$G$404,MATCH(SMALL(Register!$U$5:$U$404,$A42),Register!$U$5:$U$404,0)),"")</f>
        <v/>
      </c>
      <c r="F42" s="15">
        <f>IFERROR(INDEX(Register!$J$5:$J$404,MATCH(SMALL(Register!$U$5:$U$404,$A42),Register!$U$5:$U$404,0)),"")</f>
        <v/>
      </c>
      <c r="G42" s="9">
        <f>IFERROR(INDEX(Register!$N$5:$N$404,MATCH(SMALL(Register!$U$5:$U$404,$A42),Register!$U$5:$U$404,0)),"")</f>
        <v/>
      </c>
      <c r="H42" s="9">
        <f>IFERROR(INDEX(Register!$O$5:$O$404,MATCH(SMALL(Register!$U$5:$U$404,$A42),Register!$U$5:$U$404,0)),"")</f>
        <v/>
      </c>
      <c r="I42" s="14">
        <f>IFERROR(INDEX(Register!$P$5:$P$404,MATCH(SMALL(Register!$U$5:$U$404,$A42),Register!$U$5:$U$404,0)),"")</f>
        <v/>
      </c>
    </row>
    <row r="43">
      <c r="A43" s="9" t="n">
        <v>29</v>
      </c>
      <c r="B43" s="14">
        <f>IFERROR(INDEX(Register!$B$5:$B$404,MATCH(SMALL(Register!$U$5:$U$404,$A43),Register!$U$5:$U$404,0)),"")</f>
        <v/>
      </c>
      <c r="C43" s="14">
        <f>IFERROR(INDEX(Register!$D$5:$D$404,MATCH(SMALL(Register!$U$5:$U$404,$A43),Register!$U$5:$U$404,0)),"")</f>
        <v/>
      </c>
      <c r="D43" s="14">
        <f>IFERROR(INDEX(Register!$E$5:$E$404,MATCH(SMALL(Register!$U$5:$U$404,$A43),Register!$U$5:$U$404,0)),"")</f>
        <v/>
      </c>
      <c r="E43" s="14">
        <f>IFERROR(INDEX(Register!$G$5:$G$404,MATCH(SMALL(Register!$U$5:$U$404,$A43),Register!$U$5:$U$404,0)),"")</f>
        <v/>
      </c>
      <c r="F43" s="15">
        <f>IFERROR(INDEX(Register!$J$5:$J$404,MATCH(SMALL(Register!$U$5:$U$404,$A43),Register!$U$5:$U$404,0)),"")</f>
        <v/>
      </c>
      <c r="G43" s="9">
        <f>IFERROR(INDEX(Register!$N$5:$N$404,MATCH(SMALL(Register!$U$5:$U$404,$A43),Register!$U$5:$U$404,0)),"")</f>
        <v/>
      </c>
      <c r="H43" s="9">
        <f>IFERROR(INDEX(Register!$O$5:$O$404,MATCH(SMALL(Register!$U$5:$U$404,$A43),Register!$U$5:$U$404,0)),"")</f>
        <v/>
      </c>
      <c r="I43" s="14">
        <f>IFERROR(INDEX(Register!$P$5:$P$404,MATCH(SMALL(Register!$U$5:$U$404,$A43),Register!$U$5:$U$404,0)),"")</f>
        <v/>
      </c>
    </row>
    <row r="44">
      <c r="A44" s="9" t="n">
        <v>30</v>
      </c>
      <c r="B44" s="14">
        <f>IFERROR(INDEX(Register!$B$5:$B$404,MATCH(SMALL(Register!$U$5:$U$404,$A44),Register!$U$5:$U$404,0)),"")</f>
        <v/>
      </c>
      <c r="C44" s="14">
        <f>IFERROR(INDEX(Register!$D$5:$D$404,MATCH(SMALL(Register!$U$5:$U$404,$A44),Register!$U$5:$U$404,0)),"")</f>
        <v/>
      </c>
      <c r="D44" s="14">
        <f>IFERROR(INDEX(Register!$E$5:$E$404,MATCH(SMALL(Register!$U$5:$U$404,$A44),Register!$U$5:$U$404,0)),"")</f>
        <v/>
      </c>
      <c r="E44" s="14">
        <f>IFERROR(INDEX(Register!$G$5:$G$404,MATCH(SMALL(Register!$U$5:$U$404,$A44),Register!$U$5:$U$404,0)),"")</f>
        <v/>
      </c>
      <c r="F44" s="15">
        <f>IFERROR(INDEX(Register!$J$5:$J$404,MATCH(SMALL(Register!$U$5:$U$404,$A44),Register!$U$5:$U$404,0)),"")</f>
        <v/>
      </c>
      <c r="G44" s="9">
        <f>IFERROR(INDEX(Register!$N$5:$N$404,MATCH(SMALL(Register!$U$5:$U$404,$A44),Register!$U$5:$U$404,0)),"")</f>
        <v/>
      </c>
      <c r="H44" s="9">
        <f>IFERROR(INDEX(Register!$O$5:$O$404,MATCH(SMALL(Register!$U$5:$U$404,$A44),Register!$U$5:$U$404,0)),"")</f>
        <v/>
      </c>
      <c r="I44" s="14">
        <f>IFERROR(INDEX(Register!$P$5:$P$404,MATCH(SMALL(Register!$U$5:$U$404,$A44),Register!$U$5:$U$404,0)),"")</f>
        <v/>
      </c>
    </row>
    <row r="47">
      <c r="A47" s="16" t="inlineStr">
        <is>
          <t>Colours / สีบอกสถานะ</t>
        </is>
      </c>
    </row>
    <row r="48">
      <c r="A48" s="17" t="inlineStr">
        <is>
          <t>Expired</t>
        </is>
      </c>
      <c r="B48" s="4" t="inlineStr">
        <is>
          <t>past the expiry date — เลยกำหนดแล้ว</t>
        </is>
      </c>
    </row>
    <row r="49">
      <c r="A49" s="18" t="inlineStr">
        <is>
          <t>Urgent</t>
        </is>
      </c>
      <c r="B49" s="4" t="inlineStr">
        <is>
          <t>expires within 30 days — ครบกำหนดใน 30 วัน</t>
        </is>
      </c>
    </row>
    <row r="50">
      <c r="A50" s="19" t="inlineStr">
        <is>
          <t>Due soon</t>
        </is>
      </c>
      <c r="B50" s="4" t="inlineStr">
        <is>
          <t>expires within 90 days — ครบกำหนดใน 90 วัน</t>
        </is>
      </c>
    </row>
    <row r="51">
      <c r="A51" s="20" t="inlineStr">
        <is>
          <t>OK</t>
        </is>
      </c>
      <c r="B51" s="4" t="inlineStr">
        <is>
          <t>more than 90 days left — ยังมีเวลา</t>
        </is>
      </c>
    </row>
    <row r="52">
      <c r="A52" s="21" t="inlineStr">
        <is>
          <t>No date</t>
        </is>
      </c>
      <c r="B52" s="4" t="inlineStr">
        <is>
          <t>expiry date not filled in yet — ยังไม่ได้ใส่วันหมดอายุ</t>
        </is>
      </c>
    </row>
  </sheetData>
  <mergeCells count="7">
    <mergeCell ref="A2:I2"/>
    <mergeCell ref="B49:E49"/>
    <mergeCell ref="B50:E50"/>
    <mergeCell ref="B52:E52"/>
    <mergeCell ref="B48:E48"/>
    <mergeCell ref="A1:I1"/>
    <mergeCell ref="B51:E51"/>
  </mergeCells>
  <conditionalFormatting sqref="B7:B11">
    <cfRule type="expression" priority="1" dxfId="0">
      <formula>B7&gt;0</formula>
    </cfRule>
  </conditionalFormatting>
  <conditionalFormatting sqref="C7:C11">
    <cfRule type="expression" priority="2" dxfId="1">
      <formula>C7&gt;0</formula>
    </cfRule>
  </conditionalFormatting>
  <conditionalFormatting sqref="D7:D11">
    <cfRule type="expression" priority="3" dxfId="2">
      <formula>D7&gt;0</formula>
    </cfRule>
  </conditionalFormatting>
  <conditionalFormatting sqref="E7:E11">
    <cfRule type="expression" priority="4" dxfId="3">
      <formula>E7&gt;0</formula>
    </cfRule>
  </conditionalFormatting>
  <conditionalFormatting sqref="A15:I44">
    <cfRule type="expression" priority="5" dxfId="0">
      <formula>$H15="Expired"</formula>
    </cfRule>
    <cfRule type="expression" priority="6" dxfId="1">
      <formula>$H15="Urgent"</formula>
    </cfRule>
    <cfRule type="expression" priority="7" dxfId="2">
      <formula>$H15="Due soon"</formula>
    </cfRule>
    <cfRule type="expression" priority="8" dxfId="3">
      <formula>$H15="OK"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0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22" customWidth="1" min="4" max="4"/>
    <col width="40" customWidth="1" min="5" max="5"/>
    <col width="34" customWidth="1" min="6" max="6"/>
    <col width="34" customWidth="1" min="7" max="7"/>
    <col width="22" customWidth="1" min="8" max="8"/>
    <col width="12" customWidth="1" min="9" max="9"/>
    <col width="12" customWidth="1" min="10" max="10"/>
    <col width="16" customWidth="1" min="11" max="11"/>
    <col width="12" customWidth="1" min="12" max="12"/>
    <col width="12" customWidth="1" min="13" max="13"/>
    <col width="11" customWidth="1" min="14" max="14"/>
    <col width="12" customWidth="1" min="15" max="15"/>
    <col width="16" customWidth="1" min="16" max="16"/>
    <col width="16" customWidth="1" min="17" max="17"/>
    <col width="12" customWidth="1" min="18" max="18"/>
    <col width="26" customWidth="1" min="19" max="19"/>
    <col width="40" customWidth="1" min="20" max="20"/>
    <col hidden="1" width="10" customWidth="1" min="21" max="21"/>
  </cols>
  <sheetData>
    <row r="1" ht="24" customHeight="1">
      <c r="A1" s="1" t="inlineStr">
        <is>
          <t>Licence &amp; Contract Register — Mitsui Thailand portfolio</t>
        </is>
      </c>
    </row>
    <row r="2">
      <c r="A2" s="4" t="inlineStr">
        <is>
          <t>Type into the white columns only. Days left / Action by / Status calculate themselves. ใส่ข้อมูลเฉพาะช่องสีขาว ช่องสูตรจะคำนวณเอง</t>
        </is>
      </c>
    </row>
    <row r="3" ht="6" customHeight="1"/>
    <row r="4" ht="30" customHeight="1">
      <c r="A4" s="7" t="inlineStr">
        <is>
          <t>No.</t>
        </is>
      </c>
      <c r="B4" s="7" t="inlineStr">
        <is>
          <t>Property</t>
        </is>
      </c>
      <c r="C4" s="7" t="inlineStr">
        <is>
          <t>Legal entity</t>
        </is>
      </c>
      <c r="D4" s="7" t="inlineStr">
        <is>
          <t>Category</t>
        </is>
      </c>
      <c r="E4" s="7" t="inlineStr">
        <is>
          <t>Item (EN)</t>
        </is>
      </c>
      <c r="F4" s="7" t="inlineStr">
        <is>
          <t>รายการ (TH)</t>
        </is>
      </c>
      <c r="G4" s="7" t="inlineStr">
        <is>
          <t>Authority / Counterparty</t>
        </is>
      </c>
      <c r="H4" s="7" t="inlineStr">
        <is>
          <t>Reference / Licence no.</t>
        </is>
      </c>
      <c r="I4" s="7" t="inlineStr">
        <is>
          <t>Issue date</t>
        </is>
      </c>
      <c r="J4" s="7" t="inlineStr">
        <is>
          <t>Expiry date</t>
        </is>
      </c>
      <c r="K4" s="7" t="inlineStr">
        <is>
          <t>Renewal cycle</t>
        </is>
      </c>
      <c r="L4" s="7" t="inlineStr">
        <is>
          <t>Notice (days)</t>
        </is>
      </c>
      <c r="M4" s="7" t="inlineStr">
        <is>
          <t>Action by</t>
        </is>
      </c>
      <c r="N4" s="7" t="inlineStr">
        <is>
          <t>Days left</t>
        </is>
      </c>
      <c r="O4" s="7" t="inlineStr">
        <is>
          <t>Status</t>
        </is>
      </c>
      <c r="P4" s="7" t="inlineStr">
        <is>
          <t>Responsible</t>
        </is>
      </c>
      <c r="Q4" s="7" t="inlineStr">
        <is>
          <t>Fee / Value (THB)</t>
        </is>
      </c>
      <c r="R4" s="7" t="inlineStr">
        <is>
          <t>Auto-renew</t>
        </is>
      </c>
      <c r="S4" s="7" t="inlineStr">
        <is>
          <t>Document location</t>
        </is>
      </c>
      <c r="T4" s="7" t="inlineStr">
        <is>
          <t>Notes</t>
        </is>
      </c>
      <c r="U4" s="7" t="inlineStr">
        <is>
          <t>SortKey</t>
        </is>
      </c>
    </row>
    <row r="5">
      <c r="A5" s="9">
        <f>IF(E5="","",COUNTA($E$5:E5))</f>
        <v/>
      </c>
      <c r="B5" s="22" t="inlineStr">
        <is>
          <t>SR9</t>
        </is>
      </c>
      <c r="C5" s="22" t="inlineStr">
        <is>
          <t>AMH Ratchada Co., Ltd.</t>
        </is>
      </c>
      <c r="D5" s="22" t="inlineStr">
        <is>
          <t>Licence</t>
        </is>
      </c>
      <c r="E5" s="23" t="inlineStr">
        <is>
          <t>Hotel operating licence</t>
        </is>
      </c>
      <c r="F5" s="23" t="inlineStr">
        <is>
          <t>ใบอนุญาตประกอบธุรกิจโรงแรม</t>
        </is>
      </c>
      <c r="G5" s="23" t="inlineStr">
        <is>
          <t>Dept. of Provincial Administration / District Office</t>
        </is>
      </c>
      <c r="H5" s="22" t="n"/>
      <c r="I5" s="15" t="n"/>
      <c r="J5" s="15" t="n"/>
      <c r="K5" s="22" t="inlineStr">
        <is>
          <t>Every 5 years</t>
        </is>
      </c>
      <c r="L5" s="22" t="n">
        <v>60</v>
      </c>
      <c r="M5" s="15">
        <f>IF(J5="","",J5-IF(L5="",0,L5))</f>
        <v/>
      </c>
      <c r="N5" s="24">
        <f>IF(J5="","",J5-TODAY())</f>
        <v/>
      </c>
      <c r="O5" s="9">
        <f>IF(E5="","",IF(J5="","No date",IF(N5&lt;0,"Expired",IF(N5&lt;=30,"Urgent",IF(N5&lt;=90,"Due soon","OK")))))</f>
        <v/>
      </c>
      <c r="P5" s="22" t="n"/>
      <c r="Q5" s="25" t="n"/>
      <c r="R5" s="22" t="n"/>
      <c r="S5" s="22" t="n"/>
      <c r="T5" s="23" t="n"/>
      <c r="U5" s="22">
        <f>IF(E5="","",IF(J5="","",N5+ROW()/100000))</f>
        <v/>
      </c>
    </row>
    <row r="6">
      <c r="A6" s="9">
        <f>IF(E6="","",COUNTA($E$5:E6))</f>
        <v/>
      </c>
      <c r="B6" s="22" t="inlineStr">
        <is>
          <t>SR9</t>
        </is>
      </c>
      <c r="C6" s="22" t="inlineStr">
        <is>
          <t>AMH Ratchada Co., Ltd.</t>
        </is>
      </c>
      <c r="D6" s="22" t="inlineStr">
        <is>
          <t>Licence</t>
        </is>
      </c>
      <c r="E6" s="23" t="inlineStr">
        <is>
          <t>Hotel manager licence</t>
        </is>
      </c>
      <c r="F6" s="23" t="inlineStr">
        <is>
          <t>ใบอนุญาตผู้จัดการโรงแรม</t>
        </is>
      </c>
      <c r="G6" s="23" t="inlineStr">
        <is>
          <t>Dept. of Provincial Administration / District Office</t>
        </is>
      </c>
      <c r="H6" s="22" t="n"/>
      <c r="I6" s="15" t="n"/>
      <c r="J6" s="15" t="n"/>
      <c r="K6" s="22" t="inlineStr">
        <is>
          <t>Every 5 years</t>
        </is>
      </c>
      <c r="L6" s="22" t="n">
        <v>60</v>
      </c>
      <c r="M6" s="15">
        <f>IF(J6="","",J6-IF(L6="",0,L6))</f>
        <v/>
      </c>
      <c r="N6" s="24">
        <f>IF(J6="","",J6-TODAY())</f>
        <v/>
      </c>
      <c r="O6" s="9">
        <f>IF(E6="","",IF(J6="","No date",IF(N6&lt;0,"Expired",IF(N6&lt;=30,"Urgent",IF(N6&lt;=90,"Due soon","OK")))))</f>
        <v/>
      </c>
      <c r="P6" s="22" t="n"/>
      <c r="Q6" s="25" t="n"/>
      <c r="R6" s="22" t="n"/>
      <c r="S6" s="22" t="n"/>
      <c r="T6" s="23" t="n"/>
      <c r="U6" s="22">
        <f>IF(E6="","",IF(J6="","",N6+ROW()/100000))</f>
        <v/>
      </c>
    </row>
    <row r="7">
      <c r="A7" s="9">
        <f>IF(E7="","",COUNTA($E$5:E7))</f>
        <v/>
      </c>
      <c r="B7" s="22" t="inlineStr">
        <is>
          <t>SR9</t>
        </is>
      </c>
      <c r="C7" s="22" t="inlineStr">
        <is>
          <t>AMH Ratchada Co., Ltd.</t>
        </is>
      </c>
      <c r="D7" s="22" t="inlineStr">
        <is>
          <t>Permit</t>
        </is>
      </c>
      <c r="E7" s="23" t="inlineStr">
        <is>
          <t>Building construction permit (อ.1)</t>
        </is>
      </c>
      <c r="F7" s="23" t="inlineStr">
        <is>
          <t>ใบอนุญาตก่อสร้างอาคาร (อ.1)</t>
        </is>
      </c>
      <c r="G7" s="23" t="inlineStr">
        <is>
          <t>Local authority (BMA / City Municipality)</t>
        </is>
      </c>
      <c r="H7" s="22" t="n"/>
      <c r="I7" s="15" t="n"/>
      <c r="J7" s="15" t="n"/>
      <c r="K7" s="22" t="inlineStr">
        <is>
          <t>One-off</t>
        </is>
      </c>
      <c r="L7" s="22" t="n">
        <v>60</v>
      </c>
      <c r="M7" s="15">
        <f>IF(J7="","",J7-IF(L7="",0,L7))</f>
        <v/>
      </c>
      <c r="N7" s="24">
        <f>IF(J7="","",J7-TODAY())</f>
        <v/>
      </c>
      <c r="O7" s="9">
        <f>IF(E7="","",IF(J7="","No date",IF(N7&lt;0,"Expired",IF(N7&lt;=30,"Urgent",IF(N7&lt;=90,"Due soon","OK")))))</f>
        <v/>
      </c>
      <c r="P7" s="22" t="n"/>
      <c r="Q7" s="25" t="n"/>
      <c r="R7" s="22" t="n"/>
      <c r="S7" s="22" t="n"/>
      <c r="T7" s="23" t="n"/>
      <c r="U7" s="22">
        <f>IF(E7="","",IF(J7="","",N7+ROW()/100000))</f>
        <v/>
      </c>
    </row>
    <row r="8">
      <c r="A8" s="9">
        <f>IF(E8="","",COUNTA($E$5:E8))</f>
        <v/>
      </c>
      <c r="B8" s="22" t="inlineStr">
        <is>
          <t>SR9</t>
        </is>
      </c>
      <c r="C8" s="22" t="inlineStr">
        <is>
          <t>AMH Ratchada Co., Ltd.</t>
        </is>
      </c>
      <c r="D8" s="22" t="inlineStr">
        <is>
          <t>Certificate</t>
        </is>
      </c>
      <c r="E8" s="23" t="inlineStr">
        <is>
          <t>Certificate of building use (อ.6)</t>
        </is>
      </c>
      <c r="F8" s="23" t="inlineStr">
        <is>
          <t>ใบรับรองการใช้อาคาร (อ.6)</t>
        </is>
      </c>
      <c r="G8" s="23" t="inlineStr">
        <is>
          <t>Local authority (BMA / City Municipality)</t>
        </is>
      </c>
      <c r="H8" s="22" t="n"/>
      <c r="I8" s="15" t="n"/>
      <c r="J8" s="15" t="n"/>
      <c r="K8" s="22" t="inlineStr">
        <is>
          <t>One-off</t>
        </is>
      </c>
      <c r="L8" s="22" t="n">
        <v>60</v>
      </c>
      <c r="M8" s="15">
        <f>IF(J8="","",J8-IF(L8="",0,L8))</f>
        <v/>
      </c>
      <c r="N8" s="24">
        <f>IF(J8="","",J8-TODAY())</f>
        <v/>
      </c>
      <c r="O8" s="9">
        <f>IF(E8="","",IF(J8="","No date",IF(N8&lt;0,"Expired",IF(N8&lt;=30,"Urgent",IF(N8&lt;=90,"Due soon","OK")))))</f>
        <v/>
      </c>
      <c r="P8" s="22" t="n"/>
      <c r="Q8" s="25" t="n"/>
      <c r="R8" s="22" t="n"/>
      <c r="S8" s="22" t="n"/>
      <c r="T8" s="23" t="n"/>
      <c r="U8" s="22">
        <f>IF(E8="","",IF(J8="","",N8+ROW()/100000))</f>
        <v/>
      </c>
    </row>
    <row r="9">
      <c r="A9" s="9">
        <f>IF(E9="","",COUNTA($E$5:E9))</f>
        <v/>
      </c>
      <c r="B9" s="22" t="inlineStr">
        <is>
          <t>SR9</t>
        </is>
      </c>
      <c r="C9" s="22" t="inlineStr">
        <is>
          <t>AMH Ratchada Co., Ltd.</t>
        </is>
      </c>
      <c r="D9" s="22" t="inlineStr">
        <is>
          <t>Certificate</t>
        </is>
      </c>
      <c r="E9" s="23" t="inlineStr">
        <is>
          <t>Annual building inspection report (ร.1)</t>
        </is>
      </c>
      <c r="F9" s="23" t="inlineStr">
        <is>
          <t>รายงานการตรวจสอบอาคารประจำปี (ร.1)</t>
        </is>
      </c>
      <c r="G9" s="23" t="inlineStr">
        <is>
          <t>Dept. of Public Works / local authority</t>
        </is>
      </c>
      <c r="H9" s="22" t="n"/>
      <c r="I9" s="15" t="n"/>
      <c r="J9" s="15" t="n"/>
      <c r="K9" s="22" t="inlineStr">
        <is>
          <t>Annual</t>
        </is>
      </c>
      <c r="L9" s="22" t="n">
        <v>60</v>
      </c>
      <c r="M9" s="15">
        <f>IF(J9="","",J9-IF(L9="",0,L9))</f>
        <v/>
      </c>
      <c r="N9" s="24">
        <f>IF(J9="","",J9-TODAY())</f>
        <v/>
      </c>
      <c r="O9" s="9">
        <f>IF(E9="","",IF(J9="","No date",IF(N9&lt;0,"Expired",IF(N9&lt;=30,"Urgent",IF(N9&lt;=90,"Due soon","OK")))))</f>
        <v/>
      </c>
      <c r="P9" s="22" t="n"/>
      <c r="Q9" s="25" t="n"/>
      <c r="R9" s="22" t="n"/>
      <c r="S9" s="22" t="n"/>
      <c r="T9" s="23" t="n"/>
      <c r="U9" s="22">
        <f>IF(E9="","",IF(J9="","",N9+ROW()/100000))</f>
        <v/>
      </c>
    </row>
    <row r="10">
      <c r="A10" s="9">
        <f>IF(E10="","",COUNTA($E$5:E10))</f>
        <v/>
      </c>
      <c r="B10" s="22" t="inlineStr">
        <is>
          <t>SR9</t>
        </is>
      </c>
      <c r="C10" s="22" t="inlineStr">
        <is>
          <t>AMH Ratchada Co., Ltd.</t>
        </is>
      </c>
      <c r="D10" s="22" t="inlineStr">
        <is>
          <t>Certificate</t>
        </is>
      </c>
      <c r="E10" s="23" t="inlineStr">
        <is>
          <t>Fire protection system inspection</t>
        </is>
      </c>
      <c r="F10" s="23" t="inlineStr">
        <is>
          <t>การตรวจสอบระบบป้องกันอัคคีภัย</t>
        </is>
      </c>
      <c r="G10" s="23" t="inlineStr">
        <is>
          <t>Licensed inspector</t>
        </is>
      </c>
      <c r="H10" s="22" t="n"/>
      <c r="I10" s="15" t="n"/>
      <c r="J10" s="15" t="n"/>
      <c r="K10" s="22" t="inlineStr">
        <is>
          <t>Annual</t>
        </is>
      </c>
      <c r="L10" s="22" t="n">
        <v>60</v>
      </c>
      <c r="M10" s="15">
        <f>IF(J10="","",J10-IF(L10="",0,L10))</f>
        <v/>
      </c>
      <c r="N10" s="24">
        <f>IF(J10="","",J10-TODAY())</f>
        <v/>
      </c>
      <c r="O10" s="9">
        <f>IF(E10="","",IF(J10="","No date",IF(N10&lt;0,"Expired",IF(N10&lt;=30,"Urgent",IF(N10&lt;=90,"Due soon","OK")))))</f>
        <v/>
      </c>
      <c r="P10" s="22" t="n"/>
      <c r="Q10" s="25" t="n"/>
      <c r="R10" s="22" t="n"/>
      <c r="S10" s="22" t="n"/>
      <c r="T10" s="23" t="n"/>
      <c r="U10" s="22">
        <f>IF(E10="","",IF(J10="","",N10+ROW()/100000))</f>
        <v/>
      </c>
    </row>
    <row r="11">
      <c r="A11" s="9">
        <f>IF(E11="","",COUNTA($E$5:E11))</f>
        <v/>
      </c>
      <c r="B11" s="22" t="inlineStr">
        <is>
          <t>SR9</t>
        </is>
      </c>
      <c r="C11" s="22" t="inlineStr">
        <is>
          <t>AMH Ratchada Co., Ltd.</t>
        </is>
      </c>
      <c r="D11" s="22" t="inlineStr">
        <is>
          <t>Certificate</t>
        </is>
      </c>
      <c r="E11" s="23" t="inlineStr">
        <is>
          <t>Lift / elevator inspection certificate</t>
        </is>
      </c>
      <c r="F11" s="23" t="inlineStr">
        <is>
          <t>ใบรับรองการตรวจสอบลิฟต์</t>
        </is>
      </c>
      <c r="G11" s="23" t="inlineStr">
        <is>
          <t>Licensed engineer</t>
        </is>
      </c>
      <c r="H11" s="22" t="n"/>
      <c r="I11" s="15" t="n"/>
      <c r="J11" s="15" t="n"/>
      <c r="K11" s="22" t="inlineStr">
        <is>
          <t>Annual</t>
        </is>
      </c>
      <c r="L11" s="22" t="n">
        <v>60</v>
      </c>
      <c r="M11" s="15">
        <f>IF(J11="","",J11-IF(L11="",0,L11))</f>
        <v/>
      </c>
      <c r="N11" s="24">
        <f>IF(J11="","",J11-TODAY())</f>
        <v/>
      </c>
      <c r="O11" s="9">
        <f>IF(E11="","",IF(J11="","No date",IF(N11&lt;0,"Expired",IF(N11&lt;=30,"Urgent",IF(N11&lt;=90,"Due soon","OK")))))</f>
        <v/>
      </c>
      <c r="P11" s="22" t="n"/>
      <c r="Q11" s="25" t="n"/>
      <c r="R11" s="22" t="n"/>
      <c r="S11" s="22" t="n"/>
      <c r="T11" s="23" t="n"/>
      <c r="U11" s="22">
        <f>IF(E11="","",IF(J11="","",N11+ROW()/100000))</f>
        <v/>
      </c>
    </row>
    <row r="12">
      <c r="A12" s="9">
        <f>IF(E12="","",COUNTA($E$5:E12))</f>
        <v/>
      </c>
      <c r="B12" s="22" t="inlineStr">
        <is>
          <t>SR9</t>
        </is>
      </c>
      <c r="C12" s="22" t="inlineStr">
        <is>
          <t>AMH Ratchada Co., Ltd.</t>
        </is>
      </c>
      <c r="D12" s="22" t="inlineStr">
        <is>
          <t>Certificate</t>
        </is>
      </c>
      <c r="E12" s="23" t="inlineStr">
        <is>
          <t>Electrical system inspection</t>
        </is>
      </c>
      <c r="F12" s="23" t="inlineStr">
        <is>
          <t>การตรวจสอบระบบไฟฟ้า</t>
        </is>
      </c>
      <c r="G12" s="23" t="inlineStr">
        <is>
          <t>Licensed engineer</t>
        </is>
      </c>
      <c r="H12" s="22" t="n"/>
      <c r="I12" s="15" t="n"/>
      <c r="J12" s="15" t="n"/>
      <c r="K12" s="22" t="inlineStr">
        <is>
          <t>Annual</t>
        </is>
      </c>
      <c r="L12" s="22" t="n">
        <v>60</v>
      </c>
      <c r="M12" s="15">
        <f>IF(J12="","",J12-IF(L12="",0,L12))</f>
        <v/>
      </c>
      <c r="N12" s="24">
        <f>IF(J12="","",J12-TODAY())</f>
        <v/>
      </c>
      <c r="O12" s="9">
        <f>IF(E12="","",IF(J12="","No date",IF(N12&lt;0,"Expired",IF(N12&lt;=30,"Urgent",IF(N12&lt;=90,"Due soon","OK")))))</f>
        <v/>
      </c>
      <c r="P12" s="22" t="n"/>
      <c r="Q12" s="25" t="n"/>
      <c r="R12" s="22" t="n"/>
      <c r="S12" s="22" t="n"/>
      <c r="T12" s="23" t="n"/>
      <c r="U12" s="22">
        <f>IF(E12="","",IF(J12="","",N12+ROW()/100000))</f>
        <v/>
      </c>
    </row>
    <row r="13">
      <c r="A13" s="9">
        <f>IF(E13="","",COUNTA($E$5:E13))</f>
        <v/>
      </c>
      <c r="B13" s="22" t="inlineStr">
        <is>
          <t>SR9</t>
        </is>
      </c>
      <c r="C13" s="22" t="inlineStr">
        <is>
          <t>AMH Ratchada Co., Ltd.</t>
        </is>
      </c>
      <c r="D13" s="22" t="inlineStr">
        <is>
          <t>Certificate</t>
        </is>
      </c>
      <c r="E13" s="23" t="inlineStr">
        <is>
          <t>Generator / fuel storage permit</t>
        </is>
      </c>
      <c r="F13" s="23" t="inlineStr">
        <is>
          <t>ใบอนุญาตเครื่องกำเนิดไฟฟ้า / เก็บน้ำมันเชื้อเพลิง</t>
        </is>
      </c>
      <c r="G13" s="23" t="inlineStr">
        <is>
          <t>Dept. of Energy Business / local authority</t>
        </is>
      </c>
      <c r="H13" s="22" t="n"/>
      <c r="I13" s="15" t="n"/>
      <c r="J13" s="15" t="n"/>
      <c r="K13" s="22" t="inlineStr">
        <is>
          <t>Annual</t>
        </is>
      </c>
      <c r="L13" s="22" t="n">
        <v>60</v>
      </c>
      <c r="M13" s="15">
        <f>IF(J13="","",J13-IF(L13="",0,L13))</f>
        <v/>
      </c>
      <c r="N13" s="24">
        <f>IF(J13="","",J13-TODAY())</f>
        <v/>
      </c>
      <c r="O13" s="9">
        <f>IF(E13="","",IF(J13="","No date",IF(N13&lt;0,"Expired",IF(N13&lt;=30,"Urgent",IF(N13&lt;=90,"Due soon","OK")))))</f>
        <v/>
      </c>
      <c r="P13" s="22" t="n"/>
      <c r="Q13" s="25" t="n"/>
      <c r="R13" s="22" t="n"/>
      <c r="S13" s="22" t="n"/>
      <c r="T13" s="23" t="n"/>
      <c r="U13" s="22">
        <f>IF(E13="","",IF(J13="","",N13+ROW()/100000))</f>
        <v/>
      </c>
    </row>
    <row r="14">
      <c r="A14" s="9">
        <f>IF(E14="","",COUNTA($E$5:E14))</f>
        <v/>
      </c>
      <c r="B14" s="22" t="inlineStr">
        <is>
          <t>SR9</t>
        </is>
      </c>
      <c r="C14" s="22" t="inlineStr">
        <is>
          <t>AMH Ratchada Co., Ltd.</t>
        </is>
      </c>
      <c r="D14" s="22" t="inlineStr">
        <is>
          <t>Certificate</t>
        </is>
      </c>
      <c r="E14" s="23" t="inlineStr">
        <is>
          <t>Boiler / pressure vessel inspection</t>
        </is>
      </c>
      <c r="F14" s="23" t="inlineStr">
        <is>
          <t>การตรวจสอบหม้อไอน้ำ / ภาชนะรับแรงดัน</t>
        </is>
      </c>
      <c r="G14" s="23" t="inlineStr">
        <is>
          <t>Licensed engineer</t>
        </is>
      </c>
      <c r="H14" s="22" t="n"/>
      <c r="I14" s="15" t="n"/>
      <c r="J14" s="15" t="n"/>
      <c r="K14" s="22" t="inlineStr">
        <is>
          <t>Annual</t>
        </is>
      </c>
      <c r="L14" s="22" t="n">
        <v>60</v>
      </c>
      <c r="M14" s="15">
        <f>IF(J14="","",J14-IF(L14="",0,L14))</f>
        <v/>
      </c>
      <c r="N14" s="24">
        <f>IF(J14="","",J14-TODAY())</f>
        <v/>
      </c>
      <c r="O14" s="9">
        <f>IF(E14="","",IF(J14="","No date",IF(N14&lt;0,"Expired",IF(N14&lt;=30,"Urgent",IF(N14&lt;=90,"Due soon","OK")))))</f>
        <v/>
      </c>
      <c r="P14" s="22" t="n"/>
      <c r="Q14" s="25" t="n"/>
      <c r="R14" s="22" t="n"/>
      <c r="S14" s="22" t="n"/>
      <c r="T14" s="23" t="n"/>
      <c r="U14" s="22">
        <f>IF(E14="","",IF(J14="","",N14+ROW()/100000))</f>
        <v/>
      </c>
    </row>
    <row r="15">
      <c r="A15" s="9">
        <f>IF(E15="","",COUNTA($E$5:E15))</f>
        <v/>
      </c>
      <c r="B15" s="22" t="inlineStr">
        <is>
          <t>SR9</t>
        </is>
      </c>
      <c r="C15" s="22" t="inlineStr">
        <is>
          <t>AMH Ratchada Co., Ltd.</t>
        </is>
      </c>
      <c r="D15" s="22" t="inlineStr">
        <is>
          <t>Licence</t>
        </is>
      </c>
      <c r="E15" s="23" t="inlineStr">
        <is>
          <t>Food establishment licence</t>
        </is>
      </c>
      <c r="F15" s="23" t="inlineStr">
        <is>
          <t>ใบอนุญาตสถานที่จำหน่ายอาหาร/สะสมอาหาร</t>
        </is>
      </c>
      <c r="G15" s="23" t="inlineStr">
        <is>
          <t>Local authority (BMA / City Municipality)</t>
        </is>
      </c>
      <c r="H15" s="22" t="n"/>
      <c r="I15" s="15" t="n"/>
      <c r="J15" s="15" t="n"/>
      <c r="K15" s="22" t="inlineStr">
        <is>
          <t>Annual</t>
        </is>
      </c>
      <c r="L15" s="22" t="n">
        <v>60</v>
      </c>
      <c r="M15" s="15">
        <f>IF(J15="","",J15-IF(L15="",0,L15))</f>
        <v/>
      </c>
      <c r="N15" s="24">
        <f>IF(J15="","",J15-TODAY())</f>
        <v/>
      </c>
      <c r="O15" s="9">
        <f>IF(E15="","",IF(J15="","No date",IF(N15&lt;0,"Expired",IF(N15&lt;=30,"Urgent",IF(N15&lt;=90,"Due soon","OK")))))</f>
        <v/>
      </c>
      <c r="P15" s="22" t="n"/>
      <c r="Q15" s="25" t="n"/>
      <c r="R15" s="22" t="n"/>
      <c r="S15" s="22" t="n"/>
      <c r="T15" s="23" t="n"/>
      <c r="U15" s="22">
        <f>IF(E15="","",IF(J15="","",N15+ROW()/100000))</f>
        <v/>
      </c>
    </row>
    <row r="16">
      <c r="A16" s="9">
        <f>IF(E16="","",COUNTA($E$5:E16))</f>
        <v/>
      </c>
      <c r="B16" s="22" t="inlineStr">
        <is>
          <t>SR9</t>
        </is>
      </c>
      <c r="C16" s="22" t="inlineStr">
        <is>
          <t>AMH Ratchada Co., Ltd.</t>
        </is>
      </c>
      <c r="D16" s="22" t="inlineStr">
        <is>
          <t>Licence</t>
        </is>
      </c>
      <c r="E16" s="23" t="inlineStr">
        <is>
          <t>Alcohol sale licence</t>
        </is>
      </c>
      <c r="F16" s="23" t="inlineStr">
        <is>
          <t>ใบอนุญาตขายสุรา</t>
        </is>
      </c>
      <c r="G16" s="23" t="inlineStr">
        <is>
          <t>Excise Department</t>
        </is>
      </c>
      <c r="H16" s="22" t="n"/>
      <c r="I16" s="15" t="n"/>
      <c r="J16" s="15" t="n"/>
      <c r="K16" s="22" t="inlineStr">
        <is>
          <t>Annual</t>
        </is>
      </c>
      <c r="L16" s="22" t="n">
        <v>60</v>
      </c>
      <c r="M16" s="15">
        <f>IF(J16="","",J16-IF(L16="",0,L16))</f>
        <v/>
      </c>
      <c r="N16" s="24">
        <f>IF(J16="","",J16-TODAY())</f>
        <v/>
      </c>
      <c r="O16" s="9">
        <f>IF(E16="","",IF(J16="","No date",IF(N16&lt;0,"Expired",IF(N16&lt;=30,"Urgent",IF(N16&lt;=90,"Due soon","OK")))))</f>
        <v/>
      </c>
      <c r="P16" s="22" t="n"/>
      <c r="Q16" s="25" t="n"/>
      <c r="R16" s="22" t="n"/>
      <c r="S16" s="22" t="n"/>
      <c r="T16" s="23" t="n"/>
      <c r="U16" s="22">
        <f>IF(E16="","",IF(J16="","",N16+ROW()/100000))</f>
        <v/>
      </c>
    </row>
    <row r="17">
      <c r="A17" s="9">
        <f>IF(E17="","",COUNTA($E$5:E17))</f>
        <v/>
      </c>
      <c r="B17" s="22" t="inlineStr">
        <is>
          <t>SR9</t>
        </is>
      </c>
      <c r="C17" s="22" t="inlineStr">
        <is>
          <t>AMH Ratchada Co., Ltd.</t>
        </is>
      </c>
      <c r="D17" s="22" t="inlineStr">
        <is>
          <t>Licence</t>
        </is>
      </c>
      <c r="E17" s="23" t="inlineStr">
        <is>
          <t>Tobacco sale licence</t>
        </is>
      </c>
      <c r="F17" s="23" t="inlineStr">
        <is>
          <t>ใบอนุญาตขายยาสูบ</t>
        </is>
      </c>
      <c r="G17" s="23" t="inlineStr">
        <is>
          <t>Excise Department</t>
        </is>
      </c>
      <c r="H17" s="22" t="n"/>
      <c r="I17" s="15" t="n"/>
      <c r="J17" s="15" t="n"/>
      <c r="K17" s="22" t="inlineStr">
        <is>
          <t>Annual</t>
        </is>
      </c>
      <c r="L17" s="22" t="n">
        <v>60</v>
      </c>
      <c r="M17" s="15">
        <f>IF(J17="","",J17-IF(L17="",0,L17))</f>
        <v/>
      </c>
      <c r="N17" s="24">
        <f>IF(J17="","",J17-TODAY())</f>
        <v/>
      </c>
      <c r="O17" s="9">
        <f>IF(E17="","",IF(J17="","No date",IF(N17&lt;0,"Expired",IF(N17&lt;=30,"Urgent",IF(N17&lt;=90,"Due soon","OK")))))</f>
        <v/>
      </c>
      <c r="P17" s="22" t="n"/>
      <c r="Q17" s="25" t="n"/>
      <c r="R17" s="22" t="n"/>
      <c r="S17" s="22" t="n"/>
      <c r="T17" s="23" t="n"/>
      <c r="U17" s="22">
        <f>IF(E17="","",IF(J17="","",N17+ROW()/100000))</f>
        <v/>
      </c>
    </row>
    <row r="18">
      <c r="A18" s="9">
        <f>IF(E18="","",COUNTA($E$5:E18))</f>
        <v/>
      </c>
      <c r="B18" s="22" t="inlineStr">
        <is>
          <t>SR9</t>
        </is>
      </c>
      <c r="C18" s="22" t="inlineStr">
        <is>
          <t>AMH Ratchada Co., Ltd.</t>
        </is>
      </c>
      <c r="D18" s="22" t="inlineStr">
        <is>
          <t>Licence</t>
        </is>
      </c>
      <c r="E18" s="23" t="inlineStr">
        <is>
          <t>Swimming pool / public place licence</t>
        </is>
      </c>
      <c r="F18" s="23" t="inlineStr">
        <is>
          <t>ใบอนุญาตสถานที่สาธารณะ (สระว่ายน้ำ)</t>
        </is>
      </c>
      <c r="G18" s="23" t="inlineStr">
        <is>
          <t>Local authority (BMA / City Municipality)</t>
        </is>
      </c>
      <c r="H18" s="22" t="n"/>
      <c r="I18" s="15" t="n"/>
      <c r="J18" s="15" t="n"/>
      <c r="K18" s="22" t="inlineStr">
        <is>
          <t>Annual</t>
        </is>
      </c>
      <c r="L18" s="22" t="n">
        <v>60</v>
      </c>
      <c r="M18" s="15">
        <f>IF(J18="","",J18-IF(L18="",0,L18))</f>
        <v/>
      </c>
      <c r="N18" s="24">
        <f>IF(J18="","",J18-TODAY())</f>
        <v/>
      </c>
      <c r="O18" s="9">
        <f>IF(E18="","",IF(J18="","No date",IF(N18&lt;0,"Expired",IF(N18&lt;=30,"Urgent",IF(N18&lt;=90,"Due soon","OK")))))</f>
        <v/>
      </c>
      <c r="P18" s="22" t="n"/>
      <c r="Q18" s="25" t="n"/>
      <c r="R18" s="22" t="n"/>
      <c r="S18" s="22" t="n"/>
      <c r="T18" s="23" t="n"/>
      <c r="U18" s="22">
        <f>IF(E18="","",IF(J18="","",N18+ROW()/100000))</f>
        <v/>
      </c>
    </row>
    <row r="19">
      <c r="A19" s="9">
        <f>IF(E19="","",COUNTA($E$5:E19))</f>
        <v/>
      </c>
      <c r="B19" s="22" t="inlineStr">
        <is>
          <t>SR9</t>
        </is>
      </c>
      <c r="C19" s="22" t="inlineStr">
        <is>
          <t>AMH Ratchada Co., Ltd.</t>
        </is>
      </c>
      <c r="D19" s="22" t="inlineStr">
        <is>
          <t>Certificate</t>
        </is>
      </c>
      <c r="E19" s="23" t="inlineStr">
        <is>
          <t>Swimming pool water quality test</t>
        </is>
      </c>
      <c r="F19" s="23" t="inlineStr">
        <is>
          <t>ผลตรวจคุณภาพน้ำสระว่ายน้ำ</t>
        </is>
      </c>
      <c r="G19" s="23" t="inlineStr">
        <is>
          <t>Accredited laboratory</t>
        </is>
      </c>
      <c r="H19" s="22" t="n"/>
      <c r="I19" s="15" t="n"/>
      <c r="J19" s="15" t="n"/>
      <c r="K19" s="22" t="inlineStr">
        <is>
          <t>Other</t>
        </is>
      </c>
      <c r="L19" s="22" t="n">
        <v>60</v>
      </c>
      <c r="M19" s="15">
        <f>IF(J19="","",J19-IF(L19="",0,L19))</f>
        <v/>
      </c>
      <c r="N19" s="24">
        <f>IF(J19="","",J19-TODAY())</f>
        <v/>
      </c>
      <c r="O19" s="9">
        <f>IF(E19="","",IF(J19="","No date",IF(N19&lt;0,"Expired",IF(N19&lt;=30,"Urgent",IF(N19&lt;=90,"Due soon","OK")))))</f>
        <v/>
      </c>
      <c r="P19" s="22" t="n"/>
      <c r="Q19" s="25" t="n"/>
      <c r="R19" s="22" t="n"/>
      <c r="S19" s="22" t="n"/>
      <c r="T19" s="23" t="n"/>
      <c r="U19" s="22">
        <f>IF(E19="","",IF(J19="","",N19+ROW()/100000))</f>
        <v/>
      </c>
    </row>
    <row r="20">
      <c r="A20" s="9">
        <f>IF(E20="","",COUNTA($E$5:E20))</f>
        <v/>
      </c>
      <c r="B20" s="22" t="inlineStr">
        <is>
          <t>SR9</t>
        </is>
      </c>
      <c r="C20" s="22" t="inlineStr">
        <is>
          <t>AMH Ratchada Co., Ltd.</t>
        </is>
      </c>
      <c r="D20" s="22" t="inlineStr">
        <is>
          <t>Certificate</t>
        </is>
      </c>
      <c r="E20" s="23" t="inlineStr">
        <is>
          <t>Drinking / potable water quality test</t>
        </is>
      </c>
      <c r="F20" s="23" t="inlineStr">
        <is>
          <t>ผลตรวจคุณภาพน้ำดื่ม</t>
        </is>
      </c>
      <c r="G20" s="23" t="inlineStr">
        <is>
          <t>Accredited laboratory</t>
        </is>
      </c>
      <c r="H20" s="22" t="n"/>
      <c r="I20" s="15" t="n"/>
      <c r="J20" s="15" t="n"/>
      <c r="K20" s="22" t="inlineStr">
        <is>
          <t>Annual</t>
        </is>
      </c>
      <c r="L20" s="22" t="n">
        <v>60</v>
      </c>
      <c r="M20" s="15">
        <f>IF(J20="","",J20-IF(L20="",0,L20))</f>
        <v/>
      </c>
      <c r="N20" s="24">
        <f>IF(J20="","",J20-TODAY())</f>
        <v/>
      </c>
      <c r="O20" s="9">
        <f>IF(E20="","",IF(J20="","No date",IF(N20&lt;0,"Expired",IF(N20&lt;=30,"Urgent",IF(N20&lt;=90,"Due soon","OK")))))</f>
        <v/>
      </c>
      <c r="P20" s="22" t="n"/>
      <c r="Q20" s="25" t="n"/>
      <c r="R20" s="22" t="n"/>
      <c r="S20" s="22" t="n"/>
      <c r="T20" s="23" t="n"/>
      <c r="U20" s="22">
        <f>IF(E20="","",IF(J20="","",N20+ROW()/100000))</f>
        <v/>
      </c>
    </row>
    <row r="21">
      <c r="A21" s="9">
        <f>IF(E21="","",COUNTA($E$5:E21))</f>
        <v/>
      </c>
      <c r="B21" s="22" t="inlineStr">
        <is>
          <t>SR9</t>
        </is>
      </c>
      <c r="C21" s="22" t="inlineStr">
        <is>
          <t>AMH Ratchada Co., Ltd.</t>
        </is>
      </c>
      <c r="D21" s="22" t="inlineStr">
        <is>
          <t>Certificate</t>
        </is>
      </c>
      <c r="E21" s="23" t="inlineStr">
        <is>
          <t>Wastewater treatment monitoring report</t>
        </is>
      </c>
      <c r="F21" s="23" t="inlineStr">
        <is>
          <t>รายงานผลการตรวจวัดคุณภาพน้ำทิ้ง</t>
        </is>
      </c>
      <c r="G21" s="23" t="inlineStr">
        <is>
          <t>Dept. of Pollution Control / local authority</t>
        </is>
      </c>
      <c r="H21" s="22" t="n"/>
      <c r="I21" s="15" t="n"/>
      <c r="J21" s="15" t="n"/>
      <c r="K21" s="22" t="inlineStr">
        <is>
          <t>Other</t>
        </is>
      </c>
      <c r="L21" s="22" t="n">
        <v>60</v>
      </c>
      <c r="M21" s="15">
        <f>IF(J21="","",J21-IF(L21="",0,L21))</f>
        <v/>
      </c>
      <c r="N21" s="24">
        <f>IF(J21="","",J21-TODAY())</f>
        <v/>
      </c>
      <c r="O21" s="9">
        <f>IF(E21="","",IF(J21="","No date",IF(N21&lt;0,"Expired",IF(N21&lt;=30,"Urgent",IF(N21&lt;=90,"Due soon","OK")))))</f>
        <v/>
      </c>
      <c r="P21" s="22" t="n"/>
      <c r="Q21" s="25" t="n"/>
      <c r="R21" s="22" t="n"/>
      <c r="S21" s="22" t="n"/>
      <c r="T21" s="23" t="n"/>
      <c r="U21" s="22">
        <f>IF(E21="","",IF(J21="","",N21+ROW()/100000))</f>
        <v/>
      </c>
    </row>
    <row r="22">
      <c r="A22" s="9">
        <f>IF(E22="","",COUNTA($E$5:E22))</f>
        <v/>
      </c>
      <c r="B22" s="22" t="inlineStr">
        <is>
          <t>SR9</t>
        </is>
      </c>
      <c r="C22" s="22" t="inlineStr">
        <is>
          <t>AMH Ratchada Co., Ltd.</t>
        </is>
      </c>
      <c r="D22" s="22" t="inlineStr">
        <is>
          <t>Certificate</t>
        </is>
      </c>
      <c r="E22" s="23" t="inlineStr">
        <is>
          <t>EIA environmental monitoring report</t>
        </is>
      </c>
      <c r="F22" s="23" t="inlineStr">
        <is>
          <t>รายงานผลการปฏิบัติตามมาตรการ EIA</t>
        </is>
      </c>
      <c r="G22" s="23" t="inlineStr">
        <is>
          <t>Office of Natural Resources &amp; Environmental Policy (ONEP)</t>
        </is>
      </c>
      <c r="H22" s="22" t="n"/>
      <c r="I22" s="15" t="n"/>
      <c r="J22" s="15" t="n"/>
      <c r="K22" s="22" t="inlineStr">
        <is>
          <t>Other</t>
        </is>
      </c>
      <c r="L22" s="22" t="n">
        <v>60</v>
      </c>
      <c r="M22" s="15">
        <f>IF(J22="","",J22-IF(L22="",0,L22))</f>
        <v/>
      </c>
      <c r="N22" s="24">
        <f>IF(J22="","",J22-TODAY())</f>
        <v/>
      </c>
      <c r="O22" s="9">
        <f>IF(E22="","",IF(J22="","No date",IF(N22&lt;0,"Expired",IF(N22&lt;=30,"Urgent",IF(N22&lt;=90,"Due soon","OK")))))</f>
        <v/>
      </c>
      <c r="P22" s="22" t="n"/>
      <c r="Q22" s="25" t="n"/>
      <c r="R22" s="22" t="n"/>
      <c r="S22" s="22" t="n"/>
      <c r="T22" s="23" t="n"/>
      <c r="U22" s="22">
        <f>IF(E22="","",IF(J22="","",N22+ROW()/100000))</f>
        <v/>
      </c>
    </row>
    <row r="23">
      <c r="A23" s="9">
        <f>IF(E23="","",COUNTA($E$5:E23))</f>
        <v/>
      </c>
      <c r="B23" s="22" t="inlineStr">
        <is>
          <t>SR9</t>
        </is>
      </c>
      <c r="C23" s="22" t="inlineStr">
        <is>
          <t>AMH Ratchada Co., Ltd.</t>
        </is>
      </c>
      <c r="D23" s="22" t="inlineStr">
        <is>
          <t>Permit</t>
        </is>
      </c>
      <c r="E23" s="23" t="inlineStr">
        <is>
          <t>Waste / refuse disposal permit</t>
        </is>
      </c>
      <c r="F23" s="23" t="inlineStr">
        <is>
          <t>ใบอนุญาตกำจัดสิ่งปฏิกูลและมูลฝอย</t>
        </is>
      </c>
      <c r="G23" s="23" t="inlineStr">
        <is>
          <t>Local authority</t>
        </is>
      </c>
      <c r="H23" s="22" t="n"/>
      <c r="I23" s="15" t="n"/>
      <c r="J23" s="15" t="n"/>
      <c r="K23" s="22" t="inlineStr">
        <is>
          <t>Annual</t>
        </is>
      </c>
      <c r="L23" s="22" t="n">
        <v>60</v>
      </c>
      <c r="M23" s="15">
        <f>IF(J23="","",J23-IF(L23="",0,L23))</f>
        <v/>
      </c>
      <c r="N23" s="24">
        <f>IF(J23="","",J23-TODAY())</f>
        <v/>
      </c>
      <c r="O23" s="9">
        <f>IF(E23="","",IF(J23="","No date",IF(N23&lt;0,"Expired",IF(N23&lt;=30,"Urgent",IF(N23&lt;=90,"Due soon","OK")))))</f>
        <v/>
      </c>
      <c r="P23" s="22" t="n"/>
      <c r="Q23" s="25" t="n"/>
      <c r="R23" s="22" t="n"/>
      <c r="S23" s="22" t="n"/>
      <c r="T23" s="23" t="n"/>
      <c r="U23" s="22">
        <f>IF(E23="","",IF(J23="","",N23+ROW()/100000))</f>
        <v/>
      </c>
    </row>
    <row r="24">
      <c r="A24" s="9">
        <f>IF(E24="","",COUNTA($E$5:E24))</f>
        <v/>
      </c>
      <c r="B24" s="22" t="inlineStr">
        <is>
          <t>SR9</t>
        </is>
      </c>
      <c r="C24" s="22" t="inlineStr">
        <is>
          <t>AMH Ratchada Co., Ltd.</t>
        </is>
      </c>
      <c r="D24" s="22" t="inlineStr">
        <is>
          <t>Licence</t>
        </is>
      </c>
      <c r="E24" s="23" t="inlineStr">
        <is>
          <t>Radio / walkie-talkie frequency licence</t>
        </is>
      </c>
      <c r="F24" s="23" t="inlineStr">
        <is>
          <t>ใบอนุญาตวิทยุคมนาคม</t>
        </is>
      </c>
      <c r="G24" s="23" t="inlineStr">
        <is>
          <t>NBTC</t>
        </is>
      </c>
      <c r="H24" s="22" t="n"/>
      <c r="I24" s="15" t="n"/>
      <c r="J24" s="15" t="n"/>
      <c r="K24" s="22" t="inlineStr">
        <is>
          <t>Annual</t>
        </is>
      </c>
      <c r="L24" s="22" t="n">
        <v>60</v>
      </c>
      <c r="M24" s="15">
        <f>IF(J24="","",J24-IF(L24="",0,L24))</f>
        <v/>
      </c>
      <c r="N24" s="24">
        <f>IF(J24="","",J24-TODAY())</f>
        <v/>
      </c>
      <c r="O24" s="9">
        <f>IF(E24="","",IF(J24="","No date",IF(N24&lt;0,"Expired",IF(N24&lt;=30,"Urgent",IF(N24&lt;=90,"Due soon","OK")))))</f>
        <v/>
      </c>
      <c r="P24" s="22" t="n"/>
      <c r="Q24" s="25" t="n"/>
      <c r="R24" s="22" t="n"/>
      <c r="S24" s="22" t="n"/>
      <c r="T24" s="23" t="n"/>
      <c r="U24" s="22">
        <f>IF(E24="","",IF(J24="","",N24+ROW()/100000))</f>
        <v/>
      </c>
    </row>
    <row r="25">
      <c r="A25" s="9">
        <f>IF(E25="","",COUNTA($E$5:E25))</f>
        <v/>
      </c>
      <c r="B25" s="22" t="inlineStr">
        <is>
          <t>SR9</t>
        </is>
      </c>
      <c r="C25" s="22" t="inlineStr">
        <is>
          <t>AMH Ratchada Co., Ltd.</t>
        </is>
      </c>
      <c r="D25" s="22" t="inlineStr">
        <is>
          <t>Licence</t>
        </is>
      </c>
      <c r="E25" s="23" t="inlineStr">
        <is>
          <t>Music / copyright public performance licence</t>
        </is>
      </c>
      <c r="F25" s="23" t="inlineStr">
        <is>
          <t>ใบอนุญาตเผยแพร่งานดนตรี (MCT / ลิขสิทธิ์)</t>
        </is>
      </c>
      <c r="G25" s="23" t="inlineStr">
        <is>
          <t>MCT / Phonorights / collecting societies</t>
        </is>
      </c>
      <c r="H25" s="22" t="n"/>
      <c r="I25" s="15" t="n"/>
      <c r="J25" s="15" t="n"/>
      <c r="K25" s="22" t="inlineStr">
        <is>
          <t>Annual</t>
        </is>
      </c>
      <c r="L25" s="22" t="n">
        <v>60</v>
      </c>
      <c r="M25" s="15">
        <f>IF(J25="","",J25-IF(L25="",0,L25))</f>
        <v/>
      </c>
      <c r="N25" s="24">
        <f>IF(J25="","",J25-TODAY())</f>
        <v/>
      </c>
      <c r="O25" s="9">
        <f>IF(E25="","",IF(J25="","No date",IF(N25&lt;0,"Expired",IF(N25&lt;=30,"Urgent",IF(N25&lt;=90,"Due soon","OK")))))</f>
        <v/>
      </c>
      <c r="P25" s="22" t="n"/>
      <c r="Q25" s="25" t="n"/>
      <c r="R25" s="22" t="n"/>
      <c r="S25" s="22" t="n"/>
      <c r="T25" s="23" t="n"/>
      <c r="U25" s="22">
        <f>IF(E25="","",IF(J25="","",N25+ROW()/100000))</f>
        <v/>
      </c>
    </row>
    <row r="26">
      <c r="A26" s="9">
        <f>IF(E26="","",COUNTA($E$5:E26))</f>
        <v/>
      </c>
      <c r="B26" s="22" t="inlineStr">
        <is>
          <t>SR9</t>
        </is>
      </c>
      <c r="C26" s="22" t="inlineStr">
        <is>
          <t>AMH Ratchada Co., Ltd.</t>
        </is>
      </c>
      <c r="D26" s="22" t="inlineStr">
        <is>
          <t>Tax / Registration</t>
        </is>
      </c>
      <c r="E26" s="23" t="inlineStr">
        <is>
          <t>Signage tax (billboard)</t>
        </is>
      </c>
      <c r="F26" s="23" t="inlineStr">
        <is>
          <t>ภาษีป้าย</t>
        </is>
      </c>
      <c r="G26" s="23" t="inlineStr">
        <is>
          <t>Local authority</t>
        </is>
      </c>
      <c r="H26" s="22" t="n"/>
      <c r="I26" s="15" t="n"/>
      <c r="J26" s="15" t="n"/>
      <c r="K26" s="22" t="inlineStr">
        <is>
          <t>Annual</t>
        </is>
      </c>
      <c r="L26" s="22" t="n">
        <v>60</v>
      </c>
      <c r="M26" s="15">
        <f>IF(J26="","",J26-IF(L26="",0,L26))</f>
        <v/>
      </c>
      <c r="N26" s="24">
        <f>IF(J26="","",J26-TODAY())</f>
        <v/>
      </c>
      <c r="O26" s="9">
        <f>IF(E26="","",IF(J26="","No date",IF(N26&lt;0,"Expired",IF(N26&lt;=30,"Urgent",IF(N26&lt;=90,"Due soon","OK")))))</f>
        <v/>
      </c>
      <c r="P26" s="22" t="n"/>
      <c r="Q26" s="25" t="n"/>
      <c r="R26" s="22" t="n"/>
      <c r="S26" s="22" t="n"/>
      <c r="T26" s="23" t="n"/>
      <c r="U26" s="22">
        <f>IF(E26="","",IF(J26="","",N26+ROW()/100000))</f>
        <v/>
      </c>
    </row>
    <row r="27">
      <c r="A27" s="9">
        <f>IF(E27="","",COUNTA($E$5:E27))</f>
        <v/>
      </c>
      <c r="B27" s="22" t="inlineStr">
        <is>
          <t>SR9</t>
        </is>
      </c>
      <c r="C27" s="22" t="inlineStr">
        <is>
          <t>AMH Ratchada Co., Ltd.</t>
        </is>
      </c>
      <c r="D27" s="22" t="inlineStr">
        <is>
          <t>Tax / Registration</t>
        </is>
      </c>
      <c r="E27" s="23" t="inlineStr">
        <is>
          <t>Land &amp; building tax</t>
        </is>
      </c>
      <c r="F27" s="23" t="inlineStr">
        <is>
          <t>ภาษีที่ดินและสิ่งปลูกสร้าง</t>
        </is>
      </c>
      <c r="G27" s="23" t="inlineStr">
        <is>
          <t>Local authority</t>
        </is>
      </c>
      <c r="H27" s="22" t="n"/>
      <c r="I27" s="15" t="n"/>
      <c r="J27" s="15" t="n"/>
      <c r="K27" s="22" t="inlineStr">
        <is>
          <t>Annual</t>
        </is>
      </c>
      <c r="L27" s="22" t="n">
        <v>60</v>
      </c>
      <c r="M27" s="15">
        <f>IF(J27="","",J27-IF(L27="",0,L27))</f>
        <v/>
      </c>
      <c r="N27" s="24">
        <f>IF(J27="","",J27-TODAY())</f>
        <v/>
      </c>
      <c r="O27" s="9">
        <f>IF(E27="","",IF(J27="","No date",IF(N27&lt;0,"Expired",IF(N27&lt;=30,"Urgent",IF(N27&lt;=90,"Due soon","OK")))))</f>
        <v/>
      </c>
      <c r="P27" s="22" t="n"/>
      <c r="Q27" s="25" t="n"/>
      <c r="R27" s="22" t="n"/>
      <c r="S27" s="22" t="n"/>
      <c r="T27" s="23" t="n"/>
      <c r="U27" s="22">
        <f>IF(E27="","",IF(J27="","",N27+ROW()/100000))</f>
        <v/>
      </c>
    </row>
    <row r="28">
      <c r="A28" s="9">
        <f>IF(E28="","",COUNTA($E$5:E28))</f>
        <v/>
      </c>
      <c r="B28" s="22" t="inlineStr">
        <is>
          <t>SR9</t>
        </is>
      </c>
      <c r="C28" s="22" t="inlineStr">
        <is>
          <t>AMH Ratchada Co., Ltd.</t>
        </is>
      </c>
      <c r="D28" s="22" t="inlineStr">
        <is>
          <t>Tax / Registration</t>
        </is>
      </c>
      <c r="E28" s="23" t="inlineStr">
        <is>
          <t>VAT registration (ภ.พ.20)</t>
        </is>
      </c>
      <c r="F28" s="23" t="inlineStr">
        <is>
          <t>ใบทะเบียนภาษีมูลค่าเพิ่ม (ภ.พ.20)</t>
        </is>
      </c>
      <c r="G28" s="23" t="inlineStr">
        <is>
          <t>Revenue Department</t>
        </is>
      </c>
      <c r="H28" s="22" t="n"/>
      <c r="I28" s="15" t="n"/>
      <c r="J28" s="15" t="n"/>
      <c r="K28" s="22" t="inlineStr">
        <is>
          <t>One-off</t>
        </is>
      </c>
      <c r="L28" s="22" t="n">
        <v>60</v>
      </c>
      <c r="M28" s="15">
        <f>IF(J28="","",J28-IF(L28="",0,L28))</f>
        <v/>
      </c>
      <c r="N28" s="24">
        <f>IF(J28="","",J28-TODAY())</f>
        <v/>
      </c>
      <c r="O28" s="9">
        <f>IF(E28="","",IF(J28="","No date",IF(N28&lt;0,"Expired",IF(N28&lt;=30,"Urgent",IF(N28&lt;=90,"Due soon","OK")))))</f>
        <v/>
      </c>
      <c r="P28" s="22" t="n"/>
      <c r="Q28" s="25" t="n"/>
      <c r="R28" s="22" t="n"/>
      <c r="S28" s="22" t="n"/>
      <c r="T28" s="23" t="n"/>
      <c r="U28" s="22">
        <f>IF(E28="","",IF(J28="","",N28+ROW()/100000))</f>
        <v/>
      </c>
    </row>
    <row r="29">
      <c r="A29" s="9">
        <f>IF(E29="","",COUNTA($E$5:E29))</f>
        <v/>
      </c>
      <c r="B29" s="22" t="inlineStr">
        <is>
          <t>SR9</t>
        </is>
      </c>
      <c r="C29" s="22" t="inlineStr">
        <is>
          <t>AMH Ratchada Co., Ltd.</t>
        </is>
      </c>
      <c r="D29" s="22" t="inlineStr">
        <is>
          <t>Tax / Registration</t>
        </is>
      </c>
      <c r="E29" s="23" t="inlineStr">
        <is>
          <t>Company registration / affidavit</t>
        </is>
      </c>
      <c r="F29" s="23" t="inlineStr">
        <is>
          <t>หนังสือรับรองบริษัท</t>
        </is>
      </c>
      <c r="G29" s="23" t="inlineStr">
        <is>
          <t>Dept. of Business Development</t>
        </is>
      </c>
      <c r="H29" s="22" t="n"/>
      <c r="I29" s="15" t="n"/>
      <c r="J29" s="15" t="n"/>
      <c r="K29" s="22" t="inlineStr">
        <is>
          <t>Other</t>
        </is>
      </c>
      <c r="L29" s="22" t="n">
        <v>60</v>
      </c>
      <c r="M29" s="15">
        <f>IF(J29="","",J29-IF(L29="",0,L29))</f>
        <v/>
      </c>
      <c r="N29" s="24">
        <f>IF(J29="","",J29-TODAY())</f>
        <v/>
      </c>
      <c r="O29" s="9">
        <f>IF(E29="","",IF(J29="","No date",IF(N29&lt;0,"Expired",IF(N29&lt;=30,"Urgent",IF(N29&lt;=90,"Due soon","OK")))))</f>
        <v/>
      </c>
      <c r="P29" s="22" t="n"/>
      <c r="Q29" s="25" t="n"/>
      <c r="R29" s="22" t="n"/>
      <c r="S29" s="22" t="n"/>
      <c r="T29" s="23" t="n"/>
      <c r="U29" s="22">
        <f>IF(E29="","",IF(J29="","",N29+ROW()/100000))</f>
        <v/>
      </c>
    </row>
    <row r="30">
      <c r="A30" s="9">
        <f>IF(E30="","",COUNTA($E$5:E30))</f>
        <v/>
      </c>
      <c r="B30" s="22" t="inlineStr">
        <is>
          <t>SR9</t>
        </is>
      </c>
      <c r="C30" s="22" t="inlineStr">
        <is>
          <t>AMH Ratchada Co., Ltd.</t>
        </is>
      </c>
      <c r="D30" s="22" t="inlineStr">
        <is>
          <t>Tax / Registration</t>
        </is>
      </c>
      <c r="E30" s="23" t="inlineStr">
        <is>
          <t>Social security registration</t>
        </is>
      </c>
      <c r="F30" s="23" t="inlineStr">
        <is>
          <t>ทะเบียนนายจ้างประกันสังคม</t>
        </is>
      </c>
      <c r="G30" s="23" t="inlineStr">
        <is>
          <t>Social Security Office</t>
        </is>
      </c>
      <c r="H30" s="22" t="n"/>
      <c r="I30" s="15" t="n"/>
      <c r="J30" s="15" t="n"/>
      <c r="K30" s="22" t="inlineStr">
        <is>
          <t>One-off</t>
        </is>
      </c>
      <c r="L30" s="22" t="n">
        <v>60</v>
      </c>
      <c r="M30" s="15">
        <f>IF(J30="","",J30-IF(L30="",0,L30))</f>
        <v/>
      </c>
      <c r="N30" s="24">
        <f>IF(J30="","",J30-TODAY())</f>
        <v/>
      </c>
      <c r="O30" s="9">
        <f>IF(E30="","",IF(J30="","No date",IF(N30&lt;0,"Expired",IF(N30&lt;=30,"Urgent",IF(N30&lt;=90,"Due soon","OK")))))</f>
        <v/>
      </c>
      <c r="P30" s="22" t="n"/>
      <c r="Q30" s="25" t="n"/>
      <c r="R30" s="22" t="n"/>
      <c r="S30" s="22" t="n"/>
      <c r="T30" s="23" t="n"/>
      <c r="U30" s="22">
        <f>IF(E30="","",IF(J30="","",N30+ROW()/100000))</f>
        <v/>
      </c>
    </row>
    <row r="31">
      <c r="A31" s="9">
        <f>IF(E31="","",COUNTA($E$5:E31))</f>
        <v/>
      </c>
      <c r="B31" s="22" t="inlineStr">
        <is>
          <t>SR9</t>
        </is>
      </c>
      <c r="C31" s="22" t="inlineStr">
        <is>
          <t>AMH Ratchada Co., Ltd.</t>
        </is>
      </c>
      <c r="D31" s="22" t="inlineStr">
        <is>
          <t>Permit</t>
        </is>
      </c>
      <c r="E31" s="23" t="inlineStr">
        <is>
          <t>Work permits / visas — foreign staff</t>
        </is>
      </c>
      <c r="F31" s="23" t="inlineStr">
        <is>
          <t>ใบอนุญาตทำงาน / วีซ่าพนักงานต่างชาติ</t>
        </is>
      </c>
      <c r="G31" s="23" t="inlineStr">
        <is>
          <t>Dept. of Employment / Immigration</t>
        </is>
      </c>
      <c r="H31" s="22" t="n"/>
      <c r="I31" s="15" t="n"/>
      <c r="J31" s="15" t="n"/>
      <c r="K31" s="22" t="inlineStr">
        <is>
          <t>Annual</t>
        </is>
      </c>
      <c r="L31" s="22" t="n">
        <v>60</v>
      </c>
      <c r="M31" s="15">
        <f>IF(J31="","",J31-IF(L31="",0,L31))</f>
        <v/>
      </c>
      <c r="N31" s="24">
        <f>IF(J31="","",J31-TODAY())</f>
        <v/>
      </c>
      <c r="O31" s="9">
        <f>IF(E31="","",IF(J31="","No date",IF(N31&lt;0,"Expired",IF(N31&lt;=30,"Urgent",IF(N31&lt;=90,"Due soon","OK")))))</f>
        <v/>
      </c>
      <c r="P31" s="22" t="n"/>
      <c r="Q31" s="25" t="n"/>
      <c r="R31" s="22" t="n"/>
      <c r="S31" s="22" t="n"/>
      <c r="T31" s="23" t="n"/>
      <c r="U31" s="22">
        <f>IF(E31="","",IF(J31="","",N31+ROW()/100000))</f>
        <v/>
      </c>
    </row>
    <row r="32">
      <c r="A32" s="9">
        <f>IF(E32="","",COUNTA($E$5:E32))</f>
        <v/>
      </c>
      <c r="B32" s="22" t="inlineStr">
        <is>
          <t>SR9</t>
        </is>
      </c>
      <c r="C32" s="22" t="inlineStr">
        <is>
          <t>AMH Ratchada Co., Ltd.</t>
        </is>
      </c>
      <c r="D32" s="22" t="inlineStr">
        <is>
          <t>Certificate</t>
        </is>
      </c>
      <c r="E32" s="23" t="inlineStr">
        <is>
          <t>Food handler health certificates</t>
        </is>
      </c>
      <c r="F32" s="23" t="inlineStr">
        <is>
          <t>ใบรับรองสุขภาพผู้สัมผัสอาหาร</t>
        </is>
      </c>
      <c r="G32" s="23" t="inlineStr">
        <is>
          <t>Public health office</t>
        </is>
      </c>
      <c r="H32" s="22" t="n"/>
      <c r="I32" s="15" t="n"/>
      <c r="J32" s="15" t="n"/>
      <c r="K32" s="22" t="inlineStr">
        <is>
          <t>Annual</t>
        </is>
      </c>
      <c r="L32" s="22" t="n">
        <v>60</v>
      </c>
      <c r="M32" s="15">
        <f>IF(J32="","",J32-IF(L32="",0,L32))</f>
        <v/>
      </c>
      <c r="N32" s="24">
        <f>IF(J32="","",J32-TODAY())</f>
        <v/>
      </c>
      <c r="O32" s="9">
        <f>IF(E32="","",IF(J32="","No date",IF(N32&lt;0,"Expired",IF(N32&lt;=30,"Urgent",IF(N32&lt;=90,"Due soon","OK")))))</f>
        <v/>
      </c>
      <c r="P32" s="22" t="n"/>
      <c r="Q32" s="25" t="n"/>
      <c r="R32" s="22" t="n"/>
      <c r="S32" s="22" t="n"/>
      <c r="T32" s="23" t="n"/>
      <c r="U32" s="22">
        <f>IF(E32="","",IF(J32="","",N32+ROW()/100000))</f>
        <v/>
      </c>
    </row>
    <row r="33">
      <c r="A33" s="9">
        <f>IF(E33="","",COUNTA($E$5:E33))</f>
        <v/>
      </c>
      <c r="B33" s="22" t="inlineStr">
        <is>
          <t>SR9</t>
        </is>
      </c>
      <c r="C33" s="22" t="inlineStr">
        <is>
          <t>AMH Ratchada Co., Ltd.</t>
        </is>
      </c>
      <c r="D33" s="22" t="inlineStr">
        <is>
          <t>Certificate</t>
        </is>
      </c>
      <c r="E33" s="23" t="inlineStr">
        <is>
          <t>Pest control service certificate</t>
        </is>
      </c>
      <c r="F33" s="23" t="inlineStr">
        <is>
          <t>ใบรับรองการกำจัดแมลงและสัตว์พาหะ</t>
        </is>
      </c>
      <c r="G33" s="23" t="inlineStr">
        <is>
          <t>Licensed contractor</t>
        </is>
      </c>
      <c r="H33" s="22" t="n"/>
      <c r="I33" s="15" t="n"/>
      <c r="J33" s="15" t="n"/>
      <c r="K33" s="22" t="inlineStr">
        <is>
          <t>Annual</t>
        </is>
      </c>
      <c r="L33" s="22" t="n">
        <v>60</v>
      </c>
      <c r="M33" s="15">
        <f>IF(J33="","",J33-IF(L33="",0,L33))</f>
        <v/>
      </c>
      <c r="N33" s="24">
        <f>IF(J33="","",J33-TODAY())</f>
        <v/>
      </c>
      <c r="O33" s="9">
        <f>IF(E33="","",IF(J33="","No date",IF(N33&lt;0,"Expired",IF(N33&lt;=30,"Urgent",IF(N33&lt;=90,"Due soon","OK")))))</f>
        <v/>
      </c>
      <c r="P33" s="22" t="n"/>
      <c r="Q33" s="25" t="n"/>
      <c r="R33" s="22" t="n"/>
      <c r="S33" s="22" t="n"/>
      <c r="T33" s="23" t="n"/>
      <c r="U33" s="22">
        <f>IF(E33="","",IF(J33="","",N33+ROW()/100000))</f>
        <v/>
      </c>
    </row>
    <row r="34">
      <c r="A34" s="9">
        <f>IF(E34="","",COUNTA($E$5:E34))</f>
        <v/>
      </c>
      <c r="B34" s="22" t="inlineStr">
        <is>
          <t>SR9</t>
        </is>
      </c>
      <c r="C34" s="22" t="inlineStr">
        <is>
          <t>AMH Ratchada Co., Ltd.</t>
        </is>
      </c>
      <c r="D34" s="22" t="inlineStr">
        <is>
          <t>Insurance</t>
        </is>
      </c>
      <c r="E34" s="23" t="inlineStr">
        <is>
          <t>Property all-risk insurance</t>
        </is>
      </c>
      <c r="F34" s="23" t="inlineStr">
        <is>
          <t>ประกันภัยทรัพย์สินแบบ All Risk</t>
        </is>
      </c>
      <c r="G34" s="23" t="inlineStr">
        <is>
          <t>Insurer / broker</t>
        </is>
      </c>
      <c r="H34" s="22" t="n"/>
      <c r="I34" s="15" t="n"/>
      <c r="J34" s="15" t="n"/>
      <c r="K34" s="22" t="inlineStr">
        <is>
          <t>Annual</t>
        </is>
      </c>
      <c r="L34" s="22" t="n">
        <v>60</v>
      </c>
      <c r="M34" s="15">
        <f>IF(J34="","",J34-IF(L34="",0,L34))</f>
        <v/>
      </c>
      <c r="N34" s="24">
        <f>IF(J34="","",J34-TODAY())</f>
        <v/>
      </c>
      <c r="O34" s="9">
        <f>IF(E34="","",IF(J34="","No date",IF(N34&lt;0,"Expired",IF(N34&lt;=30,"Urgent",IF(N34&lt;=90,"Due soon","OK")))))</f>
        <v/>
      </c>
      <c r="P34" s="22" t="n"/>
      <c r="Q34" s="25" t="n"/>
      <c r="R34" s="22" t="n"/>
      <c r="S34" s="22" t="n"/>
      <c r="T34" s="23" t="n"/>
      <c r="U34" s="22">
        <f>IF(E34="","",IF(J34="","",N34+ROW()/100000))</f>
        <v/>
      </c>
    </row>
    <row r="35">
      <c r="A35" s="9">
        <f>IF(E35="","",COUNTA($E$5:E35))</f>
        <v/>
      </c>
      <c r="B35" s="22" t="inlineStr">
        <is>
          <t>SR9</t>
        </is>
      </c>
      <c r="C35" s="22" t="inlineStr">
        <is>
          <t>AMH Ratchada Co., Ltd.</t>
        </is>
      </c>
      <c r="D35" s="22" t="inlineStr">
        <is>
          <t>Insurance</t>
        </is>
      </c>
      <c r="E35" s="23" t="inlineStr">
        <is>
          <t>Public liability insurance</t>
        </is>
      </c>
      <c r="F35" s="23" t="inlineStr">
        <is>
          <t>ประกันภัยความรับผิดต่อบุคคลภายนอก</t>
        </is>
      </c>
      <c r="G35" s="23" t="inlineStr">
        <is>
          <t>Insurer / broker</t>
        </is>
      </c>
      <c r="H35" s="22" t="n"/>
      <c r="I35" s="15" t="n"/>
      <c r="J35" s="15" t="n"/>
      <c r="K35" s="22" t="inlineStr">
        <is>
          <t>Annual</t>
        </is>
      </c>
      <c r="L35" s="22" t="n">
        <v>60</v>
      </c>
      <c r="M35" s="15">
        <f>IF(J35="","",J35-IF(L35="",0,L35))</f>
        <v/>
      </c>
      <c r="N35" s="24">
        <f>IF(J35="","",J35-TODAY())</f>
        <v/>
      </c>
      <c r="O35" s="9">
        <f>IF(E35="","",IF(J35="","No date",IF(N35&lt;0,"Expired",IF(N35&lt;=30,"Urgent",IF(N35&lt;=90,"Due soon","OK")))))</f>
        <v/>
      </c>
      <c r="P35" s="22" t="n"/>
      <c r="Q35" s="25" t="n"/>
      <c r="R35" s="22" t="n"/>
      <c r="S35" s="22" t="n"/>
      <c r="T35" s="23" t="n"/>
      <c r="U35" s="22">
        <f>IF(E35="","",IF(J35="","",N35+ROW()/100000))</f>
        <v/>
      </c>
    </row>
    <row r="36">
      <c r="A36" s="9">
        <f>IF(E36="","",COUNTA($E$5:E36))</f>
        <v/>
      </c>
      <c r="B36" s="22" t="inlineStr">
        <is>
          <t>SR9</t>
        </is>
      </c>
      <c r="C36" s="22" t="inlineStr">
        <is>
          <t>AMH Ratchada Co., Ltd.</t>
        </is>
      </c>
      <c r="D36" s="22" t="inlineStr">
        <is>
          <t>Insurance</t>
        </is>
      </c>
      <c r="E36" s="23" t="inlineStr">
        <is>
          <t>Business interruption insurance</t>
        </is>
      </c>
      <c r="F36" s="23" t="inlineStr">
        <is>
          <t>ประกันภัยธุรกิจหยุดชะงัก</t>
        </is>
      </c>
      <c r="G36" s="23" t="inlineStr">
        <is>
          <t>Insurer / broker</t>
        </is>
      </c>
      <c r="H36" s="22" t="n"/>
      <c r="I36" s="15" t="n"/>
      <c r="J36" s="15" t="n"/>
      <c r="K36" s="22" t="inlineStr">
        <is>
          <t>Annual</t>
        </is>
      </c>
      <c r="L36" s="22" t="n">
        <v>60</v>
      </c>
      <c r="M36" s="15">
        <f>IF(J36="","",J36-IF(L36="",0,L36))</f>
        <v/>
      </c>
      <c r="N36" s="24">
        <f>IF(J36="","",J36-TODAY())</f>
        <v/>
      </c>
      <c r="O36" s="9">
        <f>IF(E36="","",IF(J36="","No date",IF(N36&lt;0,"Expired",IF(N36&lt;=30,"Urgent",IF(N36&lt;=90,"Due soon","OK")))))</f>
        <v/>
      </c>
      <c r="P36" s="22" t="n"/>
      <c r="Q36" s="25" t="n"/>
      <c r="R36" s="22" t="n"/>
      <c r="S36" s="22" t="n"/>
      <c r="T36" s="23" t="n"/>
      <c r="U36" s="22">
        <f>IF(E36="","",IF(J36="","",N36+ROW()/100000))</f>
        <v/>
      </c>
    </row>
    <row r="37">
      <c r="A37" s="9">
        <f>IF(E37="","",COUNTA($E$5:E37))</f>
        <v/>
      </c>
      <c r="B37" s="22" t="inlineStr">
        <is>
          <t>SR9</t>
        </is>
      </c>
      <c r="C37" s="22" t="inlineStr">
        <is>
          <t>AMH Ratchada Co., Ltd.</t>
        </is>
      </c>
      <c r="D37" s="22" t="inlineStr">
        <is>
          <t>Insurance</t>
        </is>
      </c>
      <c r="E37" s="23" t="inlineStr">
        <is>
          <t>Hotel guest / hotel-act compulsory insurance</t>
        </is>
      </c>
      <c r="F37" s="23" t="inlineStr">
        <is>
          <t>ประกันภัยตาม พ.ร.บ. โรงแรม</t>
        </is>
      </c>
      <c r="G37" s="23" t="inlineStr">
        <is>
          <t>Insurer / broker</t>
        </is>
      </c>
      <c r="H37" s="22" t="n"/>
      <c r="I37" s="15" t="n"/>
      <c r="J37" s="15" t="n"/>
      <c r="K37" s="22" t="inlineStr">
        <is>
          <t>Annual</t>
        </is>
      </c>
      <c r="L37" s="22" t="n">
        <v>60</v>
      </c>
      <c r="M37" s="15">
        <f>IF(J37="","",J37-IF(L37="",0,L37))</f>
        <v/>
      </c>
      <c r="N37" s="24">
        <f>IF(J37="","",J37-TODAY())</f>
        <v/>
      </c>
      <c r="O37" s="9">
        <f>IF(E37="","",IF(J37="","No date",IF(N37&lt;0,"Expired",IF(N37&lt;=30,"Urgent",IF(N37&lt;=90,"Due soon","OK")))))</f>
        <v/>
      </c>
      <c r="P37" s="22" t="n"/>
      <c r="Q37" s="25" t="n"/>
      <c r="R37" s="22" t="n"/>
      <c r="S37" s="22" t="n"/>
      <c r="T37" s="23" t="n"/>
      <c r="U37" s="22">
        <f>IF(E37="","",IF(J37="","",N37+ROW()/100000))</f>
        <v/>
      </c>
    </row>
    <row r="38">
      <c r="A38" s="9">
        <f>IF(E38="","",COUNTA($E$5:E38))</f>
        <v/>
      </c>
      <c r="B38" s="22" t="inlineStr">
        <is>
          <t>SR9</t>
        </is>
      </c>
      <c r="C38" s="22" t="inlineStr">
        <is>
          <t>AMH Ratchada Co., Ltd.</t>
        </is>
      </c>
      <c r="D38" s="22" t="inlineStr">
        <is>
          <t>Contract - Management</t>
        </is>
      </c>
      <c r="E38" s="23" t="inlineStr">
        <is>
          <t>Hotel management agreement</t>
        </is>
      </c>
      <c r="F38" s="23" t="inlineStr">
        <is>
          <t>สัญญาบริหารโรงแรม</t>
        </is>
      </c>
      <c r="G38" s="23" t="inlineStr">
        <is>
          <t>Ascott International Management (Thailand) Ltd.</t>
        </is>
      </c>
      <c r="H38" s="22" t="n"/>
      <c r="I38" s="15" t="n"/>
      <c r="J38" s="15" t="n"/>
      <c r="K38" s="22" t="inlineStr">
        <is>
          <t>Rolling / evergreen</t>
        </is>
      </c>
      <c r="L38" s="22" t="n">
        <v>60</v>
      </c>
      <c r="M38" s="15">
        <f>IF(J38="","",J38-IF(L38="",0,L38))</f>
        <v/>
      </c>
      <c r="N38" s="24">
        <f>IF(J38="","",J38-TODAY())</f>
        <v/>
      </c>
      <c r="O38" s="9">
        <f>IF(E38="","",IF(J38="","No date",IF(N38&lt;0,"Expired",IF(N38&lt;=30,"Urgent",IF(N38&lt;=90,"Due soon","OK")))))</f>
        <v/>
      </c>
      <c r="P38" s="22" t="n"/>
      <c r="Q38" s="25" t="n"/>
      <c r="R38" s="22" t="n"/>
      <c r="S38" s="22" t="n"/>
      <c r="T38" s="23" t="n"/>
      <c r="U38" s="22">
        <f>IF(E38="","",IF(J38="","",N38+ROW()/100000))</f>
        <v/>
      </c>
    </row>
    <row r="39">
      <c r="A39" s="9">
        <f>IF(E39="","",COUNTA($E$5:E39))</f>
        <v/>
      </c>
      <c r="B39" s="22" t="inlineStr">
        <is>
          <t>SR9</t>
        </is>
      </c>
      <c r="C39" s="22" t="inlineStr">
        <is>
          <t>AMH Ratchada Co., Ltd.</t>
        </is>
      </c>
      <c r="D39" s="22" t="inlineStr">
        <is>
          <t>Contract - Management</t>
        </is>
      </c>
      <c r="E39" s="23" t="inlineStr">
        <is>
          <t>Technical services / central fee agreement</t>
        </is>
      </c>
      <c r="F39" s="23" t="inlineStr">
        <is>
          <t>สัญญาค่าบริการส่วนกลาง</t>
        </is>
      </c>
      <c r="G39" s="23" t="inlineStr">
        <is>
          <t>Ascott International Management (Thailand) Ltd.</t>
        </is>
      </c>
      <c r="H39" s="22" t="n"/>
      <c r="I39" s="15" t="n"/>
      <c r="J39" s="15" t="n"/>
      <c r="K39" s="22" t="inlineStr">
        <is>
          <t>Rolling / evergreen</t>
        </is>
      </c>
      <c r="L39" s="22" t="n">
        <v>60</v>
      </c>
      <c r="M39" s="15">
        <f>IF(J39="","",J39-IF(L39="",0,L39))</f>
        <v/>
      </c>
      <c r="N39" s="24">
        <f>IF(J39="","",J39-TODAY())</f>
        <v/>
      </c>
      <c r="O39" s="9">
        <f>IF(E39="","",IF(J39="","No date",IF(N39&lt;0,"Expired",IF(N39&lt;=30,"Urgent",IF(N39&lt;=90,"Due soon","OK")))))</f>
        <v/>
      </c>
      <c r="P39" s="22" t="n"/>
      <c r="Q39" s="25" t="n"/>
      <c r="R39" s="22" t="n"/>
      <c r="S39" s="22" t="n"/>
      <c r="T39" s="23" t="n"/>
      <c r="U39" s="22">
        <f>IF(E39="","",IF(J39="","",N39+ROW()/100000))</f>
        <v/>
      </c>
    </row>
    <row r="40">
      <c r="A40" s="9">
        <f>IF(E40="","",COUNTA($E$5:E40))</f>
        <v/>
      </c>
      <c r="B40" s="22" t="inlineStr">
        <is>
          <t>SR9</t>
        </is>
      </c>
      <c r="C40" s="22" t="inlineStr">
        <is>
          <t>AMH Ratchada Co., Ltd.</t>
        </is>
      </c>
      <c r="D40" s="22" t="inlineStr">
        <is>
          <t>Contract - OTA</t>
        </is>
      </c>
      <c r="E40" s="23" t="inlineStr">
        <is>
          <t>Booking.com accommodation agreement</t>
        </is>
      </c>
      <c r="F40" s="23" t="inlineStr">
        <is>
          <t>สัญญากับ Booking.com</t>
        </is>
      </c>
      <c r="G40" s="23" t="inlineStr">
        <is>
          <t>Booking.com B.V.</t>
        </is>
      </c>
      <c r="H40" s="22" t="n"/>
      <c r="I40" s="15" t="n"/>
      <c r="J40" s="15" t="n"/>
      <c r="K40" s="22" t="inlineStr">
        <is>
          <t>Rolling / evergreen</t>
        </is>
      </c>
      <c r="L40" s="22" t="n">
        <v>60</v>
      </c>
      <c r="M40" s="15">
        <f>IF(J40="","",J40-IF(L40="",0,L40))</f>
        <v/>
      </c>
      <c r="N40" s="24">
        <f>IF(J40="","",J40-TODAY())</f>
        <v/>
      </c>
      <c r="O40" s="9">
        <f>IF(E40="","",IF(J40="","No date",IF(N40&lt;0,"Expired",IF(N40&lt;=30,"Urgent",IF(N40&lt;=90,"Due soon","OK")))))</f>
        <v/>
      </c>
      <c r="P40" s="22" t="n"/>
      <c r="Q40" s="25" t="n"/>
      <c r="R40" s="22" t="n"/>
      <c r="S40" s="22" t="n"/>
      <c r="T40" s="23" t="n"/>
      <c r="U40" s="22">
        <f>IF(E40="","",IF(J40="","",N40+ROW()/100000))</f>
        <v/>
      </c>
    </row>
    <row r="41">
      <c r="A41" s="9">
        <f>IF(E41="","",COUNTA($E$5:E41))</f>
        <v/>
      </c>
      <c r="B41" s="22" t="inlineStr">
        <is>
          <t>SR9</t>
        </is>
      </c>
      <c r="C41" s="22" t="inlineStr">
        <is>
          <t>AMH Ratchada Co., Ltd.</t>
        </is>
      </c>
      <c r="D41" s="22" t="inlineStr">
        <is>
          <t>Contract - OTA</t>
        </is>
      </c>
      <c r="E41" s="23" t="inlineStr">
        <is>
          <t>Expedia lodging agreement</t>
        </is>
      </c>
      <c r="F41" s="23" t="inlineStr">
        <is>
          <t>สัญญากับ Expedia</t>
        </is>
      </c>
      <c r="G41" s="23" t="inlineStr">
        <is>
          <t>Travelscape LLC / Expedia (Thailand) Co., Ltd.</t>
        </is>
      </c>
      <c r="H41" s="22" t="n"/>
      <c r="I41" s="15" t="n"/>
      <c r="J41" s="15" t="n"/>
      <c r="K41" s="22" t="inlineStr">
        <is>
          <t>Rolling / evergreen</t>
        </is>
      </c>
      <c r="L41" s="22" t="n">
        <v>60</v>
      </c>
      <c r="M41" s="15">
        <f>IF(J41="","",J41-IF(L41="",0,L41))</f>
        <v/>
      </c>
      <c r="N41" s="24">
        <f>IF(J41="","",J41-TODAY())</f>
        <v/>
      </c>
      <c r="O41" s="9">
        <f>IF(E41="","",IF(J41="","No date",IF(N41&lt;0,"Expired",IF(N41&lt;=30,"Urgent",IF(N41&lt;=90,"Due soon","OK")))))</f>
        <v/>
      </c>
      <c r="P41" s="22" t="n"/>
      <c r="Q41" s="25" t="n"/>
      <c r="R41" s="22" t="n"/>
      <c r="S41" s="22" t="n"/>
      <c r="T41" s="23" t="n"/>
      <c r="U41" s="22">
        <f>IF(E41="","",IF(J41="","",N41+ROW()/100000))</f>
        <v/>
      </c>
    </row>
    <row r="42">
      <c r="A42" s="9">
        <f>IF(E42="","",COUNTA($E$5:E42))</f>
        <v/>
      </c>
      <c r="B42" s="22" t="inlineStr">
        <is>
          <t>SR9</t>
        </is>
      </c>
      <c r="C42" s="22" t="inlineStr">
        <is>
          <t>AMH Ratchada Co., Ltd.</t>
        </is>
      </c>
      <c r="D42" s="22" t="inlineStr">
        <is>
          <t>Contract - OTA</t>
        </is>
      </c>
      <c r="E42" s="23" t="inlineStr">
        <is>
          <t>Agoda accommodation agreement</t>
        </is>
      </c>
      <c r="F42" s="23" t="inlineStr">
        <is>
          <t>สัญญากับ Agoda</t>
        </is>
      </c>
      <c r="G42" s="23" t="inlineStr">
        <is>
          <t>Agoda Company Pte. Ltd.</t>
        </is>
      </c>
      <c r="H42" s="22" t="n"/>
      <c r="I42" s="15" t="n"/>
      <c r="J42" s="15" t="n"/>
      <c r="K42" s="22" t="inlineStr">
        <is>
          <t>Rolling / evergreen</t>
        </is>
      </c>
      <c r="L42" s="22" t="n">
        <v>60</v>
      </c>
      <c r="M42" s="15">
        <f>IF(J42="","",J42-IF(L42="",0,L42))</f>
        <v/>
      </c>
      <c r="N42" s="24">
        <f>IF(J42="","",J42-TODAY())</f>
        <v/>
      </c>
      <c r="O42" s="9">
        <f>IF(E42="","",IF(J42="","No date",IF(N42&lt;0,"Expired",IF(N42&lt;=30,"Urgent",IF(N42&lt;=90,"Due soon","OK")))))</f>
        <v/>
      </c>
      <c r="P42" s="22" t="n"/>
      <c r="Q42" s="25" t="n"/>
      <c r="R42" s="22" t="n"/>
      <c r="S42" s="22" t="n"/>
      <c r="T42" s="23" t="n"/>
      <c r="U42" s="22">
        <f>IF(E42="","",IF(J42="","",N42+ROW()/100000))</f>
        <v/>
      </c>
    </row>
    <row r="43">
      <c r="A43" s="9">
        <f>IF(E43="","",COUNTA($E$5:E43))</f>
        <v/>
      </c>
      <c r="B43" s="22" t="inlineStr">
        <is>
          <t>SR9</t>
        </is>
      </c>
      <c r="C43" s="22" t="inlineStr">
        <is>
          <t>AMH Ratchada Co., Ltd.</t>
        </is>
      </c>
      <c r="D43" s="22" t="inlineStr">
        <is>
          <t>Contract - Service</t>
        </is>
      </c>
      <c r="E43" s="23" t="inlineStr">
        <is>
          <t>Laundry &amp; linen services</t>
        </is>
      </c>
      <c r="F43" s="23" t="inlineStr">
        <is>
          <t>สัญญาบริการซักรีด</t>
        </is>
      </c>
      <c r="G43" s="23" t="inlineStr">
        <is>
          <t>Asset World Wex Co., Ltd.</t>
        </is>
      </c>
      <c r="H43" s="22" t="n"/>
      <c r="I43" s="15" t="n"/>
      <c r="J43" s="15" t="n"/>
      <c r="K43" s="22" t="inlineStr">
        <is>
          <t>Annual</t>
        </is>
      </c>
      <c r="L43" s="22" t="n">
        <v>60</v>
      </c>
      <c r="M43" s="15">
        <f>IF(J43="","",J43-IF(L43="",0,L43))</f>
        <v/>
      </c>
      <c r="N43" s="24">
        <f>IF(J43="","",J43-TODAY())</f>
        <v/>
      </c>
      <c r="O43" s="9">
        <f>IF(E43="","",IF(J43="","No date",IF(N43&lt;0,"Expired",IF(N43&lt;=30,"Urgent",IF(N43&lt;=90,"Due soon","OK")))))</f>
        <v/>
      </c>
      <c r="P43" s="22" t="n"/>
      <c r="Q43" s="25" t="n"/>
      <c r="R43" s="22" t="n"/>
      <c r="S43" s="22" t="n"/>
      <c r="T43" s="23" t="n"/>
      <c r="U43" s="22">
        <f>IF(E43="","",IF(J43="","",N43+ROW()/100000))</f>
        <v/>
      </c>
    </row>
    <row r="44">
      <c r="A44" s="9">
        <f>IF(E44="","",COUNTA($E$5:E44))</f>
        <v/>
      </c>
      <c r="B44" s="22" t="inlineStr">
        <is>
          <t>SR9</t>
        </is>
      </c>
      <c r="C44" s="22" t="inlineStr">
        <is>
          <t>AMH Ratchada Co., Ltd.</t>
        </is>
      </c>
      <c r="D44" s="22" t="inlineStr">
        <is>
          <t>Contract - Service</t>
        </is>
      </c>
      <c r="E44" s="23" t="inlineStr">
        <is>
          <t>F&amp;B outlet / catering operator</t>
        </is>
      </c>
      <c r="F44" s="23" t="inlineStr">
        <is>
          <t>สัญญาผู้ประกอบการอาหารและเครื่องดื่ม</t>
        </is>
      </c>
      <c r="G44" s="23" t="inlineStr">
        <is>
          <t>DK Wow Venture Co., Ltd.</t>
        </is>
      </c>
      <c r="H44" s="22" t="n"/>
      <c r="I44" s="15" t="n"/>
      <c r="J44" s="15" t="n"/>
      <c r="K44" s="22" t="inlineStr">
        <is>
          <t>Annual</t>
        </is>
      </c>
      <c r="L44" s="22" t="n">
        <v>60</v>
      </c>
      <c r="M44" s="15">
        <f>IF(J44="","",J44-IF(L44="",0,L44))</f>
        <v/>
      </c>
      <c r="N44" s="24">
        <f>IF(J44="","",J44-TODAY())</f>
        <v/>
      </c>
      <c r="O44" s="9">
        <f>IF(E44="","",IF(J44="","No date",IF(N44&lt;0,"Expired",IF(N44&lt;=30,"Urgent",IF(N44&lt;=90,"Due soon","OK")))))</f>
        <v/>
      </c>
      <c r="P44" s="22" t="n"/>
      <c r="Q44" s="25" t="n"/>
      <c r="R44" s="22" t="n"/>
      <c r="S44" s="22" t="n"/>
      <c r="T44" s="23" t="n"/>
      <c r="U44" s="22">
        <f>IF(E44="","",IF(J44="","",N44+ROW()/100000))</f>
        <v/>
      </c>
    </row>
    <row r="45">
      <c r="A45" s="9">
        <f>IF(E45="","",COUNTA($E$5:E45))</f>
        <v/>
      </c>
      <c r="B45" s="22" t="inlineStr">
        <is>
          <t>SR9</t>
        </is>
      </c>
      <c r="C45" s="22" t="inlineStr">
        <is>
          <t>AMH Ratchada Co., Ltd.</t>
        </is>
      </c>
      <c r="D45" s="22" t="inlineStr">
        <is>
          <t>Contract - Service</t>
        </is>
      </c>
      <c r="E45" s="23" t="inlineStr">
        <is>
          <t>Security services</t>
        </is>
      </c>
      <c r="F45" s="23" t="inlineStr">
        <is>
          <t>สัญญาบริการรักษาความปลอดภัย</t>
        </is>
      </c>
      <c r="G45" s="23" t="n"/>
      <c r="H45" s="22" t="n"/>
      <c r="I45" s="15" t="n"/>
      <c r="J45" s="15" t="n"/>
      <c r="K45" s="22" t="inlineStr">
        <is>
          <t>Annual</t>
        </is>
      </c>
      <c r="L45" s="22" t="n">
        <v>60</v>
      </c>
      <c r="M45" s="15">
        <f>IF(J45="","",J45-IF(L45="",0,L45))</f>
        <v/>
      </c>
      <c r="N45" s="24">
        <f>IF(J45="","",J45-TODAY())</f>
        <v/>
      </c>
      <c r="O45" s="9">
        <f>IF(E45="","",IF(J45="","No date",IF(N45&lt;0,"Expired",IF(N45&lt;=30,"Urgent",IF(N45&lt;=90,"Due soon","OK")))))</f>
        <v/>
      </c>
      <c r="P45" s="22" t="n"/>
      <c r="Q45" s="25" t="n"/>
      <c r="R45" s="22" t="n"/>
      <c r="S45" s="22" t="n"/>
      <c r="T45" s="23" t="n"/>
      <c r="U45" s="22">
        <f>IF(E45="","",IF(J45="","",N45+ROW()/100000))</f>
        <v/>
      </c>
    </row>
    <row r="46">
      <c r="A46" s="9">
        <f>IF(E46="","",COUNTA($E$5:E46))</f>
        <v/>
      </c>
      <c r="B46" s="22" t="inlineStr">
        <is>
          <t>SR9</t>
        </is>
      </c>
      <c r="C46" s="22" t="inlineStr">
        <is>
          <t>AMH Ratchada Co., Ltd.</t>
        </is>
      </c>
      <c r="D46" s="22" t="inlineStr">
        <is>
          <t>Contract - Service</t>
        </is>
      </c>
      <c r="E46" s="23" t="inlineStr">
        <is>
          <t>Cleaning / housekeeping outsource</t>
        </is>
      </c>
      <c r="F46" s="23" t="inlineStr">
        <is>
          <t>สัญญาบริการทำความสะอาด</t>
        </is>
      </c>
      <c r="G46" s="23" t="n"/>
      <c r="H46" s="22" t="n"/>
      <c r="I46" s="15" t="n"/>
      <c r="J46" s="15" t="n"/>
      <c r="K46" s="22" t="inlineStr">
        <is>
          <t>Annual</t>
        </is>
      </c>
      <c r="L46" s="22" t="n">
        <v>60</v>
      </c>
      <c r="M46" s="15">
        <f>IF(J46="","",J46-IF(L46="",0,L46))</f>
        <v/>
      </c>
      <c r="N46" s="24">
        <f>IF(J46="","",J46-TODAY())</f>
        <v/>
      </c>
      <c r="O46" s="9">
        <f>IF(E46="","",IF(J46="","No date",IF(N46&lt;0,"Expired",IF(N46&lt;=30,"Urgent",IF(N46&lt;=90,"Due soon","OK")))))</f>
        <v/>
      </c>
      <c r="P46" s="22" t="n"/>
      <c r="Q46" s="25" t="n"/>
      <c r="R46" s="22" t="n"/>
      <c r="S46" s="22" t="n"/>
      <c r="T46" s="23" t="n"/>
      <c r="U46" s="22">
        <f>IF(E46="","",IF(J46="","",N46+ROW()/100000))</f>
        <v/>
      </c>
    </row>
    <row r="47">
      <c r="A47" s="9">
        <f>IF(E47="","",COUNTA($E$5:E47))</f>
        <v/>
      </c>
      <c r="B47" s="22" t="inlineStr">
        <is>
          <t>SR9</t>
        </is>
      </c>
      <c r="C47" s="22" t="inlineStr">
        <is>
          <t>AMH Ratchada Co., Ltd.</t>
        </is>
      </c>
      <c r="D47" s="22" t="inlineStr">
        <is>
          <t>Contract - Service</t>
        </is>
      </c>
      <c r="E47" s="23" t="inlineStr">
        <is>
          <t>Pest control</t>
        </is>
      </c>
      <c r="F47" s="23" t="inlineStr">
        <is>
          <t>สัญญากำจัดแมลง</t>
        </is>
      </c>
      <c r="G47" s="23" t="n"/>
      <c r="H47" s="22" t="n"/>
      <c r="I47" s="15" t="n"/>
      <c r="J47" s="15" t="n"/>
      <c r="K47" s="22" t="inlineStr">
        <is>
          <t>Annual</t>
        </is>
      </c>
      <c r="L47" s="22" t="n">
        <v>60</v>
      </c>
      <c r="M47" s="15">
        <f>IF(J47="","",J47-IF(L47="",0,L47))</f>
        <v/>
      </c>
      <c r="N47" s="24">
        <f>IF(J47="","",J47-TODAY())</f>
        <v/>
      </c>
      <c r="O47" s="9">
        <f>IF(E47="","",IF(J47="","No date",IF(N47&lt;0,"Expired",IF(N47&lt;=30,"Urgent",IF(N47&lt;=90,"Due soon","OK")))))</f>
        <v/>
      </c>
      <c r="P47" s="22" t="n"/>
      <c r="Q47" s="25" t="n"/>
      <c r="R47" s="22" t="n"/>
      <c r="S47" s="22" t="n"/>
      <c r="T47" s="23" t="n"/>
      <c r="U47" s="22">
        <f>IF(E47="","",IF(J47="","",N47+ROW()/100000))</f>
        <v/>
      </c>
    </row>
    <row r="48">
      <c r="A48" s="9">
        <f>IF(E48="","",COUNTA($E$5:E48))</f>
        <v/>
      </c>
      <c r="B48" s="22" t="inlineStr">
        <is>
          <t>SR9</t>
        </is>
      </c>
      <c r="C48" s="22" t="inlineStr">
        <is>
          <t>AMH Ratchada Co., Ltd.</t>
        </is>
      </c>
      <c r="D48" s="22" t="inlineStr">
        <is>
          <t>Contract - Service</t>
        </is>
      </c>
      <c r="E48" s="23" t="inlineStr">
        <is>
          <t>Landscaping / plant care</t>
        </is>
      </c>
      <c r="F48" s="23" t="inlineStr">
        <is>
          <t>สัญญาดูแลต้นไม้และภูมิทัศน์</t>
        </is>
      </c>
      <c r="G48" s="23" t="n"/>
      <c r="H48" s="22" t="n"/>
      <c r="I48" s="15" t="n"/>
      <c r="J48" s="15" t="n"/>
      <c r="K48" s="22" t="inlineStr">
        <is>
          <t>Annual</t>
        </is>
      </c>
      <c r="L48" s="22" t="n">
        <v>60</v>
      </c>
      <c r="M48" s="15">
        <f>IF(J48="","",J48-IF(L48="",0,L48))</f>
        <v/>
      </c>
      <c r="N48" s="24">
        <f>IF(J48="","",J48-TODAY())</f>
        <v/>
      </c>
      <c r="O48" s="9">
        <f>IF(E48="","",IF(J48="","No date",IF(N48&lt;0,"Expired",IF(N48&lt;=30,"Urgent",IF(N48&lt;=90,"Due soon","OK")))))</f>
        <v/>
      </c>
      <c r="P48" s="22" t="n"/>
      <c r="Q48" s="25" t="n"/>
      <c r="R48" s="22" t="n"/>
      <c r="S48" s="22" t="n"/>
      <c r="T48" s="23" t="n"/>
      <c r="U48" s="22">
        <f>IF(E48="","",IF(J48="","",N48+ROW()/100000))</f>
        <v/>
      </c>
    </row>
    <row r="49">
      <c r="A49" s="9">
        <f>IF(E49="","",COUNTA($E$5:E49))</f>
        <v/>
      </c>
      <c r="B49" s="22" t="inlineStr">
        <is>
          <t>SR9</t>
        </is>
      </c>
      <c r="C49" s="22" t="inlineStr">
        <is>
          <t>AMH Ratchada Co., Ltd.</t>
        </is>
      </c>
      <c r="D49" s="22" t="inlineStr">
        <is>
          <t>Contract - Service</t>
        </is>
      </c>
      <c r="E49" s="23" t="inlineStr">
        <is>
          <t>Lift maintenance</t>
        </is>
      </c>
      <c r="F49" s="23" t="inlineStr">
        <is>
          <t>สัญญาบำรุงรักษาลิฟต์</t>
        </is>
      </c>
      <c r="G49" s="23" t="n"/>
      <c r="H49" s="22" t="n"/>
      <c r="I49" s="15" t="n"/>
      <c r="J49" s="15" t="n"/>
      <c r="K49" s="22" t="inlineStr">
        <is>
          <t>Annual</t>
        </is>
      </c>
      <c r="L49" s="22" t="n">
        <v>60</v>
      </c>
      <c r="M49" s="15">
        <f>IF(J49="","",J49-IF(L49="",0,L49))</f>
        <v/>
      </c>
      <c r="N49" s="24">
        <f>IF(J49="","",J49-TODAY())</f>
        <v/>
      </c>
      <c r="O49" s="9">
        <f>IF(E49="","",IF(J49="","No date",IF(N49&lt;0,"Expired",IF(N49&lt;=30,"Urgent",IF(N49&lt;=90,"Due soon","OK")))))</f>
        <v/>
      </c>
      <c r="P49" s="22" t="n"/>
      <c r="Q49" s="25" t="n"/>
      <c r="R49" s="22" t="n"/>
      <c r="S49" s="22" t="n"/>
      <c r="T49" s="23" t="n"/>
      <c r="U49" s="22">
        <f>IF(E49="","",IF(J49="","",N49+ROW()/100000))</f>
        <v/>
      </c>
    </row>
    <row r="50">
      <c r="A50" s="9">
        <f>IF(E50="","",COUNTA($E$5:E50))</f>
        <v/>
      </c>
      <c r="B50" s="22" t="inlineStr">
        <is>
          <t>SR9</t>
        </is>
      </c>
      <c r="C50" s="22" t="inlineStr">
        <is>
          <t>AMH Ratchada Co., Ltd.</t>
        </is>
      </c>
      <c r="D50" s="22" t="inlineStr">
        <is>
          <t>Contract - Service</t>
        </is>
      </c>
      <c r="E50" s="23" t="inlineStr">
        <is>
          <t>HVAC / chiller maintenance</t>
        </is>
      </c>
      <c r="F50" s="23" t="inlineStr">
        <is>
          <t>สัญญาบำรุงรักษาระบบปรับอากาศ</t>
        </is>
      </c>
      <c r="G50" s="23" t="n"/>
      <c r="H50" s="22" t="n"/>
      <c r="I50" s="15" t="n"/>
      <c r="J50" s="15" t="n"/>
      <c r="K50" s="22" t="inlineStr">
        <is>
          <t>Annual</t>
        </is>
      </c>
      <c r="L50" s="22" t="n">
        <v>60</v>
      </c>
      <c r="M50" s="15">
        <f>IF(J50="","",J50-IF(L50="",0,L50))</f>
        <v/>
      </c>
      <c r="N50" s="24">
        <f>IF(J50="","",J50-TODAY())</f>
        <v/>
      </c>
      <c r="O50" s="9">
        <f>IF(E50="","",IF(J50="","No date",IF(N50&lt;0,"Expired",IF(N50&lt;=30,"Urgent",IF(N50&lt;=90,"Due soon","OK")))))</f>
        <v/>
      </c>
      <c r="P50" s="22" t="n"/>
      <c r="Q50" s="25" t="n"/>
      <c r="R50" s="22" t="n"/>
      <c r="S50" s="22" t="n"/>
      <c r="T50" s="23" t="n"/>
      <c r="U50" s="22">
        <f>IF(E50="","",IF(J50="","",N50+ROW()/100000))</f>
        <v/>
      </c>
    </row>
    <row r="51">
      <c r="A51" s="9">
        <f>IF(E51="","",COUNTA($E$5:E51))</f>
        <v/>
      </c>
      <c r="B51" s="22" t="inlineStr">
        <is>
          <t>SR9</t>
        </is>
      </c>
      <c r="C51" s="22" t="inlineStr">
        <is>
          <t>AMH Ratchada Co., Ltd.</t>
        </is>
      </c>
      <c r="D51" s="22" t="inlineStr">
        <is>
          <t>Contract - Service</t>
        </is>
      </c>
      <c r="E51" s="23" t="inlineStr">
        <is>
          <t>Fire system maintenance</t>
        </is>
      </c>
      <c r="F51" s="23" t="inlineStr">
        <is>
          <t>สัญญาบำรุงรักษาระบบดับเพลิง</t>
        </is>
      </c>
      <c r="G51" s="23" t="n"/>
      <c r="H51" s="22" t="n"/>
      <c r="I51" s="15" t="n"/>
      <c r="J51" s="15" t="n"/>
      <c r="K51" s="22" t="inlineStr">
        <is>
          <t>Annual</t>
        </is>
      </c>
      <c r="L51" s="22" t="n">
        <v>60</v>
      </c>
      <c r="M51" s="15">
        <f>IF(J51="","",J51-IF(L51="",0,L51))</f>
        <v/>
      </c>
      <c r="N51" s="24">
        <f>IF(J51="","",J51-TODAY())</f>
        <v/>
      </c>
      <c r="O51" s="9">
        <f>IF(E51="","",IF(J51="","No date",IF(N51&lt;0,"Expired",IF(N51&lt;=30,"Urgent",IF(N51&lt;=90,"Due soon","OK")))))</f>
        <v/>
      </c>
      <c r="P51" s="22" t="n"/>
      <c r="Q51" s="25" t="n"/>
      <c r="R51" s="22" t="n"/>
      <c r="S51" s="22" t="n"/>
      <c r="T51" s="23" t="n"/>
      <c r="U51" s="22">
        <f>IF(E51="","",IF(J51="","",N51+ROW()/100000))</f>
        <v/>
      </c>
    </row>
    <row r="52">
      <c r="A52" s="9">
        <f>IF(E52="","",COUNTA($E$5:E52))</f>
        <v/>
      </c>
      <c r="B52" s="22" t="inlineStr">
        <is>
          <t>SR9</t>
        </is>
      </c>
      <c r="C52" s="22" t="inlineStr">
        <is>
          <t>AMH Ratchada Co., Ltd.</t>
        </is>
      </c>
      <c r="D52" s="22" t="inlineStr">
        <is>
          <t>Contract - Service</t>
        </is>
      </c>
      <c r="E52" s="23" t="inlineStr">
        <is>
          <t>Waste collection</t>
        </is>
      </c>
      <c r="F52" s="23" t="inlineStr">
        <is>
          <t>สัญญาเก็บขนขยะ</t>
        </is>
      </c>
      <c r="G52" s="23" t="n"/>
      <c r="H52" s="22" t="n"/>
      <c r="I52" s="15" t="n"/>
      <c r="J52" s="15" t="n"/>
      <c r="K52" s="22" t="inlineStr">
        <is>
          <t>Annual</t>
        </is>
      </c>
      <c r="L52" s="22" t="n">
        <v>60</v>
      </c>
      <c r="M52" s="15">
        <f>IF(J52="","",J52-IF(L52="",0,L52))</f>
        <v/>
      </c>
      <c r="N52" s="24">
        <f>IF(J52="","",J52-TODAY())</f>
        <v/>
      </c>
      <c r="O52" s="9">
        <f>IF(E52="","",IF(J52="","No date",IF(N52&lt;0,"Expired",IF(N52&lt;=30,"Urgent",IF(N52&lt;=90,"Due soon","OK")))))</f>
        <v/>
      </c>
      <c r="P52" s="22" t="n"/>
      <c r="Q52" s="25" t="n"/>
      <c r="R52" s="22" t="n"/>
      <c r="S52" s="22" t="n"/>
      <c r="T52" s="23" t="n"/>
      <c r="U52" s="22">
        <f>IF(E52="","",IF(J52="","",N52+ROW()/100000))</f>
        <v/>
      </c>
    </row>
    <row r="53">
      <c r="A53" s="9">
        <f>IF(E53="","",COUNTA($E$5:E53))</f>
        <v/>
      </c>
      <c r="B53" s="22" t="inlineStr">
        <is>
          <t>SR9</t>
        </is>
      </c>
      <c r="C53" s="22" t="inlineStr">
        <is>
          <t>AMH Ratchada Co., Ltd.</t>
        </is>
      </c>
      <c r="D53" s="22" t="inlineStr">
        <is>
          <t>Contract - Service</t>
        </is>
      </c>
      <c r="E53" s="23" t="inlineStr">
        <is>
          <t>PMS / property management system licence</t>
        </is>
      </c>
      <c r="F53" s="23" t="inlineStr">
        <is>
          <t>สัญญาระบบบริหารโรงแรม (PMS)</t>
        </is>
      </c>
      <c r="G53" s="23" t="n"/>
      <c r="H53" s="22" t="n"/>
      <c r="I53" s="15" t="n"/>
      <c r="J53" s="15" t="n"/>
      <c r="K53" s="22" t="inlineStr">
        <is>
          <t>Annual</t>
        </is>
      </c>
      <c r="L53" s="22" t="n">
        <v>60</v>
      </c>
      <c r="M53" s="15">
        <f>IF(J53="","",J53-IF(L53="",0,L53))</f>
        <v/>
      </c>
      <c r="N53" s="24">
        <f>IF(J53="","",J53-TODAY())</f>
        <v/>
      </c>
      <c r="O53" s="9">
        <f>IF(E53="","",IF(J53="","No date",IF(N53&lt;0,"Expired",IF(N53&lt;=30,"Urgent",IF(N53&lt;=90,"Due soon","OK")))))</f>
        <v/>
      </c>
      <c r="P53" s="22" t="n"/>
      <c r="Q53" s="25" t="n"/>
      <c r="R53" s="22" t="n"/>
      <c r="S53" s="22" t="n"/>
      <c r="T53" s="23" t="n"/>
      <c r="U53" s="22">
        <f>IF(E53="","",IF(J53="","",N53+ROW()/100000))</f>
        <v/>
      </c>
    </row>
    <row r="54">
      <c r="A54" s="9">
        <f>IF(E54="","",COUNTA($E$5:E54))</f>
        <v/>
      </c>
      <c r="B54" s="22" t="inlineStr">
        <is>
          <t>SR9</t>
        </is>
      </c>
      <c r="C54" s="22" t="inlineStr">
        <is>
          <t>AMH Ratchada Co., Ltd.</t>
        </is>
      </c>
      <c r="D54" s="22" t="inlineStr">
        <is>
          <t>Contract - Service</t>
        </is>
      </c>
      <c r="E54" s="23" t="inlineStr">
        <is>
          <t>Internet / IPTV / telephone</t>
        </is>
      </c>
      <c r="F54" s="23" t="inlineStr">
        <is>
          <t>สัญญาอินเทอร์เน็ต / IPTV / โทรศัพท์</t>
        </is>
      </c>
      <c r="G54" s="23" t="n"/>
      <c r="H54" s="22" t="n"/>
      <c r="I54" s="15" t="n"/>
      <c r="J54" s="15" t="n"/>
      <c r="K54" s="22" t="inlineStr">
        <is>
          <t>Annual</t>
        </is>
      </c>
      <c r="L54" s="22" t="n">
        <v>60</v>
      </c>
      <c r="M54" s="15">
        <f>IF(J54="","",J54-IF(L54="",0,L54))</f>
        <v/>
      </c>
      <c r="N54" s="24">
        <f>IF(J54="","",J54-TODAY())</f>
        <v/>
      </c>
      <c r="O54" s="9">
        <f>IF(E54="","",IF(J54="","No date",IF(N54&lt;0,"Expired",IF(N54&lt;=30,"Urgent",IF(N54&lt;=90,"Due soon","OK")))))</f>
        <v/>
      </c>
      <c r="P54" s="22" t="n"/>
      <c r="Q54" s="25" t="n"/>
      <c r="R54" s="22" t="n"/>
      <c r="S54" s="22" t="n"/>
      <c r="T54" s="23" t="n"/>
      <c r="U54" s="22">
        <f>IF(E54="","",IF(J54="","",N54+ROW()/100000))</f>
        <v/>
      </c>
    </row>
    <row r="55">
      <c r="A55" s="9">
        <f>IF(E55="","",COUNTA($E$5:E55))</f>
        <v/>
      </c>
      <c r="B55" s="22" t="inlineStr">
        <is>
          <t>SR9</t>
        </is>
      </c>
      <c r="C55" s="22" t="inlineStr">
        <is>
          <t>AMH Ratchada Co., Ltd.</t>
        </is>
      </c>
      <c r="D55" s="22" t="inlineStr">
        <is>
          <t>Contract - Service</t>
        </is>
      </c>
      <c r="E55" s="23" t="inlineStr">
        <is>
          <t>External audit &amp; tax agent</t>
        </is>
      </c>
      <c r="F55" s="23" t="inlineStr">
        <is>
          <t>สัญญาผู้สอบบัญชีและที่ปรึกษาภาษี</t>
        </is>
      </c>
      <c r="G55" s="23" t="n"/>
      <c r="H55" s="22" t="n"/>
      <c r="I55" s="15" t="n"/>
      <c r="J55" s="15" t="n"/>
      <c r="K55" s="22" t="inlineStr">
        <is>
          <t>Annual</t>
        </is>
      </c>
      <c r="L55" s="22" t="n">
        <v>60</v>
      </c>
      <c r="M55" s="15">
        <f>IF(J55="","",J55-IF(L55="",0,L55))</f>
        <v/>
      </c>
      <c r="N55" s="24">
        <f>IF(J55="","",J55-TODAY())</f>
        <v/>
      </c>
      <c r="O55" s="9">
        <f>IF(E55="","",IF(J55="","No date",IF(N55&lt;0,"Expired",IF(N55&lt;=30,"Urgent",IF(N55&lt;=90,"Due soon","OK")))))</f>
        <v/>
      </c>
      <c r="P55" s="22" t="n"/>
      <c r="Q55" s="25" t="n"/>
      <c r="R55" s="22" t="n"/>
      <c r="S55" s="22" t="n"/>
      <c r="T55" s="23" t="n"/>
      <c r="U55" s="22">
        <f>IF(E55="","",IF(J55="","",N55+ROW()/100000))</f>
        <v/>
      </c>
    </row>
    <row r="56">
      <c r="A56" s="9">
        <f>IF(E56="","",COUNTA($E$5:E56))</f>
        <v/>
      </c>
      <c r="B56" s="22" t="inlineStr">
        <is>
          <t>SR9</t>
        </is>
      </c>
      <c r="C56" s="22" t="inlineStr">
        <is>
          <t>AMH Ratchada Co., Ltd.</t>
        </is>
      </c>
      <c r="D56" s="22" t="inlineStr">
        <is>
          <t>Contract - Utility</t>
        </is>
      </c>
      <c r="E56" s="23" t="inlineStr">
        <is>
          <t>Electricity supply</t>
        </is>
      </c>
      <c r="F56" s="23" t="inlineStr">
        <is>
          <t>สัญญาไฟฟ้า</t>
        </is>
      </c>
      <c r="G56" s="23" t="n"/>
      <c r="H56" s="22" t="n"/>
      <c r="I56" s="15" t="n"/>
      <c r="J56" s="15" t="n"/>
      <c r="K56" s="22" t="inlineStr">
        <is>
          <t>Rolling / evergreen</t>
        </is>
      </c>
      <c r="L56" s="22" t="n">
        <v>60</v>
      </c>
      <c r="M56" s="15">
        <f>IF(J56="","",J56-IF(L56="",0,L56))</f>
        <v/>
      </c>
      <c r="N56" s="24">
        <f>IF(J56="","",J56-TODAY())</f>
        <v/>
      </c>
      <c r="O56" s="9">
        <f>IF(E56="","",IF(J56="","No date",IF(N56&lt;0,"Expired",IF(N56&lt;=30,"Urgent",IF(N56&lt;=90,"Due soon","OK")))))</f>
        <v/>
      </c>
      <c r="P56" s="22" t="n"/>
      <c r="Q56" s="25" t="n"/>
      <c r="R56" s="22" t="n"/>
      <c r="S56" s="22" t="n"/>
      <c r="T56" s="23" t="n"/>
      <c r="U56" s="22">
        <f>IF(E56="","",IF(J56="","",N56+ROW()/100000))</f>
        <v/>
      </c>
    </row>
    <row r="57">
      <c r="A57" s="9">
        <f>IF(E57="","",COUNTA($E$5:E57))</f>
        <v/>
      </c>
      <c r="B57" s="22" t="inlineStr">
        <is>
          <t>SR9</t>
        </is>
      </c>
      <c r="C57" s="22" t="inlineStr">
        <is>
          <t>AMH Ratchada Co., Ltd.</t>
        </is>
      </c>
      <c r="D57" s="22" t="inlineStr">
        <is>
          <t>Contract - Utility</t>
        </is>
      </c>
      <c r="E57" s="23" t="inlineStr">
        <is>
          <t>Water supply</t>
        </is>
      </c>
      <c r="F57" s="23" t="inlineStr">
        <is>
          <t>สัญญาน้ำประปา</t>
        </is>
      </c>
      <c r="G57" s="23" t="n"/>
      <c r="H57" s="22" t="n"/>
      <c r="I57" s="15" t="n"/>
      <c r="J57" s="15" t="n"/>
      <c r="K57" s="22" t="inlineStr">
        <is>
          <t>Rolling / evergreen</t>
        </is>
      </c>
      <c r="L57" s="22" t="n">
        <v>60</v>
      </c>
      <c r="M57" s="15">
        <f>IF(J57="","",J57-IF(L57="",0,L57))</f>
        <v/>
      </c>
      <c r="N57" s="24">
        <f>IF(J57="","",J57-TODAY())</f>
        <v/>
      </c>
      <c r="O57" s="9">
        <f>IF(E57="","",IF(J57="","No date",IF(N57&lt;0,"Expired",IF(N57&lt;=30,"Urgent",IF(N57&lt;=90,"Due soon","OK")))))</f>
        <v/>
      </c>
      <c r="P57" s="22" t="n"/>
      <c r="Q57" s="25" t="n"/>
      <c r="R57" s="22" t="n"/>
      <c r="S57" s="22" t="n"/>
      <c r="T57" s="23" t="n"/>
      <c r="U57" s="22">
        <f>IF(E57="","",IF(J57="","",N57+ROW()/100000))</f>
        <v/>
      </c>
    </row>
    <row r="58">
      <c r="A58" s="9">
        <f>IF(E58="","",COUNTA($E$5:E58))</f>
        <v/>
      </c>
      <c r="B58" s="22" t="inlineStr">
        <is>
          <t>SR9</t>
        </is>
      </c>
      <c r="C58" s="22" t="inlineStr">
        <is>
          <t>AMH Ratchada Co., Ltd.</t>
        </is>
      </c>
      <c r="D58" s="22" t="inlineStr">
        <is>
          <t>Contract - Lease / Finance</t>
        </is>
      </c>
      <c r="E58" s="23" t="inlineStr">
        <is>
          <t>Land / building lease</t>
        </is>
      </c>
      <c r="F58" s="23" t="inlineStr">
        <is>
          <t>สัญญาเช่าที่ดิน / อาคาร</t>
        </is>
      </c>
      <c r="G58" s="23" t="n"/>
      <c r="H58" s="22" t="n"/>
      <c r="I58" s="15" t="n"/>
      <c r="J58" s="15" t="n"/>
      <c r="K58" s="22" t="inlineStr">
        <is>
          <t>Other</t>
        </is>
      </c>
      <c r="L58" s="22" t="n">
        <v>60</v>
      </c>
      <c r="M58" s="15">
        <f>IF(J58="","",J58-IF(L58="",0,L58))</f>
        <v/>
      </c>
      <c r="N58" s="24">
        <f>IF(J58="","",J58-TODAY())</f>
        <v/>
      </c>
      <c r="O58" s="9">
        <f>IF(E58="","",IF(J58="","No date",IF(N58&lt;0,"Expired",IF(N58&lt;=30,"Urgent",IF(N58&lt;=90,"Due soon","OK")))))</f>
        <v/>
      </c>
      <c r="P58" s="22" t="n"/>
      <c r="Q58" s="25" t="n"/>
      <c r="R58" s="22" t="n"/>
      <c r="S58" s="22" t="n"/>
      <c r="T58" s="23" t="n"/>
      <c r="U58" s="22">
        <f>IF(E58="","",IF(J58="","",N58+ROW()/100000))</f>
        <v/>
      </c>
    </row>
    <row r="59">
      <c r="A59" s="9">
        <f>IF(E59="","",COUNTA($E$5:E59))</f>
        <v/>
      </c>
      <c r="B59" s="22" t="inlineStr">
        <is>
          <t>SR9</t>
        </is>
      </c>
      <c r="C59" s="22" t="inlineStr">
        <is>
          <t>AMH Ratchada Co., Ltd.</t>
        </is>
      </c>
      <c r="D59" s="22" t="inlineStr">
        <is>
          <t>Contract - Lease / Finance</t>
        </is>
      </c>
      <c r="E59" s="23" t="inlineStr">
        <is>
          <t>Bank facility / loan agreement</t>
        </is>
      </c>
      <c r="F59" s="23" t="inlineStr">
        <is>
          <t>สัญญาสินเชื่อธนาคาร</t>
        </is>
      </c>
      <c r="G59" s="23" t="n"/>
      <c r="H59" s="22" t="n"/>
      <c r="I59" s="15" t="n"/>
      <c r="J59" s="15" t="n"/>
      <c r="K59" s="22" t="inlineStr">
        <is>
          <t>Other</t>
        </is>
      </c>
      <c r="L59" s="22" t="n">
        <v>60</v>
      </c>
      <c r="M59" s="15">
        <f>IF(J59="","",J59-IF(L59="",0,L59))</f>
        <v/>
      </c>
      <c r="N59" s="24">
        <f>IF(J59="","",J59-TODAY())</f>
        <v/>
      </c>
      <c r="O59" s="9">
        <f>IF(E59="","",IF(J59="","No date",IF(N59&lt;0,"Expired",IF(N59&lt;=30,"Urgent",IF(N59&lt;=90,"Due soon","OK")))))</f>
        <v/>
      </c>
      <c r="P59" s="22" t="n"/>
      <c r="Q59" s="25" t="n"/>
      <c r="R59" s="22" t="n"/>
      <c r="S59" s="22" t="n"/>
      <c r="T59" s="23" t="n"/>
      <c r="U59" s="22">
        <f>IF(E59="","",IF(J59="","",N59+ROW()/100000))</f>
        <v/>
      </c>
    </row>
    <row r="60">
      <c r="A60" s="9">
        <f>IF(E60="","",COUNTA($E$5:E60))</f>
        <v/>
      </c>
      <c r="B60" s="22" t="inlineStr">
        <is>
          <t>AES</t>
        </is>
      </c>
      <c r="C60" s="22" t="inlineStr">
        <is>
          <t>AMH Sathorn Co., Ltd.</t>
        </is>
      </c>
      <c r="D60" s="22" t="inlineStr">
        <is>
          <t>Licence</t>
        </is>
      </c>
      <c r="E60" s="23" t="inlineStr">
        <is>
          <t>Hotel operating licence</t>
        </is>
      </c>
      <c r="F60" s="23" t="inlineStr">
        <is>
          <t>ใบอนุญาตประกอบธุรกิจโรงแรม</t>
        </is>
      </c>
      <c r="G60" s="23" t="inlineStr">
        <is>
          <t>Dept. of Provincial Administration / District Office</t>
        </is>
      </c>
      <c r="H60" s="22" t="n"/>
      <c r="I60" s="15" t="n"/>
      <c r="J60" s="15" t="n"/>
      <c r="K60" s="22" t="inlineStr">
        <is>
          <t>Every 5 years</t>
        </is>
      </c>
      <c r="L60" s="22" t="n">
        <v>60</v>
      </c>
      <c r="M60" s="15">
        <f>IF(J60="","",J60-IF(L60="",0,L60))</f>
        <v/>
      </c>
      <c r="N60" s="24">
        <f>IF(J60="","",J60-TODAY())</f>
        <v/>
      </c>
      <c r="O60" s="9">
        <f>IF(E60="","",IF(J60="","No date",IF(N60&lt;0,"Expired",IF(N60&lt;=30,"Urgent",IF(N60&lt;=90,"Due soon","OK")))))</f>
        <v/>
      </c>
      <c r="P60" s="22" t="n"/>
      <c r="Q60" s="25" t="n"/>
      <c r="R60" s="22" t="n"/>
      <c r="S60" s="22" t="n"/>
      <c r="T60" s="23" t="n"/>
      <c r="U60" s="22">
        <f>IF(E60="","",IF(J60="","",N60+ROW()/100000))</f>
        <v/>
      </c>
    </row>
    <row r="61">
      <c r="A61" s="9">
        <f>IF(E61="","",COUNTA($E$5:E61))</f>
        <v/>
      </c>
      <c r="B61" s="22" t="inlineStr">
        <is>
          <t>AES</t>
        </is>
      </c>
      <c r="C61" s="22" t="inlineStr">
        <is>
          <t>AMH Sathorn Co., Ltd.</t>
        </is>
      </c>
      <c r="D61" s="22" t="inlineStr">
        <is>
          <t>Licence</t>
        </is>
      </c>
      <c r="E61" s="23" t="inlineStr">
        <is>
          <t>Hotel manager licence</t>
        </is>
      </c>
      <c r="F61" s="23" t="inlineStr">
        <is>
          <t>ใบอนุญาตผู้จัดการโรงแรม</t>
        </is>
      </c>
      <c r="G61" s="23" t="inlineStr">
        <is>
          <t>Dept. of Provincial Administration / District Office</t>
        </is>
      </c>
      <c r="H61" s="22" t="n"/>
      <c r="I61" s="15" t="n"/>
      <c r="J61" s="15" t="n"/>
      <c r="K61" s="22" t="inlineStr">
        <is>
          <t>Every 5 years</t>
        </is>
      </c>
      <c r="L61" s="22" t="n">
        <v>60</v>
      </c>
      <c r="M61" s="15">
        <f>IF(J61="","",J61-IF(L61="",0,L61))</f>
        <v/>
      </c>
      <c r="N61" s="24">
        <f>IF(J61="","",J61-TODAY())</f>
        <v/>
      </c>
      <c r="O61" s="9">
        <f>IF(E61="","",IF(J61="","No date",IF(N61&lt;0,"Expired",IF(N61&lt;=30,"Urgent",IF(N61&lt;=90,"Due soon","OK")))))</f>
        <v/>
      </c>
      <c r="P61" s="22" t="n"/>
      <c r="Q61" s="25" t="n"/>
      <c r="R61" s="22" t="n"/>
      <c r="S61" s="22" t="n"/>
      <c r="T61" s="23" t="n"/>
      <c r="U61" s="22">
        <f>IF(E61="","",IF(J61="","",N61+ROW()/100000))</f>
        <v/>
      </c>
    </row>
    <row r="62">
      <c r="A62" s="9">
        <f>IF(E62="","",COUNTA($E$5:E62))</f>
        <v/>
      </c>
      <c r="B62" s="22" t="inlineStr">
        <is>
          <t>AES</t>
        </is>
      </c>
      <c r="C62" s="22" t="inlineStr">
        <is>
          <t>AMH Sathorn Co., Ltd.</t>
        </is>
      </c>
      <c r="D62" s="22" t="inlineStr">
        <is>
          <t>Permit</t>
        </is>
      </c>
      <c r="E62" s="23" t="inlineStr">
        <is>
          <t>Building construction permit (อ.1)</t>
        </is>
      </c>
      <c r="F62" s="23" t="inlineStr">
        <is>
          <t>ใบอนุญาตก่อสร้างอาคาร (อ.1)</t>
        </is>
      </c>
      <c r="G62" s="23" t="inlineStr">
        <is>
          <t>Local authority (BMA / City Municipality)</t>
        </is>
      </c>
      <c r="H62" s="22" t="n"/>
      <c r="I62" s="15" t="n"/>
      <c r="J62" s="15" t="n"/>
      <c r="K62" s="22" t="inlineStr">
        <is>
          <t>One-off</t>
        </is>
      </c>
      <c r="L62" s="22" t="n">
        <v>60</v>
      </c>
      <c r="M62" s="15">
        <f>IF(J62="","",J62-IF(L62="",0,L62))</f>
        <v/>
      </c>
      <c r="N62" s="24">
        <f>IF(J62="","",J62-TODAY())</f>
        <v/>
      </c>
      <c r="O62" s="9">
        <f>IF(E62="","",IF(J62="","No date",IF(N62&lt;0,"Expired",IF(N62&lt;=30,"Urgent",IF(N62&lt;=90,"Due soon","OK")))))</f>
        <v/>
      </c>
      <c r="P62" s="22" t="n"/>
      <c r="Q62" s="25" t="n"/>
      <c r="R62" s="22" t="n"/>
      <c r="S62" s="22" t="n"/>
      <c r="T62" s="23" t="n"/>
      <c r="U62" s="22">
        <f>IF(E62="","",IF(J62="","",N62+ROW()/100000))</f>
        <v/>
      </c>
    </row>
    <row r="63">
      <c r="A63" s="9">
        <f>IF(E63="","",COUNTA($E$5:E63))</f>
        <v/>
      </c>
      <c r="B63" s="22" t="inlineStr">
        <is>
          <t>AES</t>
        </is>
      </c>
      <c r="C63" s="22" t="inlineStr">
        <is>
          <t>AMH Sathorn Co., Ltd.</t>
        </is>
      </c>
      <c r="D63" s="22" t="inlineStr">
        <is>
          <t>Certificate</t>
        </is>
      </c>
      <c r="E63" s="23" t="inlineStr">
        <is>
          <t>Certificate of building use (อ.6)</t>
        </is>
      </c>
      <c r="F63" s="23" t="inlineStr">
        <is>
          <t>ใบรับรองการใช้อาคาร (อ.6)</t>
        </is>
      </c>
      <c r="G63" s="23" t="inlineStr">
        <is>
          <t>Local authority (BMA / City Municipality)</t>
        </is>
      </c>
      <c r="H63" s="22" t="n"/>
      <c r="I63" s="15" t="n"/>
      <c r="J63" s="15" t="n"/>
      <c r="K63" s="22" t="inlineStr">
        <is>
          <t>One-off</t>
        </is>
      </c>
      <c r="L63" s="22" t="n">
        <v>60</v>
      </c>
      <c r="M63" s="15">
        <f>IF(J63="","",J63-IF(L63="",0,L63))</f>
        <v/>
      </c>
      <c r="N63" s="24">
        <f>IF(J63="","",J63-TODAY())</f>
        <v/>
      </c>
      <c r="O63" s="9">
        <f>IF(E63="","",IF(J63="","No date",IF(N63&lt;0,"Expired",IF(N63&lt;=30,"Urgent",IF(N63&lt;=90,"Due soon","OK")))))</f>
        <v/>
      </c>
      <c r="P63" s="22" t="n"/>
      <c r="Q63" s="25" t="n"/>
      <c r="R63" s="22" t="n"/>
      <c r="S63" s="22" t="n"/>
      <c r="T63" s="23" t="n"/>
      <c r="U63" s="22">
        <f>IF(E63="","",IF(J63="","",N63+ROW()/100000))</f>
        <v/>
      </c>
    </row>
    <row r="64">
      <c r="A64" s="9">
        <f>IF(E64="","",COUNTA($E$5:E64))</f>
        <v/>
      </c>
      <c r="B64" s="22" t="inlineStr">
        <is>
          <t>AES</t>
        </is>
      </c>
      <c r="C64" s="22" t="inlineStr">
        <is>
          <t>AMH Sathorn Co., Ltd.</t>
        </is>
      </c>
      <c r="D64" s="22" t="inlineStr">
        <is>
          <t>Certificate</t>
        </is>
      </c>
      <c r="E64" s="23" t="inlineStr">
        <is>
          <t>Annual building inspection report (ร.1)</t>
        </is>
      </c>
      <c r="F64" s="23" t="inlineStr">
        <is>
          <t>รายงานการตรวจสอบอาคารประจำปี (ร.1)</t>
        </is>
      </c>
      <c r="G64" s="23" t="inlineStr">
        <is>
          <t>Dept. of Public Works / local authority</t>
        </is>
      </c>
      <c r="H64" s="22" t="n"/>
      <c r="I64" s="15" t="n"/>
      <c r="J64" s="15" t="n"/>
      <c r="K64" s="22" t="inlineStr">
        <is>
          <t>Annual</t>
        </is>
      </c>
      <c r="L64" s="22" t="n">
        <v>60</v>
      </c>
      <c r="M64" s="15">
        <f>IF(J64="","",J64-IF(L64="",0,L64))</f>
        <v/>
      </c>
      <c r="N64" s="24">
        <f>IF(J64="","",J64-TODAY())</f>
        <v/>
      </c>
      <c r="O64" s="9">
        <f>IF(E64="","",IF(J64="","No date",IF(N64&lt;0,"Expired",IF(N64&lt;=30,"Urgent",IF(N64&lt;=90,"Due soon","OK")))))</f>
        <v/>
      </c>
      <c r="P64" s="22" t="n"/>
      <c r="Q64" s="25" t="n"/>
      <c r="R64" s="22" t="n"/>
      <c r="S64" s="22" t="n"/>
      <c r="T64" s="23" t="n"/>
      <c r="U64" s="22">
        <f>IF(E64="","",IF(J64="","",N64+ROW()/100000))</f>
        <v/>
      </c>
    </row>
    <row r="65">
      <c r="A65" s="9">
        <f>IF(E65="","",COUNTA($E$5:E65))</f>
        <v/>
      </c>
      <c r="B65" s="22" t="inlineStr">
        <is>
          <t>AES</t>
        </is>
      </c>
      <c r="C65" s="22" t="inlineStr">
        <is>
          <t>AMH Sathorn Co., Ltd.</t>
        </is>
      </c>
      <c r="D65" s="22" t="inlineStr">
        <is>
          <t>Certificate</t>
        </is>
      </c>
      <c r="E65" s="23" t="inlineStr">
        <is>
          <t>Fire protection system inspection</t>
        </is>
      </c>
      <c r="F65" s="23" t="inlineStr">
        <is>
          <t>การตรวจสอบระบบป้องกันอัคคีภัย</t>
        </is>
      </c>
      <c r="G65" s="23" t="inlineStr">
        <is>
          <t>Licensed inspector</t>
        </is>
      </c>
      <c r="H65" s="22" t="n"/>
      <c r="I65" s="15" t="n"/>
      <c r="J65" s="15" t="n"/>
      <c r="K65" s="22" t="inlineStr">
        <is>
          <t>Annual</t>
        </is>
      </c>
      <c r="L65" s="22" t="n">
        <v>60</v>
      </c>
      <c r="M65" s="15">
        <f>IF(J65="","",J65-IF(L65="",0,L65))</f>
        <v/>
      </c>
      <c r="N65" s="24">
        <f>IF(J65="","",J65-TODAY())</f>
        <v/>
      </c>
      <c r="O65" s="9">
        <f>IF(E65="","",IF(J65="","No date",IF(N65&lt;0,"Expired",IF(N65&lt;=30,"Urgent",IF(N65&lt;=90,"Due soon","OK")))))</f>
        <v/>
      </c>
      <c r="P65" s="22" t="n"/>
      <c r="Q65" s="25" t="n"/>
      <c r="R65" s="22" t="n"/>
      <c r="S65" s="22" t="n"/>
      <c r="T65" s="23" t="n"/>
      <c r="U65" s="22">
        <f>IF(E65="","",IF(J65="","",N65+ROW()/100000))</f>
        <v/>
      </c>
    </row>
    <row r="66">
      <c r="A66" s="9">
        <f>IF(E66="","",COUNTA($E$5:E66))</f>
        <v/>
      </c>
      <c r="B66" s="22" t="inlineStr">
        <is>
          <t>AES</t>
        </is>
      </c>
      <c r="C66" s="22" t="inlineStr">
        <is>
          <t>AMH Sathorn Co., Ltd.</t>
        </is>
      </c>
      <c r="D66" s="22" t="inlineStr">
        <is>
          <t>Certificate</t>
        </is>
      </c>
      <c r="E66" s="23" t="inlineStr">
        <is>
          <t>Lift / elevator inspection certificate</t>
        </is>
      </c>
      <c r="F66" s="23" t="inlineStr">
        <is>
          <t>ใบรับรองการตรวจสอบลิฟต์</t>
        </is>
      </c>
      <c r="G66" s="23" t="inlineStr">
        <is>
          <t>Licensed engineer</t>
        </is>
      </c>
      <c r="H66" s="22" t="n"/>
      <c r="I66" s="15" t="n"/>
      <c r="J66" s="15" t="n"/>
      <c r="K66" s="22" t="inlineStr">
        <is>
          <t>Annual</t>
        </is>
      </c>
      <c r="L66" s="22" t="n">
        <v>60</v>
      </c>
      <c r="M66" s="15">
        <f>IF(J66="","",J66-IF(L66="",0,L66))</f>
        <v/>
      </c>
      <c r="N66" s="24">
        <f>IF(J66="","",J66-TODAY())</f>
        <v/>
      </c>
      <c r="O66" s="9">
        <f>IF(E66="","",IF(J66="","No date",IF(N66&lt;0,"Expired",IF(N66&lt;=30,"Urgent",IF(N66&lt;=90,"Due soon","OK")))))</f>
        <v/>
      </c>
      <c r="P66" s="22" t="n"/>
      <c r="Q66" s="25" t="n"/>
      <c r="R66" s="22" t="n"/>
      <c r="S66" s="22" t="n"/>
      <c r="T66" s="23" t="n"/>
      <c r="U66" s="22">
        <f>IF(E66="","",IF(J66="","",N66+ROW()/100000))</f>
        <v/>
      </c>
    </row>
    <row r="67">
      <c r="A67" s="9">
        <f>IF(E67="","",COUNTA($E$5:E67))</f>
        <v/>
      </c>
      <c r="B67" s="22" t="inlineStr">
        <is>
          <t>AES</t>
        </is>
      </c>
      <c r="C67" s="22" t="inlineStr">
        <is>
          <t>AMH Sathorn Co., Ltd.</t>
        </is>
      </c>
      <c r="D67" s="22" t="inlineStr">
        <is>
          <t>Certificate</t>
        </is>
      </c>
      <c r="E67" s="23" t="inlineStr">
        <is>
          <t>Electrical system inspection</t>
        </is>
      </c>
      <c r="F67" s="23" t="inlineStr">
        <is>
          <t>การตรวจสอบระบบไฟฟ้า</t>
        </is>
      </c>
      <c r="G67" s="23" t="inlineStr">
        <is>
          <t>Licensed engineer</t>
        </is>
      </c>
      <c r="H67" s="22" t="n"/>
      <c r="I67" s="15" t="n"/>
      <c r="J67" s="15" t="n"/>
      <c r="K67" s="22" t="inlineStr">
        <is>
          <t>Annual</t>
        </is>
      </c>
      <c r="L67" s="22" t="n">
        <v>60</v>
      </c>
      <c r="M67" s="15">
        <f>IF(J67="","",J67-IF(L67="",0,L67))</f>
        <v/>
      </c>
      <c r="N67" s="24">
        <f>IF(J67="","",J67-TODAY())</f>
        <v/>
      </c>
      <c r="O67" s="9">
        <f>IF(E67="","",IF(J67="","No date",IF(N67&lt;0,"Expired",IF(N67&lt;=30,"Urgent",IF(N67&lt;=90,"Due soon","OK")))))</f>
        <v/>
      </c>
      <c r="P67" s="22" t="n"/>
      <c r="Q67" s="25" t="n"/>
      <c r="R67" s="22" t="n"/>
      <c r="S67" s="22" t="n"/>
      <c r="T67" s="23" t="n"/>
      <c r="U67" s="22">
        <f>IF(E67="","",IF(J67="","",N67+ROW()/100000))</f>
        <v/>
      </c>
    </row>
    <row r="68">
      <c r="A68" s="9">
        <f>IF(E68="","",COUNTA($E$5:E68))</f>
        <v/>
      </c>
      <c r="B68" s="22" t="inlineStr">
        <is>
          <t>AES</t>
        </is>
      </c>
      <c r="C68" s="22" t="inlineStr">
        <is>
          <t>AMH Sathorn Co., Ltd.</t>
        </is>
      </c>
      <c r="D68" s="22" t="inlineStr">
        <is>
          <t>Certificate</t>
        </is>
      </c>
      <c r="E68" s="23" t="inlineStr">
        <is>
          <t>Generator / fuel storage permit</t>
        </is>
      </c>
      <c r="F68" s="23" t="inlineStr">
        <is>
          <t>ใบอนุญาตเครื่องกำเนิดไฟฟ้า / เก็บน้ำมันเชื้อเพลิง</t>
        </is>
      </c>
      <c r="G68" s="23" t="inlineStr">
        <is>
          <t>Dept. of Energy Business / local authority</t>
        </is>
      </c>
      <c r="H68" s="22" t="n"/>
      <c r="I68" s="15" t="n"/>
      <c r="J68" s="15" t="n"/>
      <c r="K68" s="22" t="inlineStr">
        <is>
          <t>Annual</t>
        </is>
      </c>
      <c r="L68" s="22" t="n">
        <v>60</v>
      </c>
      <c r="M68" s="15">
        <f>IF(J68="","",J68-IF(L68="",0,L68))</f>
        <v/>
      </c>
      <c r="N68" s="24">
        <f>IF(J68="","",J68-TODAY())</f>
        <v/>
      </c>
      <c r="O68" s="9">
        <f>IF(E68="","",IF(J68="","No date",IF(N68&lt;0,"Expired",IF(N68&lt;=30,"Urgent",IF(N68&lt;=90,"Due soon","OK")))))</f>
        <v/>
      </c>
      <c r="P68" s="22" t="n"/>
      <c r="Q68" s="25" t="n"/>
      <c r="R68" s="22" t="n"/>
      <c r="S68" s="22" t="n"/>
      <c r="T68" s="23" t="n"/>
      <c r="U68" s="22">
        <f>IF(E68="","",IF(J68="","",N68+ROW()/100000))</f>
        <v/>
      </c>
    </row>
    <row r="69">
      <c r="A69" s="9">
        <f>IF(E69="","",COUNTA($E$5:E69))</f>
        <v/>
      </c>
      <c r="B69" s="22" t="inlineStr">
        <is>
          <t>AES</t>
        </is>
      </c>
      <c r="C69" s="22" t="inlineStr">
        <is>
          <t>AMH Sathorn Co., Ltd.</t>
        </is>
      </c>
      <c r="D69" s="22" t="inlineStr">
        <is>
          <t>Certificate</t>
        </is>
      </c>
      <c r="E69" s="23" t="inlineStr">
        <is>
          <t>Boiler / pressure vessel inspection</t>
        </is>
      </c>
      <c r="F69" s="23" t="inlineStr">
        <is>
          <t>การตรวจสอบหม้อไอน้ำ / ภาชนะรับแรงดัน</t>
        </is>
      </c>
      <c r="G69" s="23" t="inlineStr">
        <is>
          <t>Licensed engineer</t>
        </is>
      </c>
      <c r="H69" s="22" t="n"/>
      <c r="I69" s="15" t="n"/>
      <c r="J69" s="15" t="n"/>
      <c r="K69" s="22" t="inlineStr">
        <is>
          <t>Annual</t>
        </is>
      </c>
      <c r="L69" s="22" t="n">
        <v>60</v>
      </c>
      <c r="M69" s="15">
        <f>IF(J69="","",J69-IF(L69="",0,L69))</f>
        <v/>
      </c>
      <c r="N69" s="24">
        <f>IF(J69="","",J69-TODAY())</f>
        <v/>
      </c>
      <c r="O69" s="9">
        <f>IF(E69="","",IF(J69="","No date",IF(N69&lt;0,"Expired",IF(N69&lt;=30,"Urgent",IF(N69&lt;=90,"Due soon","OK")))))</f>
        <v/>
      </c>
      <c r="P69" s="22" t="n"/>
      <c r="Q69" s="25" t="n"/>
      <c r="R69" s="22" t="n"/>
      <c r="S69" s="22" t="n"/>
      <c r="T69" s="23" t="n"/>
      <c r="U69" s="22">
        <f>IF(E69="","",IF(J69="","",N69+ROW()/100000))</f>
        <v/>
      </c>
    </row>
    <row r="70">
      <c r="A70" s="9">
        <f>IF(E70="","",COUNTA($E$5:E70))</f>
        <v/>
      </c>
      <c r="B70" s="22" t="inlineStr">
        <is>
          <t>AES</t>
        </is>
      </c>
      <c r="C70" s="22" t="inlineStr">
        <is>
          <t>AMH Sathorn Co., Ltd.</t>
        </is>
      </c>
      <c r="D70" s="22" t="inlineStr">
        <is>
          <t>Licence</t>
        </is>
      </c>
      <c r="E70" s="23" t="inlineStr">
        <is>
          <t>Food establishment licence</t>
        </is>
      </c>
      <c r="F70" s="23" t="inlineStr">
        <is>
          <t>ใบอนุญาตสถานที่จำหน่ายอาหาร/สะสมอาหาร</t>
        </is>
      </c>
      <c r="G70" s="23" t="inlineStr">
        <is>
          <t>Local authority (BMA / City Municipality)</t>
        </is>
      </c>
      <c r="H70" s="22" t="n"/>
      <c r="I70" s="15" t="n"/>
      <c r="J70" s="15" t="n"/>
      <c r="K70" s="22" t="inlineStr">
        <is>
          <t>Annual</t>
        </is>
      </c>
      <c r="L70" s="22" t="n">
        <v>60</v>
      </c>
      <c r="M70" s="15">
        <f>IF(J70="","",J70-IF(L70="",0,L70))</f>
        <v/>
      </c>
      <c r="N70" s="24">
        <f>IF(J70="","",J70-TODAY())</f>
        <v/>
      </c>
      <c r="O70" s="9">
        <f>IF(E70="","",IF(J70="","No date",IF(N70&lt;0,"Expired",IF(N70&lt;=30,"Urgent",IF(N70&lt;=90,"Due soon","OK")))))</f>
        <v/>
      </c>
      <c r="P70" s="22" t="n"/>
      <c r="Q70" s="25" t="n"/>
      <c r="R70" s="22" t="n"/>
      <c r="S70" s="22" t="n"/>
      <c r="T70" s="23" t="n"/>
      <c r="U70" s="22">
        <f>IF(E70="","",IF(J70="","",N70+ROW()/100000))</f>
        <v/>
      </c>
    </row>
    <row r="71">
      <c r="A71" s="9">
        <f>IF(E71="","",COUNTA($E$5:E71))</f>
        <v/>
      </c>
      <c r="B71" s="22" t="inlineStr">
        <is>
          <t>AES</t>
        </is>
      </c>
      <c r="C71" s="22" t="inlineStr">
        <is>
          <t>AMH Sathorn Co., Ltd.</t>
        </is>
      </c>
      <c r="D71" s="22" t="inlineStr">
        <is>
          <t>Licence</t>
        </is>
      </c>
      <c r="E71" s="23" t="inlineStr">
        <is>
          <t>Alcohol sale licence</t>
        </is>
      </c>
      <c r="F71" s="23" t="inlineStr">
        <is>
          <t>ใบอนุญาตขายสุรา</t>
        </is>
      </c>
      <c r="G71" s="23" t="inlineStr">
        <is>
          <t>Excise Department</t>
        </is>
      </c>
      <c r="H71" s="22" t="n"/>
      <c r="I71" s="15" t="n"/>
      <c r="J71" s="15" t="n"/>
      <c r="K71" s="22" t="inlineStr">
        <is>
          <t>Annual</t>
        </is>
      </c>
      <c r="L71" s="22" t="n">
        <v>60</v>
      </c>
      <c r="M71" s="15">
        <f>IF(J71="","",J71-IF(L71="",0,L71))</f>
        <v/>
      </c>
      <c r="N71" s="24">
        <f>IF(J71="","",J71-TODAY())</f>
        <v/>
      </c>
      <c r="O71" s="9">
        <f>IF(E71="","",IF(J71="","No date",IF(N71&lt;0,"Expired",IF(N71&lt;=30,"Urgent",IF(N71&lt;=90,"Due soon","OK")))))</f>
        <v/>
      </c>
      <c r="P71" s="22" t="n"/>
      <c r="Q71" s="25" t="n"/>
      <c r="R71" s="22" t="n"/>
      <c r="S71" s="22" t="n"/>
      <c r="T71" s="23" t="n"/>
      <c r="U71" s="22">
        <f>IF(E71="","",IF(J71="","",N71+ROW()/100000))</f>
        <v/>
      </c>
    </row>
    <row r="72">
      <c r="A72" s="9">
        <f>IF(E72="","",COUNTA($E$5:E72))</f>
        <v/>
      </c>
      <c r="B72" s="22" t="inlineStr">
        <is>
          <t>AES</t>
        </is>
      </c>
      <c r="C72" s="22" t="inlineStr">
        <is>
          <t>AMH Sathorn Co., Ltd.</t>
        </is>
      </c>
      <c r="D72" s="22" t="inlineStr">
        <is>
          <t>Licence</t>
        </is>
      </c>
      <c r="E72" s="23" t="inlineStr">
        <is>
          <t>Tobacco sale licence</t>
        </is>
      </c>
      <c r="F72" s="23" t="inlineStr">
        <is>
          <t>ใบอนุญาตขายยาสูบ</t>
        </is>
      </c>
      <c r="G72" s="23" t="inlineStr">
        <is>
          <t>Excise Department</t>
        </is>
      </c>
      <c r="H72" s="22" t="n"/>
      <c r="I72" s="15" t="n"/>
      <c r="J72" s="15" t="n"/>
      <c r="K72" s="22" t="inlineStr">
        <is>
          <t>Annual</t>
        </is>
      </c>
      <c r="L72" s="22" t="n">
        <v>60</v>
      </c>
      <c r="M72" s="15">
        <f>IF(J72="","",J72-IF(L72="",0,L72))</f>
        <v/>
      </c>
      <c r="N72" s="24">
        <f>IF(J72="","",J72-TODAY())</f>
        <v/>
      </c>
      <c r="O72" s="9">
        <f>IF(E72="","",IF(J72="","No date",IF(N72&lt;0,"Expired",IF(N72&lt;=30,"Urgent",IF(N72&lt;=90,"Due soon","OK")))))</f>
        <v/>
      </c>
      <c r="P72" s="22" t="n"/>
      <c r="Q72" s="25" t="n"/>
      <c r="R72" s="22" t="n"/>
      <c r="S72" s="22" t="n"/>
      <c r="T72" s="23" t="n"/>
      <c r="U72" s="22">
        <f>IF(E72="","",IF(J72="","",N72+ROW()/100000))</f>
        <v/>
      </c>
    </row>
    <row r="73">
      <c r="A73" s="9">
        <f>IF(E73="","",COUNTA($E$5:E73))</f>
        <v/>
      </c>
      <c r="B73" s="22" t="inlineStr">
        <is>
          <t>AES</t>
        </is>
      </c>
      <c r="C73" s="22" t="inlineStr">
        <is>
          <t>AMH Sathorn Co., Ltd.</t>
        </is>
      </c>
      <c r="D73" s="22" t="inlineStr">
        <is>
          <t>Licence</t>
        </is>
      </c>
      <c r="E73" s="23" t="inlineStr">
        <is>
          <t>Swimming pool / public place licence</t>
        </is>
      </c>
      <c r="F73" s="23" t="inlineStr">
        <is>
          <t>ใบอนุญาตสถานที่สาธารณะ (สระว่ายน้ำ)</t>
        </is>
      </c>
      <c r="G73" s="23" t="inlineStr">
        <is>
          <t>Local authority (BMA / City Municipality)</t>
        </is>
      </c>
      <c r="H73" s="22" t="n"/>
      <c r="I73" s="15" t="n"/>
      <c r="J73" s="15" t="n"/>
      <c r="K73" s="22" t="inlineStr">
        <is>
          <t>Annual</t>
        </is>
      </c>
      <c r="L73" s="22" t="n">
        <v>60</v>
      </c>
      <c r="M73" s="15">
        <f>IF(J73="","",J73-IF(L73="",0,L73))</f>
        <v/>
      </c>
      <c r="N73" s="24">
        <f>IF(J73="","",J73-TODAY())</f>
        <v/>
      </c>
      <c r="O73" s="9">
        <f>IF(E73="","",IF(J73="","No date",IF(N73&lt;0,"Expired",IF(N73&lt;=30,"Urgent",IF(N73&lt;=90,"Due soon","OK")))))</f>
        <v/>
      </c>
      <c r="P73" s="22" t="n"/>
      <c r="Q73" s="25" t="n"/>
      <c r="R73" s="22" t="n"/>
      <c r="S73" s="22" t="n"/>
      <c r="T73" s="23" t="n"/>
      <c r="U73" s="22">
        <f>IF(E73="","",IF(J73="","",N73+ROW()/100000))</f>
        <v/>
      </c>
    </row>
    <row r="74">
      <c r="A74" s="9">
        <f>IF(E74="","",COUNTA($E$5:E74))</f>
        <v/>
      </c>
      <c r="B74" s="22" t="inlineStr">
        <is>
          <t>AES</t>
        </is>
      </c>
      <c r="C74" s="22" t="inlineStr">
        <is>
          <t>AMH Sathorn Co., Ltd.</t>
        </is>
      </c>
      <c r="D74" s="22" t="inlineStr">
        <is>
          <t>Certificate</t>
        </is>
      </c>
      <c r="E74" s="23" t="inlineStr">
        <is>
          <t>Swimming pool water quality test</t>
        </is>
      </c>
      <c r="F74" s="23" t="inlineStr">
        <is>
          <t>ผลตรวจคุณภาพน้ำสระว่ายน้ำ</t>
        </is>
      </c>
      <c r="G74" s="23" t="inlineStr">
        <is>
          <t>Accredited laboratory</t>
        </is>
      </c>
      <c r="H74" s="22" t="n"/>
      <c r="I74" s="15" t="n"/>
      <c r="J74" s="15" t="n"/>
      <c r="K74" s="22" t="inlineStr">
        <is>
          <t>Other</t>
        </is>
      </c>
      <c r="L74" s="22" t="n">
        <v>60</v>
      </c>
      <c r="M74" s="15">
        <f>IF(J74="","",J74-IF(L74="",0,L74))</f>
        <v/>
      </c>
      <c r="N74" s="24">
        <f>IF(J74="","",J74-TODAY())</f>
        <v/>
      </c>
      <c r="O74" s="9">
        <f>IF(E74="","",IF(J74="","No date",IF(N74&lt;0,"Expired",IF(N74&lt;=30,"Urgent",IF(N74&lt;=90,"Due soon","OK")))))</f>
        <v/>
      </c>
      <c r="P74" s="22" t="n"/>
      <c r="Q74" s="25" t="n"/>
      <c r="R74" s="22" t="n"/>
      <c r="S74" s="22" t="n"/>
      <c r="T74" s="23" t="n"/>
      <c r="U74" s="22">
        <f>IF(E74="","",IF(J74="","",N74+ROW()/100000))</f>
        <v/>
      </c>
    </row>
    <row r="75">
      <c r="A75" s="9">
        <f>IF(E75="","",COUNTA($E$5:E75))</f>
        <v/>
      </c>
      <c r="B75" s="22" t="inlineStr">
        <is>
          <t>AES</t>
        </is>
      </c>
      <c r="C75" s="22" t="inlineStr">
        <is>
          <t>AMH Sathorn Co., Ltd.</t>
        </is>
      </c>
      <c r="D75" s="22" t="inlineStr">
        <is>
          <t>Certificate</t>
        </is>
      </c>
      <c r="E75" s="23" t="inlineStr">
        <is>
          <t>Drinking / potable water quality test</t>
        </is>
      </c>
      <c r="F75" s="23" t="inlineStr">
        <is>
          <t>ผลตรวจคุณภาพน้ำดื่ม</t>
        </is>
      </c>
      <c r="G75" s="23" t="inlineStr">
        <is>
          <t>Accredited laboratory</t>
        </is>
      </c>
      <c r="H75" s="22" t="n"/>
      <c r="I75" s="15" t="n"/>
      <c r="J75" s="15" t="n"/>
      <c r="K75" s="22" t="inlineStr">
        <is>
          <t>Annual</t>
        </is>
      </c>
      <c r="L75" s="22" t="n">
        <v>60</v>
      </c>
      <c r="M75" s="15">
        <f>IF(J75="","",J75-IF(L75="",0,L75))</f>
        <v/>
      </c>
      <c r="N75" s="24">
        <f>IF(J75="","",J75-TODAY())</f>
        <v/>
      </c>
      <c r="O75" s="9">
        <f>IF(E75="","",IF(J75="","No date",IF(N75&lt;0,"Expired",IF(N75&lt;=30,"Urgent",IF(N75&lt;=90,"Due soon","OK")))))</f>
        <v/>
      </c>
      <c r="P75" s="22" t="n"/>
      <c r="Q75" s="25" t="n"/>
      <c r="R75" s="22" t="n"/>
      <c r="S75" s="22" t="n"/>
      <c r="T75" s="23" t="n"/>
      <c r="U75" s="22">
        <f>IF(E75="","",IF(J75="","",N75+ROW()/100000))</f>
        <v/>
      </c>
    </row>
    <row r="76">
      <c r="A76" s="9">
        <f>IF(E76="","",COUNTA($E$5:E76))</f>
        <v/>
      </c>
      <c r="B76" s="22" t="inlineStr">
        <is>
          <t>AES</t>
        </is>
      </c>
      <c r="C76" s="22" t="inlineStr">
        <is>
          <t>AMH Sathorn Co., Ltd.</t>
        </is>
      </c>
      <c r="D76" s="22" t="inlineStr">
        <is>
          <t>Certificate</t>
        </is>
      </c>
      <c r="E76" s="23" t="inlineStr">
        <is>
          <t>Wastewater treatment monitoring report</t>
        </is>
      </c>
      <c r="F76" s="23" t="inlineStr">
        <is>
          <t>รายงานผลการตรวจวัดคุณภาพน้ำทิ้ง</t>
        </is>
      </c>
      <c r="G76" s="23" t="inlineStr">
        <is>
          <t>Dept. of Pollution Control / local authority</t>
        </is>
      </c>
      <c r="H76" s="22" t="n"/>
      <c r="I76" s="15" t="n"/>
      <c r="J76" s="15" t="n"/>
      <c r="K76" s="22" t="inlineStr">
        <is>
          <t>Other</t>
        </is>
      </c>
      <c r="L76" s="22" t="n">
        <v>60</v>
      </c>
      <c r="M76" s="15">
        <f>IF(J76="","",J76-IF(L76="",0,L76))</f>
        <v/>
      </c>
      <c r="N76" s="24">
        <f>IF(J76="","",J76-TODAY())</f>
        <v/>
      </c>
      <c r="O76" s="9">
        <f>IF(E76="","",IF(J76="","No date",IF(N76&lt;0,"Expired",IF(N76&lt;=30,"Urgent",IF(N76&lt;=90,"Due soon","OK")))))</f>
        <v/>
      </c>
      <c r="P76" s="22" t="n"/>
      <c r="Q76" s="25" t="n"/>
      <c r="R76" s="22" t="n"/>
      <c r="S76" s="22" t="n"/>
      <c r="T76" s="23" t="n"/>
      <c r="U76" s="22">
        <f>IF(E76="","",IF(J76="","",N76+ROW()/100000))</f>
        <v/>
      </c>
    </row>
    <row r="77">
      <c r="A77" s="9">
        <f>IF(E77="","",COUNTA($E$5:E77))</f>
        <v/>
      </c>
      <c r="B77" s="22" t="inlineStr">
        <is>
          <t>AES</t>
        </is>
      </c>
      <c r="C77" s="22" t="inlineStr">
        <is>
          <t>AMH Sathorn Co., Ltd.</t>
        </is>
      </c>
      <c r="D77" s="22" t="inlineStr">
        <is>
          <t>Certificate</t>
        </is>
      </c>
      <c r="E77" s="23" t="inlineStr">
        <is>
          <t>EIA environmental monitoring report</t>
        </is>
      </c>
      <c r="F77" s="23" t="inlineStr">
        <is>
          <t>รายงานผลการปฏิบัติตามมาตรการ EIA</t>
        </is>
      </c>
      <c r="G77" s="23" t="inlineStr">
        <is>
          <t>Office of Natural Resources &amp; Environmental Policy (ONEP)</t>
        </is>
      </c>
      <c r="H77" s="22" t="n"/>
      <c r="I77" s="15" t="n"/>
      <c r="J77" s="15" t="n"/>
      <c r="K77" s="22" t="inlineStr">
        <is>
          <t>Other</t>
        </is>
      </c>
      <c r="L77" s="22" t="n">
        <v>60</v>
      </c>
      <c r="M77" s="15">
        <f>IF(J77="","",J77-IF(L77="",0,L77))</f>
        <v/>
      </c>
      <c r="N77" s="24">
        <f>IF(J77="","",J77-TODAY())</f>
        <v/>
      </c>
      <c r="O77" s="9">
        <f>IF(E77="","",IF(J77="","No date",IF(N77&lt;0,"Expired",IF(N77&lt;=30,"Urgent",IF(N77&lt;=90,"Due soon","OK")))))</f>
        <v/>
      </c>
      <c r="P77" s="22" t="n"/>
      <c r="Q77" s="25" t="n"/>
      <c r="R77" s="22" t="n"/>
      <c r="S77" s="22" t="n"/>
      <c r="T77" s="23" t="n"/>
      <c r="U77" s="22">
        <f>IF(E77="","",IF(J77="","",N77+ROW()/100000))</f>
        <v/>
      </c>
    </row>
    <row r="78">
      <c r="A78" s="9">
        <f>IF(E78="","",COUNTA($E$5:E78))</f>
        <v/>
      </c>
      <c r="B78" s="22" t="inlineStr">
        <is>
          <t>AES</t>
        </is>
      </c>
      <c r="C78" s="22" t="inlineStr">
        <is>
          <t>AMH Sathorn Co., Ltd.</t>
        </is>
      </c>
      <c r="D78" s="22" t="inlineStr">
        <is>
          <t>Permit</t>
        </is>
      </c>
      <c r="E78" s="23" t="inlineStr">
        <is>
          <t>Waste / refuse disposal permit</t>
        </is>
      </c>
      <c r="F78" s="23" t="inlineStr">
        <is>
          <t>ใบอนุญาตกำจัดสิ่งปฏิกูลและมูลฝอย</t>
        </is>
      </c>
      <c r="G78" s="23" t="inlineStr">
        <is>
          <t>Local authority</t>
        </is>
      </c>
      <c r="H78" s="22" t="n"/>
      <c r="I78" s="15" t="n"/>
      <c r="J78" s="15" t="n"/>
      <c r="K78" s="22" t="inlineStr">
        <is>
          <t>Annual</t>
        </is>
      </c>
      <c r="L78" s="22" t="n">
        <v>60</v>
      </c>
      <c r="M78" s="15">
        <f>IF(J78="","",J78-IF(L78="",0,L78))</f>
        <v/>
      </c>
      <c r="N78" s="24">
        <f>IF(J78="","",J78-TODAY())</f>
        <v/>
      </c>
      <c r="O78" s="9">
        <f>IF(E78="","",IF(J78="","No date",IF(N78&lt;0,"Expired",IF(N78&lt;=30,"Urgent",IF(N78&lt;=90,"Due soon","OK")))))</f>
        <v/>
      </c>
      <c r="P78" s="22" t="n"/>
      <c r="Q78" s="25" t="n"/>
      <c r="R78" s="22" t="n"/>
      <c r="S78" s="22" t="n"/>
      <c r="T78" s="23" t="n"/>
      <c r="U78" s="22">
        <f>IF(E78="","",IF(J78="","",N78+ROW()/100000))</f>
        <v/>
      </c>
    </row>
    <row r="79">
      <c r="A79" s="9">
        <f>IF(E79="","",COUNTA($E$5:E79))</f>
        <v/>
      </c>
      <c r="B79" s="22" t="inlineStr">
        <is>
          <t>AES</t>
        </is>
      </c>
      <c r="C79" s="22" t="inlineStr">
        <is>
          <t>AMH Sathorn Co., Ltd.</t>
        </is>
      </c>
      <c r="D79" s="22" t="inlineStr">
        <is>
          <t>Licence</t>
        </is>
      </c>
      <c r="E79" s="23" t="inlineStr">
        <is>
          <t>Radio / walkie-talkie frequency licence</t>
        </is>
      </c>
      <c r="F79" s="23" t="inlineStr">
        <is>
          <t>ใบอนุญาตวิทยุคมนาคม</t>
        </is>
      </c>
      <c r="G79" s="23" t="inlineStr">
        <is>
          <t>NBTC</t>
        </is>
      </c>
      <c r="H79" s="22" t="n"/>
      <c r="I79" s="15" t="n"/>
      <c r="J79" s="15" t="n"/>
      <c r="K79" s="22" t="inlineStr">
        <is>
          <t>Annual</t>
        </is>
      </c>
      <c r="L79" s="22" t="n">
        <v>60</v>
      </c>
      <c r="M79" s="15">
        <f>IF(J79="","",J79-IF(L79="",0,L79))</f>
        <v/>
      </c>
      <c r="N79" s="24">
        <f>IF(J79="","",J79-TODAY())</f>
        <v/>
      </c>
      <c r="O79" s="9">
        <f>IF(E79="","",IF(J79="","No date",IF(N79&lt;0,"Expired",IF(N79&lt;=30,"Urgent",IF(N79&lt;=90,"Due soon","OK")))))</f>
        <v/>
      </c>
      <c r="P79" s="22" t="n"/>
      <c r="Q79" s="25" t="n"/>
      <c r="R79" s="22" t="n"/>
      <c r="S79" s="22" t="n"/>
      <c r="T79" s="23" t="n"/>
      <c r="U79" s="22">
        <f>IF(E79="","",IF(J79="","",N79+ROW()/100000))</f>
        <v/>
      </c>
    </row>
    <row r="80">
      <c r="A80" s="9">
        <f>IF(E80="","",COUNTA($E$5:E80))</f>
        <v/>
      </c>
      <c r="B80" s="22" t="inlineStr">
        <is>
          <t>AES</t>
        </is>
      </c>
      <c r="C80" s="22" t="inlineStr">
        <is>
          <t>AMH Sathorn Co., Ltd.</t>
        </is>
      </c>
      <c r="D80" s="22" t="inlineStr">
        <is>
          <t>Licence</t>
        </is>
      </c>
      <c r="E80" s="23" t="inlineStr">
        <is>
          <t>Music / copyright public performance licence</t>
        </is>
      </c>
      <c r="F80" s="23" t="inlineStr">
        <is>
          <t>ใบอนุญาตเผยแพร่งานดนตรี (MCT / ลิขสิทธิ์)</t>
        </is>
      </c>
      <c r="G80" s="23" t="inlineStr">
        <is>
          <t>MCT / Phonorights / collecting societies</t>
        </is>
      </c>
      <c r="H80" s="22" t="n"/>
      <c r="I80" s="15" t="n"/>
      <c r="J80" s="15" t="n"/>
      <c r="K80" s="22" t="inlineStr">
        <is>
          <t>Annual</t>
        </is>
      </c>
      <c r="L80" s="22" t="n">
        <v>60</v>
      </c>
      <c r="M80" s="15">
        <f>IF(J80="","",J80-IF(L80="",0,L80))</f>
        <v/>
      </c>
      <c r="N80" s="24">
        <f>IF(J80="","",J80-TODAY())</f>
        <v/>
      </c>
      <c r="O80" s="9">
        <f>IF(E80="","",IF(J80="","No date",IF(N80&lt;0,"Expired",IF(N80&lt;=30,"Urgent",IF(N80&lt;=90,"Due soon","OK")))))</f>
        <v/>
      </c>
      <c r="P80" s="22" t="n"/>
      <c r="Q80" s="25" t="n"/>
      <c r="R80" s="22" t="n"/>
      <c r="S80" s="22" t="n"/>
      <c r="T80" s="23" t="n"/>
      <c r="U80" s="22">
        <f>IF(E80="","",IF(J80="","",N80+ROW()/100000))</f>
        <v/>
      </c>
    </row>
    <row r="81">
      <c r="A81" s="9">
        <f>IF(E81="","",COUNTA($E$5:E81))</f>
        <v/>
      </c>
      <c r="B81" s="22" t="inlineStr">
        <is>
          <t>AES</t>
        </is>
      </c>
      <c r="C81" s="22" t="inlineStr">
        <is>
          <t>AMH Sathorn Co., Ltd.</t>
        </is>
      </c>
      <c r="D81" s="22" t="inlineStr">
        <is>
          <t>Tax / Registration</t>
        </is>
      </c>
      <c r="E81" s="23" t="inlineStr">
        <is>
          <t>Signage tax (billboard)</t>
        </is>
      </c>
      <c r="F81" s="23" t="inlineStr">
        <is>
          <t>ภาษีป้าย</t>
        </is>
      </c>
      <c r="G81" s="23" t="inlineStr">
        <is>
          <t>Local authority</t>
        </is>
      </c>
      <c r="H81" s="22" t="n"/>
      <c r="I81" s="15" t="n"/>
      <c r="J81" s="15" t="n"/>
      <c r="K81" s="22" t="inlineStr">
        <is>
          <t>Annual</t>
        </is>
      </c>
      <c r="L81" s="22" t="n">
        <v>60</v>
      </c>
      <c r="M81" s="15">
        <f>IF(J81="","",J81-IF(L81="",0,L81))</f>
        <v/>
      </c>
      <c r="N81" s="24">
        <f>IF(J81="","",J81-TODAY())</f>
        <v/>
      </c>
      <c r="O81" s="9">
        <f>IF(E81="","",IF(J81="","No date",IF(N81&lt;0,"Expired",IF(N81&lt;=30,"Urgent",IF(N81&lt;=90,"Due soon","OK")))))</f>
        <v/>
      </c>
      <c r="P81" s="22" t="n"/>
      <c r="Q81" s="25" t="n"/>
      <c r="R81" s="22" t="n"/>
      <c r="S81" s="22" t="n"/>
      <c r="T81" s="23" t="n"/>
      <c r="U81" s="22">
        <f>IF(E81="","",IF(J81="","",N81+ROW()/100000))</f>
        <v/>
      </c>
    </row>
    <row r="82">
      <c r="A82" s="9">
        <f>IF(E82="","",COUNTA($E$5:E82))</f>
        <v/>
      </c>
      <c r="B82" s="22" t="inlineStr">
        <is>
          <t>AES</t>
        </is>
      </c>
      <c r="C82" s="22" t="inlineStr">
        <is>
          <t>AMH Sathorn Co., Ltd.</t>
        </is>
      </c>
      <c r="D82" s="22" t="inlineStr">
        <is>
          <t>Tax / Registration</t>
        </is>
      </c>
      <c r="E82" s="23" t="inlineStr">
        <is>
          <t>Land &amp; building tax</t>
        </is>
      </c>
      <c r="F82" s="23" t="inlineStr">
        <is>
          <t>ภาษีที่ดินและสิ่งปลูกสร้าง</t>
        </is>
      </c>
      <c r="G82" s="23" t="inlineStr">
        <is>
          <t>Local authority</t>
        </is>
      </c>
      <c r="H82" s="22" t="n"/>
      <c r="I82" s="15" t="n"/>
      <c r="J82" s="15" t="n"/>
      <c r="K82" s="22" t="inlineStr">
        <is>
          <t>Annual</t>
        </is>
      </c>
      <c r="L82" s="22" t="n">
        <v>60</v>
      </c>
      <c r="M82" s="15">
        <f>IF(J82="","",J82-IF(L82="",0,L82))</f>
        <v/>
      </c>
      <c r="N82" s="24">
        <f>IF(J82="","",J82-TODAY())</f>
        <v/>
      </c>
      <c r="O82" s="9">
        <f>IF(E82="","",IF(J82="","No date",IF(N82&lt;0,"Expired",IF(N82&lt;=30,"Urgent",IF(N82&lt;=90,"Due soon","OK")))))</f>
        <v/>
      </c>
      <c r="P82" s="22" t="n"/>
      <c r="Q82" s="25" t="n"/>
      <c r="R82" s="22" t="n"/>
      <c r="S82" s="22" t="n"/>
      <c r="T82" s="23" t="n"/>
      <c r="U82" s="22">
        <f>IF(E82="","",IF(J82="","",N82+ROW()/100000))</f>
        <v/>
      </c>
    </row>
    <row r="83">
      <c r="A83" s="9">
        <f>IF(E83="","",COUNTA($E$5:E83))</f>
        <v/>
      </c>
      <c r="B83" s="22" t="inlineStr">
        <is>
          <t>AES</t>
        </is>
      </c>
      <c r="C83" s="22" t="inlineStr">
        <is>
          <t>AMH Sathorn Co., Ltd.</t>
        </is>
      </c>
      <c r="D83" s="22" t="inlineStr">
        <is>
          <t>Tax / Registration</t>
        </is>
      </c>
      <c r="E83" s="23" t="inlineStr">
        <is>
          <t>VAT registration (ภ.พ.20)</t>
        </is>
      </c>
      <c r="F83" s="23" t="inlineStr">
        <is>
          <t>ใบทะเบียนภาษีมูลค่าเพิ่ม (ภ.พ.20)</t>
        </is>
      </c>
      <c r="G83" s="23" t="inlineStr">
        <is>
          <t>Revenue Department</t>
        </is>
      </c>
      <c r="H83" s="22" t="n"/>
      <c r="I83" s="15" t="n"/>
      <c r="J83" s="15" t="n"/>
      <c r="K83" s="22" t="inlineStr">
        <is>
          <t>One-off</t>
        </is>
      </c>
      <c r="L83" s="22" t="n">
        <v>60</v>
      </c>
      <c r="M83" s="15">
        <f>IF(J83="","",J83-IF(L83="",0,L83))</f>
        <v/>
      </c>
      <c r="N83" s="24">
        <f>IF(J83="","",J83-TODAY())</f>
        <v/>
      </c>
      <c r="O83" s="9">
        <f>IF(E83="","",IF(J83="","No date",IF(N83&lt;0,"Expired",IF(N83&lt;=30,"Urgent",IF(N83&lt;=90,"Due soon","OK")))))</f>
        <v/>
      </c>
      <c r="P83" s="22" t="n"/>
      <c r="Q83" s="25" t="n"/>
      <c r="R83" s="22" t="n"/>
      <c r="S83" s="22" t="n"/>
      <c r="T83" s="23" t="n"/>
      <c r="U83" s="22">
        <f>IF(E83="","",IF(J83="","",N83+ROW()/100000))</f>
        <v/>
      </c>
    </row>
    <row r="84">
      <c r="A84" s="9">
        <f>IF(E84="","",COUNTA($E$5:E84))</f>
        <v/>
      </c>
      <c r="B84" s="22" t="inlineStr">
        <is>
          <t>AES</t>
        </is>
      </c>
      <c r="C84" s="22" t="inlineStr">
        <is>
          <t>AMH Sathorn Co., Ltd.</t>
        </is>
      </c>
      <c r="D84" s="22" t="inlineStr">
        <is>
          <t>Tax / Registration</t>
        </is>
      </c>
      <c r="E84" s="23" t="inlineStr">
        <is>
          <t>Company registration / affidavit</t>
        </is>
      </c>
      <c r="F84" s="23" t="inlineStr">
        <is>
          <t>หนังสือรับรองบริษัท</t>
        </is>
      </c>
      <c r="G84" s="23" t="inlineStr">
        <is>
          <t>Dept. of Business Development</t>
        </is>
      </c>
      <c r="H84" s="22" t="n"/>
      <c r="I84" s="15" t="n"/>
      <c r="J84" s="15" t="n"/>
      <c r="K84" s="22" t="inlineStr">
        <is>
          <t>Other</t>
        </is>
      </c>
      <c r="L84" s="22" t="n">
        <v>60</v>
      </c>
      <c r="M84" s="15">
        <f>IF(J84="","",J84-IF(L84="",0,L84))</f>
        <v/>
      </c>
      <c r="N84" s="24">
        <f>IF(J84="","",J84-TODAY())</f>
        <v/>
      </c>
      <c r="O84" s="9">
        <f>IF(E84="","",IF(J84="","No date",IF(N84&lt;0,"Expired",IF(N84&lt;=30,"Urgent",IF(N84&lt;=90,"Due soon","OK")))))</f>
        <v/>
      </c>
      <c r="P84" s="22" t="n"/>
      <c r="Q84" s="25" t="n"/>
      <c r="R84" s="22" t="n"/>
      <c r="S84" s="22" t="n"/>
      <c r="T84" s="23" t="n"/>
      <c r="U84" s="22">
        <f>IF(E84="","",IF(J84="","",N84+ROW()/100000))</f>
        <v/>
      </c>
    </row>
    <row r="85">
      <c r="A85" s="9">
        <f>IF(E85="","",COUNTA($E$5:E85))</f>
        <v/>
      </c>
      <c r="B85" s="22" t="inlineStr">
        <is>
          <t>AES</t>
        </is>
      </c>
      <c r="C85" s="22" t="inlineStr">
        <is>
          <t>AMH Sathorn Co., Ltd.</t>
        </is>
      </c>
      <c r="D85" s="22" t="inlineStr">
        <is>
          <t>Tax / Registration</t>
        </is>
      </c>
      <c r="E85" s="23" t="inlineStr">
        <is>
          <t>Social security registration</t>
        </is>
      </c>
      <c r="F85" s="23" t="inlineStr">
        <is>
          <t>ทะเบียนนายจ้างประกันสังคม</t>
        </is>
      </c>
      <c r="G85" s="23" t="inlineStr">
        <is>
          <t>Social Security Office</t>
        </is>
      </c>
      <c r="H85" s="22" t="n"/>
      <c r="I85" s="15" t="n"/>
      <c r="J85" s="15" t="n"/>
      <c r="K85" s="22" t="inlineStr">
        <is>
          <t>One-off</t>
        </is>
      </c>
      <c r="L85" s="22" t="n">
        <v>60</v>
      </c>
      <c r="M85" s="15">
        <f>IF(J85="","",J85-IF(L85="",0,L85))</f>
        <v/>
      </c>
      <c r="N85" s="24">
        <f>IF(J85="","",J85-TODAY())</f>
        <v/>
      </c>
      <c r="O85" s="9">
        <f>IF(E85="","",IF(J85="","No date",IF(N85&lt;0,"Expired",IF(N85&lt;=30,"Urgent",IF(N85&lt;=90,"Due soon","OK")))))</f>
        <v/>
      </c>
      <c r="P85" s="22" t="n"/>
      <c r="Q85" s="25" t="n"/>
      <c r="R85" s="22" t="n"/>
      <c r="S85" s="22" t="n"/>
      <c r="T85" s="23" t="n"/>
      <c r="U85" s="22">
        <f>IF(E85="","",IF(J85="","",N85+ROW()/100000))</f>
        <v/>
      </c>
    </row>
    <row r="86">
      <c r="A86" s="9">
        <f>IF(E86="","",COUNTA($E$5:E86))</f>
        <v/>
      </c>
      <c r="B86" s="22" t="inlineStr">
        <is>
          <t>AES</t>
        </is>
      </c>
      <c r="C86" s="22" t="inlineStr">
        <is>
          <t>AMH Sathorn Co., Ltd.</t>
        </is>
      </c>
      <c r="D86" s="22" t="inlineStr">
        <is>
          <t>Permit</t>
        </is>
      </c>
      <c r="E86" s="23" t="inlineStr">
        <is>
          <t>Work permits / visas — foreign staff</t>
        </is>
      </c>
      <c r="F86" s="23" t="inlineStr">
        <is>
          <t>ใบอนุญาตทำงาน / วีซ่าพนักงานต่างชาติ</t>
        </is>
      </c>
      <c r="G86" s="23" t="inlineStr">
        <is>
          <t>Dept. of Employment / Immigration</t>
        </is>
      </c>
      <c r="H86" s="22" t="n"/>
      <c r="I86" s="15" t="n"/>
      <c r="J86" s="15" t="n"/>
      <c r="K86" s="22" t="inlineStr">
        <is>
          <t>Annual</t>
        </is>
      </c>
      <c r="L86" s="22" t="n">
        <v>60</v>
      </c>
      <c r="M86" s="15">
        <f>IF(J86="","",J86-IF(L86="",0,L86))</f>
        <v/>
      </c>
      <c r="N86" s="24">
        <f>IF(J86="","",J86-TODAY())</f>
        <v/>
      </c>
      <c r="O86" s="9">
        <f>IF(E86="","",IF(J86="","No date",IF(N86&lt;0,"Expired",IF(N86&lt;=30,"Urgent",IF(N86&lt;=90,"Due soon","OK")))))</f>
        <v/>
      </c>
      <c r="P86" s="22" t="n"/>
      <c r="Q86" s="25" t="n"/>
      <c r="R86" s="22" t="n"/>
      <c r="S86" s="22" t="n"/>
      <c r="T86" s="23" t="n"/>
      <c r="U86" s="22">
        <f>IF(E86="","",IF(J86="","",N86+ROW()/100000))</f>
        <v/>
      </c>
    </row>
    <row r="87">
      <c r="A87" s="9">
        <f>IF(E87="","",COUNTA($E$5:E87))</f>
        <v/>
      </c>
      <c r="B87" s="22" t="inlineStr">
        <is>
          <t>AES</t>
        </is>
      </c>
      <c r="C87" s="22" t="inlineStr">
        <is>
          <t>AMH Sathorn Co., Ltd.</t>
        </is>
      </c>
      <c r="D87" s="22" t="inlineStr">
        <is>
          <t>Certificate</t>
        </is>
      </c>
      <c r="E87" s="23" t="inlineStr">
        <is>
          <t>Food handler health certificates</t>
        </is>
      </c>
      <c r="F87" s="23" t="inlineStr">
        <is>
          <t>ใบรับรองสุขภาพผู้สัมผัสอาหาร</t>
        </is>
      </c>
      <c r="G87" s="23" t="inlineStr">
        <is>
          <t>Public health office</t>
        </is>
      </c>
      <c r="H87" s="22" t="n"/>
      <c r="I87" s="15" t="n"/>
      <c r="J87" s="15" t="n"/>
      <c r="K87" s="22" t="inlineStr">
        <is>
          <t>Annual</t>
        </is>
      </c>
      <c r="L87" s="22" t="n">
        <v>60</v>
      </c>
      <c r="M87" s="15">
        <f>IF(J87="","",J87-IF(L87="",0,L87))</f>
        <v/>
      </c>
      <c r="N87" s="24">
        <f>IF(J87="","",J87-TODAY())</f>
        <v/>
      </c>
      <c r="O87" s="9">
        <f>IF(E87="","",IF(J87="","No date",IF(N87&lt;0,"Expired",IF(N87&lt;=30,"Urgent",IF(N87&lt;=90,"Due soon","OK")))))</f>
        <v/>
      </c>
      <c r="P87" s="22" t="n"/>
      <c r="Q87" s="25" t="n"/>
      <c r="R87" s="22" t="n"/>
      <c r="S87" s="22" t="n"/>
      <c r="T87" s="23" t="n"/>
      <c r="U87" s="22">
        <f>IF(E87="","",IF(J87="","",N87+ROW()/100000))</f>
        <v/>
      </c>
    </row>
    <row r="88">
      <c r="A88" s="9">
        <f>IF(E88="","",COUNTA($E$5:E88))</f>
        <v/>
      </c>
      <c r="B88" s="22" t="inlineStr">
        <is>
          <t>AES</t>
        </is>
      </c>
      <c r="C88" s="22" t="inlineStr">
        <is>
          <t>AMH Sathorn Co., Ltd.</t>
        </is>
      </c>
      <c r="D88" s="22" t="inlineStr">
        <is>
          <t>Certificate</t>
        </is>
      </c>
      <c r="E88" s="23" t="inlineStr">
        <is>
          <t>Pest control service certificate</t>
        </is>
      </c>
      <c r="F88" s="23" t="inlineStr">
        <is>
          <t>ใบรับรองการกำจัดแมลงและสัตว์พาหะ</t>
        </is>
      </c>
      <c r="G88" s="23" t="inlineStr">
        <is>
          <t>Licensed contractor</t>
        </is>
      </c>
      <c r="H88" s="22" t="n"/>
      <c r="I88" s="15" t="n"/>
      <c r="J88" s="15" t="n"/>
      <c r="K88" s="22" t="inlineStr">
        <is>
          <t>Annual</t>
        </is>
      </c>
      <c r="L88" s="22" t="n">
        <v>60</v>
      </c>
      <c r="M88" s="15">
        <f>IF(J88="","",J88-IF(L88="",0,L88))</f>
        <v/>
      </c>
      <c r="N88" s="24">
        <f>IF(J88="","",J88-TODAY())</f>
        <v/>
      </c>
      <c r="O88" s="9">
        <f>IF(E88="","",IF(J88="","No date",IF(N88&lt;0,"Expired",IF(N88&lt;=30,"Urgent",IF(N88&lt;=90,"Due soon","OK")))))</f>
        <v/>
      </c>
      <c r="P88" s="22" t="n"/>
      <c r="Q88" s="25" t="n"/>
      <c r="R88" s="22" t="n"/>
      <c r="S88" s="22" t="n"/>
      <c r="T88" s="23" t="n"/>
      <c r="U88" s="22">
        <f>IF(E88="","",IF(J88="","",N88+ROW()/100000))</f>
        <v/>
      </c>
    </row>
    <row r="89">
      <c r="A89" s="9">
        <f>IF(E89="","",COUNTA($E$5:E89))</f>
        <v/>
      </c>
      <c r="B89" s="22" t="inlineStr">
        <is>
          <t>AES</t>
        </is>
      </c>
      <c r="C89" s="22" t="inlineStr">
        <is>
          <t>AMH Sathorn Co., Ltd.</t>
        </is>
      </c>
      <c r="D89" s="22" t="inlineStr">
        <is>
          <t>Insurance</t>
        </is>
      </c>
      <c r="E89" s="23" t="inlineStr">
        <is>
          <t>Property all-risk insurance</t>
        </is>
      </c>
      <c r="F89" s="23" t="inlineStr">
        <is>
          <t>ประกันภัยทรัพย์สินแบบ All Risk</t>
        </is>
      </c>
      <c r="G89" s="23" t="inlineStr">
        <is>
          <t>Insurer / broker</t>
        </is>
      </c>
      <c r="H89" s="22" t="n"/>
      <c r="I89" s="15" t="n"/>
      <c r="J89" s="15" t="n"/>
      <c r="K89" s="22" t="inlineStr">
        <is>
          <t>Annual</t>
        </is>
      </c>
      <c r="L89" s="22" t="n">
        <v>60</v>
      </c>
      <c r="M89" s="15">
        <f>IF(J89="","",J89-IF(L89="",0,L89))</f>
        <v/>
      </c>
      <c r="N89" s="24">
        <f>IF(J89="","",J89-TODAY())</f>
        <v/>
      </c>
      <c r="O89" s="9">
        <f>IF(E89="","",IF(J89="","No date",IF(N89&lt;0,"Expired",IF(N89&lt;=30,"Urgent",IF(N89&lt;=90,"Due soon","OK")))))</f>
        <v/>
      </c>
      <c r="P89" s="22" t="n"/>
      <c r="Q89" s="25" t="n"/>
      <c r="R89" s="22" t="n"/>
      <c r="S89" s="22" t="n"/>
      <c r="T89" s="23" t="n"/>
      <c r="U89" s="22">
        <f>IF(E89="","",IF(J89="","",N89+ROW()/100000))</f>
        <v/>
      </c>
    </row>
    <row r="90">
      <c r="A90" s="9">
        <f>IF(E90="","",COUNTA($E$5:E90))</f>
        <v/>
      </c>
      <c r="B90" s="22" t="inlineStr">
        <is>
          <t>AES</t>
        </is>
      </c>
      <c r="C90" s="22" t="inlineStr">
        <is>
          <t>AMH Sathorn Co., Ltd.</t>
        </is>
      </c>
      <c r="D90" s="22" t="inlineStr">
        <is>
          <t>Insurance</t>
        </is>
      </c>
      <c r="E90" s="23" t="inlineStr">
        <is>
          <t>Public liability insurance</t>
        </is>
      </c>
      <c r="F90" s="23" t="inlineStr">
        <is>
          <t>ประกันภัยความรับผิดต่อบุคคลภายนอก</t>
        </is>
      </c>
      <c r="G90" s="23" t="inlineStr">
        <is>
          <t>Insurer / broker</t>
        </is>
      </c>
      <c r="H90" s="22" t="n"/>
      <c r="I90" s="15" t="n"/>
      <c r="J90" s="15" t="n"/>
      <c r="K90" s="22" t="inlineStr">
        <is>
          <t>Annual</t>
        </is>
      </c>
      <c r="L90" s="22" t="n">
        <v>60</v>
      </c>
      <c r="M90" s="15">
        <f>IF(J90="","",J90-IF(L90="",0,L90))</f>
        <v/>
      </c>
      <c r="N90" s="24">
        <f>IF(J90="","",J90-TODAY())</f>
        <v/>
      </c>
      <c r="O90" s="9">
        <f>IF(E90="","",IF(J90="","No date",IF(N90&lt;0,"Expired",IF(N90&lt;=30,"Urgent",IF(N90&lt;=90,"Due soon","OK")))))</f>
        <v/>
      </c>
      <c r="P90" s="22" t="n"/>
      <c r="Q90" s="25" t="n"/>
      <c r="R90" s="22" t="n"/>
      <c r="S90" s="22" t="n"/>
      <c r="T90" s="23" t="n"/>
      <c r="U90" s="22">
        <f>IF(E90="","",IF(J90="","",N90+ROW()/100000))</f>
        <v/>
      </c>
    </row>
    <row r="91">
      <c r="A91" s="9">
        <f>IF(E91="","",COUNTA($E$5:E91))</f>
        <v/>
      </c>
      <c r="B91" s="22" t="inlineStr">
        <is>
          <t>AES</t>
        </is>
      </c>
      <c r="C91" s="22" t="inlineStr">
        <is>
          <t>AMH Sathorn Co., Ltd.</t>
        </is>
      </c>
      <c r="D91" s="22" t="inlineStr">
        <is>
          <t>Insurance</t>
        </is>
      </c>
      <c r="E91" s="23" t="inlineStr">
        <is>
          <t>Business interruption insurance</t>
        </is>
      </c>
      <c r="F91" s="23" t="inlineStr">
        <is>
          <t>ประกันภัยธุรกิจหยุดชะงัก</t>
        </is>
      </c>
      <c r="G91" s="23" t="inlineStr">
        <is>
          <t>Insurer / broker</t>
        </is>
      </c>
      <c r="H91" s="22" t="n"/>
      <c r="I91" s="15" t="n"/>
      <c r="J91" s="15" t="n"/>
      <c r="K91" s="22" t="inlineStr">
        <is>
          <t>Annual</t>
        </is>
      </c>
      <c r="L91" s="22" t="n">
        <v>60</v>
      </c>
      <c r="M91" s="15">
        <f>IF(J91="","",J91-IF(L91="",0,L91))</f>
        <v/>
      </c>
      <c r="N91" s="24">
        <f>IF(J91="","",J91-TODAY())</f>
        <v/>
      </c>
      <c r="O91" s="9">
        <f>IF(E91="","",IF(J91="","No date",IF(N91&lt;0,"Expired",IF(N91&lt;=30,"Urgent",IF(N91&lt;=90,"Due soon","OK")))))</f>
        <v/>
      </c>
      <c r="P91" s="22" t="n"/>
      <c r="Q91" s="25" t="n"/>
      <c r="R91" s="22" t="n"/>
      <c r="S91" s="22" t="n"/>
      <c r="T91" s="23" t="n"/>
      <c r="U91" s="22">
        <f>IF(E91="","",IF(J91="","",N91+ROW()/100000))</f>
        <v/>
      </c>
    </row>
    <row r="92">
      <c r="A92" s="9">
        <f>IF(E92="","",COUNTA($E$5:E92))</f>
        <v/>
      </c>
      <c r="B92" s="22" t="inlineStr">
        <is>
          <t>AES</t>
        </is>
      </c>
      <c r="C92" s="22" t="inlineStr">
        <is>
          <t>AMH Sathorn Co., Ltd.</t>
        </is>
      </c>
      <c r="D92" s="22" t="inlineStr">
        <is>
          <t>Insurance</t>
        </is>
      </c>
      <c r="E92" s="23" t="inlineStr">
        <is>
          <t>Hotel guest / hotel-act compulsory insurance</t>
        </is>
      </c>
      <c r="F92" s="23" t="inlineStr">
        <is>
          <t>ประกันภัยตาม พ.ร.บ. โรงแรม</t>
        </is>
      </c>
      <c r="G92" s="23" t="inlineStr">
        <is>
          <t>Insurer / broker</t>
        </is>
      </c>
      <c r="H92" s="22" t="n"/>
      <c r="I92" s="15" t="n"/>
      <c r="J92" s="15" t="n"/>
      <c r="K92" s="22" t="inlineStr">
        <is>
          <t>Annual</t>
        </is>
      </c>
      <c r="L92" s="22" t="n">
        <v>60</v>
      </c>
      <c r="M92" s="15">
        <f>IF(J92="","",J92-IF(L92="",0,L92))</f>
        <v/>
      </c>
      <c r="N92" s="24">
        <f>IF(J92="","",J92-TODAY())</f>
        <v/>
      </c>
      <c r="O92" s="9">
        <f>IF(E92="","",IF(J92="","No date",IF(N92&lt;0,"Expired",IF(N92&lt;=30,"Urgent",IF(N92&lt;=90,"Due soon","OK")))))</f>
        <v/>
      </c>
      <c r="P92" s="22" t="n"/>
      <c r="Q92" s="25" t="n"/>
      <c r="R92" s="22" t="n"/>
      <c r="S92" s="22" t="n"/>
      <c r="T92" s="23" t="n"/>
      <c r="U92" s="22">
        <f>IF(E92="","",IF(J92="","",N92+ROW()/100000))</f>
        <v/>
      </c>
    </row>
    <row r="93">
      <c r="A93" s="9">
        <f>IF(E93="","",COUNTA($E$5:E93))</f>
        <v/>
      </c>
      <c r="B93" s="22" t="inlineStr">
        <is>
          <t>AES</t>
        </is>
      </c>
      <c r="C93" s="22" t="inlineStr">
        <is>
          <t>AMH Sathorn Co., Ltd.</t>
        </is>
      </c>
      <c r="D93" s="22" t="inlineStr">
        <is>
          <t>Contract - Management</t>
        </is>
      </c>
      <c r="E93" s="23" t="inlineStr">
        <is>
          <t>Hotel management agreement</t>
        </is>
      </c>
      <c r="F93" s="23" t="inlineStr">
        <is>
          <t>สัญญาบริหารโรงแรม</t>
        </is>
      </c>
      <c r="G93" s="23" t="inlineStr">
        <is>
          <t>Ascott International Management (Thailand) Ltd.</t>
        </is>
      </c>
      <c r="H93" s="22" t="n"/>
      <c r="I93" s="15" t="n"/>
      <c r="J93" s="15" t="n"/>
      <c r="K93" s="22" t="inlineStr">
        <is>
          <t>Rolling / evergreen</t>
        </is>
      </c>
      <c r="L93" s="22" t="n">
        <v>60</v>
      </c>
      <c r="M93" s="15">
        <f>IF(J93="","",J93-IF(L93="",0,L93))</f>
        <v/>
      </c>
      <c r="N93" s="24">
        <f>IF(J93="","",J93-TODAY())</f>
        <v/>
      </c>
      <c r="O93" s="9">
        <f>IF(E93="","",IF(J93="","No date",IF(N93&lt;0,"Expired",IF(N93&lt;=30,"Urgent",IF(N93&lt;=90,"Due soon","OK")))))</f>
        <v/>
      </c>
      <c r="P93" s="22" t="n"/>
      <c r="Q93" s="25" t="n"/>
      <c r="R93" s="22" t="n"/>
      <c r="S93" s="22" t="n"/>
      <c r="T93" s="23" t="n"/>
      <c r="U93" s="22">
        <f>IF(E93="","",IF(J93="","",N93+ROW()/100000))</f>
        <v/>
      </c>
    </row>
    <row r="94">
      <c r="A94" s="9">
        <f>IF(E94="","",COUNTA($E$5:E94))</f>
        <v/>
      </c>
      <c r="B94" s="22" t="inlineStr">
        <is>
          <t>AES</t>
        </is>
      </c>
      <c r="C94" s="22" t="inlineStr">
        <is>
          <t>AMH Sathorn Co., Ltd.</t>
        </is>
      </c>
      <c r="D94" s="22" t="inlineStr">
        <is>
          <t>Contract - Management</t>
        </is>
      </c>
      <c r="E94" s="23" t="inlineStr">
        <is>
          <t>Technical services / central fee agreement</t>
        </is>
      </c>
      <c r="F94" s="23" t="inlineStr">
        <is>
          <t>สัญญาค่าบริการส่วนกลาง</t>
        </is>
      </c>
      <c r="G94" s="23" t="inlineStr">
        <is>
          <t>Ascott International Management (Thailand) Ltd.</t>
        </is>
      </c>
      <c r="H94" s="22" t="n"/>
      <c r="I94" s="15" t="n"/>
      <c r="J94" s="15" t="n"/>
      <c r="K94" s="22" t="inlineStr">
        <is>
          <t>Rolling / evergreen</t>
        </is>
      </c>
      <c r="L94" s="22" t="n">
        <v>60</v>
      </c>
      <c r="M94" s="15">
        <f>IF(J94="","",J94-IF(L94="",0,L94))</f>
        <v/>
      </c>
      <c r="N94" s="24">
        <f>IF(J94="","",J94-TODAY())</f>
        <v/>
      </c>
      <c r="O94" s="9">
        <f>IF(E94="","",IF(J94="","No date",IF(N94&lt;0,"Expired",IF(N94&lt;=30,"Urgent",IF(N94&lt;=90,"Due soon","OK")))))</f>
        <v/>
      </c>
      <c r="P94" s="22" t="n"/>
      <c r="Q94" s="25" t="n"/>
      <c r="R94" s="22" t="n"/>
      <c r="S94" s="22" t="n"/>
      <c r="T94" s="23" t="n"/>
      <c r="U94" s="22">
        <f>IF(E94="","",IF(J94="","",N94+ROW()/100000))</f>
        <v/>
      </c>
    </row>
    <row r="95">
      <c r="A95" s="9">
        <f>IF(E95="","",COUNTA($E$5:E95))</f>
        <v/>
      </c>
      <c r="B95" s="22" t="inlineStr">
        <is>
          <t>AES</t>
        </is>
      </c>
      <c r="C95" s="22" t="inlineStr">
        <is>
          <t>AMH Sathorn Co., Ltd.</t>
        </is>
      </c>
      <c r="D95" s="22" t="inlineStr">
        <is>
          <t>Contract - OTA</t>
        </is>
      </c>
      <c r="E95" s="23" t="inlineStr">
        <is>
          <t>Booking.com accommodation agreement</t>
        </is>
      </c>
      <c r="F95" s="23" t="inlineStr">
        <is>
          <t>สัญญากับ Booking.com</t>
        </is>
      </c>
      <c r="G95" s="23" t="inlineStr">
        <is>
          <t>Booking.com B.V.</t>
        </is>
      </c>
      <c r="H95" s="22" t="n"/>
      <c r="I95" s="15" t="n"/>
      <c r="J95" s="15" t="n"/>
      <c r="K95" s="22" t="inlineStr">
        <is>
          <t>Rolling / evergreen</t>
        </is>
      </c>
      <c r="L95" s="22" t="n">
        <v>60</v>
      </c>
      <c r="M95" s="15">
        <f>IF(J95="","",J95-IF(L95="",0,L95))</f>
        <v/>
      </c>
      <c r="N95" s="24">
        <f>IF(J95="","",J95-TODAY())</f>
        <v/>
      </c>
      <c r="O95" s="9">
        <f>IF(E95="","",IF(J95="","No date",IF(N95&lt;0,"Expired",IF(N95&lt;=30,"Urgent",IF(N95&lt;=90,"Due soon","OK")))))</f>
        <v/>
      </c>
      <c r="P95" s="22" t="n"/>
      <c r="Q95" s="25" t="n"/>
      <c r="R95" s="22" t="n"/>
      <c r="S95" s="22" t="n"/>
      <c r="T95" s="23" t="n"/>
      <c r="U95" s="22">
        <f>IF(E95="","",IF(J95="","",N95+ROW()/100000))</f>
        <v/>
      </c>
    </row>
    <row r="96">
      <c r="A96" s="9">
        <f>IF(E96="","",COUNTA($E$5:E96))</f>
        <v/>
      </c>
      <c r="B96" s="22" t="inlineStr">
        <is>
          <t>AES</t>
        </is>
      </c>
      <c r="C96" s="22" t="inlineStr">
        <is>
          <t>AMH Sathorn Co., Ltd.</t>
        </is>
      </c>
      <c r="D96" s="22" t="inlineStr">
        <is>
          <t>Contract - OTA</t>
        </is>
      </c>
      <c r="E96" s="23" t="inlineStr">
        <is>
          <t>Expedia lodging agreement</t>
        </is>
      </c>
      <c r="F96" s="23" t="inlineStr">
        <is>
          <t>สัญญากับ Expedia</t>
        </is>
      </c>
      <c r="G96" s="23" t="inlineStr">
        <is>
          <t>Travelscape LLC / Expedia (Thailand) Co., Ltd.</t>
        </is>
      </c>
      <c r="H96" s="22" t="n"/>
      <c r="I96" s="15" t="n"/>
      <c r="J96" s="15" t="n"/>
      <c r="K96" s="22" t="inlineStr">
        <is>
          <t>Rolling / evergreen</t>
        </is>
      </c>
      <c r="L96" s="22" t="n">
        <v>60</v>
      </c>
      <c r="M96" s="15">
        <f>IF(J96="","",J96-IF(L96="",0,L96))</f>
        <v/>
      </c>
      <c r="N96" s="24">
        <f>IF(J96="","",J96-TODAY())</f>
        <v/>
      </c>
      <c r="O96" s="9">
        <f>IF(E96="","",IF(J96="","No date",IF(N96&lt;0,"Expired",IF(N96&lt;=30,"Urgent",IF(N96&lt;=90,"Due soon","OK")))))</f>
        <v/>
      </c>
      <c r="P96" s="22" t="n"/>
      <c r="Q96" s="25" t="n"/>
      <c r="R96" s="22" t="n"/>
      <c r="S96" s="22" t="n"/>
      <c r="T96" s="23" t="n"/>
      <c r="U96" s="22">
        <f>IF(E96="","",IF(J96="","",N96+ROW()/100000))</f>
        <v/>
      </c>
    </row>
    <row r="97">
      <c r="A97" s="9">
        <f>IF(E97="","",COUNTA($E$5:E97))</f>
        <v/>
      </c>
      <c r="B97" s="22" t="inlineStr">
        <is>
          <t>AES</t>
        </is>
      </c>
      <c r="C97" s="22" t="inlineStr">
        <is>
          <t>AMH Sathorn Co., Ltd.</t>
        </is>
      </c>
      <c r="D97" s="22" t="inlineStr">
        <is>
          <t>Contract - OTA</t>
        </is>
      </c>
      <c r="E97" s="23" t="inlineStr">
        <is>
          <t>Agoda accommodation agreement</t>
        </is>
      </c>
      <c r="F97" s="23" t="inlineStr">
        <is>
          <t>สัญญากับ Agoda</t>
        </is>
      </c>
      <c r="G97" s="23" t="inlineStr">
        <is>
          <t>Agoda Company Pte. Ltd.</t>
        </is>
      </c>
      <c r="H97" s="22" t="n"/>
      <c r="I97" s="15" t="n"/>
      <c r="J97" s="15" t="n"/>
      <c r="K97" s="22" t="inlineStr">
        <is>
          <t>Rolling / evergreen</t>
        </is>
      </c>
      <c r="L97" s="22" t="n">
        <v>60</v>
      </c>
      <c r="M97" s="15">
        <f>IF(J97="","",J97-IF(L97="",0,L97))</f>
        <v/>
      </c>
      <c r="N97" s="24">
        <f>IF(J97="","",J97-TODAY())</f>
        <v/>
      </c>
      <c r="O97" s="9">
        <f>IF(E97="","",IF(J97="","No date",IF(N97&lt;0,"Expired",IF(N97&lt;=30,"Urgent",IF(N97&lt;=90,"Due soon","OK")))))</f>
        <v/>
      </c>
      <c r="P97" s="22" t="n"/>
      <c r="Q97" s="25" t="n"/>
      <c r="R97" s="22" t="n"/>
      <c r="S97" s="22" t="n"/>
      <c r="T97" s="23" t="n"/>
      <c r="U97" s="22">
        <f>IF(E97="","",IF(J97="","",N97+ROW()/100000))</f>
        <v/>
      </c>
    </row>
    <row r="98">
      <c r="A98" s="9">
        <f>IF(E98="","",COUNTA($E$5:E98))</f>
        <v/>
      </c>
      <c r="B98" s="22" t="inlineStr">
        <is>
          <t>AES</t>
        </is>
      </c>
      <c r="C98" s="22" t="inlineStr">
        <is>
          <t>AMH Sathorn Co., Ltd.</t>
        </is>
      </c>
      <c r="D98" s="22" t="inlineStr">
        <is>
          <t>Contract - Service</t>
        </is>
      </c>
      <c r="E98" s="23" t="inlineStr">
        <is>
          <t>Laundry &amp; linen services</t>
        </is>
      </c>
      <c r="F98" s="23" t="inlineStr">
        <is>
          <t>สัญญาบริการซักรีด</t>
        </is>
      </c>
      <c r="G98" s="23" t="inlineStr">
        <is>
          <t>I Klean Laundry Co., Ltd.</t>
        </is>
      </c>
      <c r="H98" s="22" t="n"/>
      <c r="I98" s="15" t="n"/>
      <c r="J98" s="15" t="n"/>
      <c r="K98" s="22" t="inlineStr">
        <is>
          <t>Annual</t>
        </is>
      </c>
      <c r="L98" s="22" t="n">
        <v>60</v>
      </c>
      <c r="M98" s="15">
        <f>IF(J98="","",J98-IF(L98="",0,L98))</f>
        <v/>
      </c>
      <c r="N98" s="24">
        <f>IF(J98="","",J98-TODAY())</f>
        <v/>
      </c>
      <c r="O98" s="9">
        <f>IF(E98="","",IF(J98="","No date",IF(N98&lt;0,"Expired",IF(N98&lt;=30,"Urgent",IF(N98&lt;=90,"Due soon","OK")))))</f>
        <v/>
      </c>
      <c r="P98" s="22" t="n"/>
      <c r="Q98" s="25" t="n"/>
      <c r="R98" s="22" t="n"/>
      <c r="S98" s="22" t="n"/>
      <c r="T98" s="23" t="n"/>
      <c r="U98" s="22">
        <f>IF(E98="","",IF(J98="","",N98+ROW()/100000))</f>
        <v/>
      </c>
    </row>
    <row r="99">
      <c r="A99" s="9">
        <f>IF(E99="","",COUNTA($E$5:E99))</f>
        <v/>
      </c>
      <c r="B99" s="22" t="inlineStr">
        <is>
          <t>AES</t>
        </is>
      </c>
      <c r="C99" s="22" t="inlineStr">
        <is>
          <t>AMH Sathorn Co., Ltd.</t>
        </is>
      </c>
      <c r="D99" s="22" t="inlineStr">
        <is>
          <t>Contract - Service</t>
        </is>
      </c>
      <c r="E99" s="23" t="inlineStr">
        <is>
          <t>F&amp;B outlet / catering operator</t>
        </is>
      </c>
      <c r="F99" s="23" t="inlineStr">
        <is>
          <t>สัญญาผู้ประกอบการอาหารและเครื่องดื่ม</t>
        </is>
      </c>
      <c r="G99" s="23" t="inlineStr">
        <is>
          <t>DK Wow Venture Co., Ltd.</t>
        </is>
      </c>
      <c r="H99" s="22" t="n"/>
      <c r="I99" s="15" t="n"/>
      <c r="J99" s="15" t="n"/>
      <c r="K99" s="22" t="inlineStr">
        <is>
          <t>Annual</t>
        </is>
      </c>
      <c r="L99" s="22" t="n">
        <v>60</v>
      </c>
      <c r="M99" s="15">
        <f>IF(J99="","",J99-IF(L99="",0,L99))</f>
        <v/>
      </c>
      <c r="N99" s="24">
        <f>IF(J99="","",J99-TODAY())</f>
        <v/>
      </c>
      <c r="O99" s="9">
        <f>IF(E99="","",IF(J99="","No date",IF(N99&lt;0,"Expired",IF(N99&lt;=30,"Urgent",IF(N99&lt;=90,"Due soon","OK")))))</f>
        <v/>
      </c>
      <c r="P99" s="22" t="n"/>
      <c r="Q99" s="25" t="n"/>
      <c r="R99" s="22" t="n"/>
      <c r="S99" s="22" t="n"/>
      <c r="T99" s="23" t="n"/>
      <c r="U99" s="22">
        <f>IF(E99="","",IF(J99="","",N99+ROW()/100000))</f>
        <v/>
      </c>
    </row>
    <row r="100">
      <c r="A100" s="9">
        <f>IF(E100="","",COUNTA($E$5:E100))</f>
        <v/>
      </c>
      <c r="B100" s="22" t="inlineStr">
        <is>
          <t>AES</t>
        </is>
      </c>
      <c r="C100" s="22" t="inlineStr">
        <is>
          <t>AMH Sathorn Co., Ltd.</t>
        </is>
      </c>
      <c r="D100" s="22" t="inlineStr">
        <is>
          <t>Contract - Service</t>
        </is>
      </c>
      <c r="E100" s="23" t="inlineStr">
        <is>
          <t>Security services</t>
        </is>
      </c>
      <c r="F100" s="23" t="inlineStr">
        <is>
          <t>สัญญาบริการรักษาความปลอดภัย</t>
        </is>
      </c>
      <c r="G100" s="23" t="n"/>
      <c r="H100" s="22" t="n"/>
      <c r="I100" s="15" t="n"/>
      <c r="J100" s="15" t="n"/>
      <c r="K100" s="22" t="inlineStr">
        <is>
          <t>Annual</t>
        </is>
      </c>
      <c r="L100" s="22" t="n">
        <v>60</v>
      </c>
      <c r="M100" s="15">
        <f>IF(J100="","",J100-IF(L100="",0,L100))</f>
        <v/>
      </c>
      <c r="N100" s="24">
        <f>IF(J100="","",J100-TODAY())</f>
        <v/>
      </c>
      <c r="O100" s="9">
        <f>IF(E100="","",IF(J100="","No date",IF(N100&lt;0,"Expired",IF(N100&lt;=30,"Urgent",IF(N100&lt;=90,"Due soon","OK")))))</f>
        <v/>
      </c>
      <c r="P100" s="22" t="n"/>
      <c r="Q100" s="25" t="n"/>
      <c r="R100" s="22" t="n"/>
      <c r="S100" s="22" t="n"/>
      <c r="T100" s="23" t="n"/>
      <c r="U100" s="22">
        <f>IF(E100="","",IF(J100="","",N100+ROW()/100000))</f>
        <v/>
      </c>
    </row>
    <row r="101">
      <c r="A101" s="9">
        <f>IF(E101="","",COUNTA($E$5:E101))</f>
        <v/>
      </c>
      <c r="B101" s="22" t="inlineStr">
        <is>
          <t>AES</t>
        </is>
      </c>
      <c r="C101" s="22" t="inlineStr">
        <is>
          <t>AMH Sathorn Co., Ltd.</t>
        </is>
      </c>
      <c r="D101" s="22" t="inlineStr">
        <is>
          <t>Contract - Service</t>
        </is>
      </c>
      <c r="E101" s="23" t="inlineStr">
        <is>
          <t>Cleaning / housekeeping outsource</t>
        </is>
      </c>
      <c r="F101" s="23" t="inlineStr">
        <is>
          <t>สัญญาบริการทำความสะอาด</t>
        </is>
      </c>
      <c r="G101" s="23" t="n"/>
      <c r="H101" s="22" t="n"/>
      <c r="I101" s="15" t="n"/>
      <c r="J101" s="15" t="n"/>
      <c r="K101" s="22" t="inlineStr">
        <is>
          <t>Annual</t>
        </is>
      </c>
      <c r="L101" s="22" t="n">
        <v>60</v>
      </c>
      <c r="M101" s="15">
        <f>IF(J101="","",J101-IF(L101="",0,L101))</f>
        <v/>
      </c>
      <c r="N101" s="24">
        <f>IF(J101="","",J101-TODAY())</f>
        <v/>
      </c>
      <c r="O101" s="9">
        <f>IF(E101="","",IF(J101="","No date",IF(N101&lt;0,"Expired",IF(N101&lt;=30,"Urgent",IF(N101&lt;=90,"Due soon","OK")))))</f>
        <v/>
      </c>
      <c r="P101" s="22" t="n"/>
      <c r="Q101" s="25" t="n"/>
      <c r="R101" s="22" t="n"/>
      <c r="S101" s="22" t="n"/>
      <c r="T101" s="23" t="n"/>
      <c r="U101" s="22">
        <f>IF(E101="","",IF(J101="","",N101+ROW()/100000))</f>
        <v/>
      </c>
    </row>
    <row r="102">
      <c r="A102" s="9">
        <f>IF(E102="","",COUNTA($E$5:E102))</f>
        <v/>
      </c>
      <c r="B102" s="22" t="inlineStr">
        <is>
          <t>AES</t>
        </is>
      </c>
      <c r="C102" s="22" t="inlineStr">
        <is>
          <t>AMH Sathorn Co., Ltd.</t>
        </is>
      </c>
      <c r="D102" s="22" t="inlineStr">
        <is>
          <t>Contract - Service</t>
        </is>
      </c>
      <c r="E102" s="23" t="inlineStr">
        <is>
          <t>Pest control</t>
        </is>
      </c>
      <c r="F102" s="23" t="inlineStr">
        <is>
          <t>สัญญากำจัดแมลง</t>
        </is>
      </c>
      <c r="G102" s="23" t="n"/>
      <c r="H102" s="22" t="n"/>
      <c r="I102" s="15" t="n"/>
      <c r="J102" s="15" t="n"/>
      <c r="K102" s="22" t="inlineStr">
        <is>
          <t>Annual</t>
        </is>
      </c>
      <c r="L102" s="22" t="n">
        <v>60</v>
      </c>
      <c r="M102" s="15">
        <f>IF(J102="","",J102-IF(L102="",0,L102))</f>
        <v/>
      </c>
      <c r="N102" s="24">
        <f>IF(J102="","",J102-TODAY())</f>
        <v/>
      </c>
      <c r="O102" s="9">
        <f>IF(E102="","",IF(J102="","No date",IF(N102&lt;0,"Expired",IF(N102&lt;=30,"Urgent",IF(N102&lt;=90,"Due soon","OK")))))</f>
        <v/>
      </c>
      <c r="P102" s="22" t="n"/>
      <c r="Q102" s="25" t="n"/>
      <c r="R102" s="22" t="n"/>
      <c r="S102" s="22" t="n"/>
      <c r="T102" s="23" t="n"/>
      <c r="U102" s="22">
        <f>IF(E102="","",IF(J102="","",N102+ROW()/100000))</f>
        <v/>
      </c>
    </row>
    <row r="103">
      <c r="A103" s="9">
        <f>IF(E103="","",COUNTA($E$5:E103))</f>
        <v/>
      </c>
      <c r="B103" s="22" t="inlineStr">
        <is>
          <t>AES</t>
        </is>
      </c>
      <c r="C103" s="22" t="inlineStr">
        <is>
          <t>AMH Sathorn Co., Ltd.</t>
        </is>
      </c>
      <c r="D103" s="22" t="inlineStr">
        <is>
          <t>Contract - Service</t>
        </is>
      </c>
      <c r="E103" s="23" t="inlineStr">
        <is>
          <t>Landscaping / plant care</t>
        </is>
      </c>
      <c r="F103" s="23" t="inlineStr">
        <is>
          <t>สัญญาดูแลต้นไม้และภูมิทัศน์</t>
        </is>
      </c>
      <c r="G103" s="23" t="n"/>
      <c r="H103" s="22" t="n"/>
      <c r="I103" s="15" t="n"/>
      <c r="J103" s="15" t="n"/>
      <c r="K103" s="22" t="inlineStr">
        <is>
          <t>Annual</t>
        </is>
      </c>
      <c r="L103" s="22" t="n">
        <v>60</v>
      </c>
      <c r="M103" s="15">
        <f>IF(J103="","",J103-IF(L103="",0,L103))</f>
        <v/>
      </c>
      <c r="N103" s="24">
        <f>IF(J103="","",J103-TODAY())</f>
        <v/>
      </c>
      <c r="O103" s="9">
        <f>IF(E103="","",IF(J103="","No date",IF(N103&lt;0,"Expired",IF(N103&lt;=30,"Urgent",IF(N103&lt;=90,"Due soon","OK")))))</f>
        <v/>
      </c>
      <c r="P103" s="22" t="n"/>
      <c r="Q103" s="25" t="n"/>
      <c r="R103" s="22" t="n"/>
      <c r="S103" s="22" t="n"/>
      <c r="T103" s="23" t="n"/>
      <c r="U103" s="22">
        <f>IF(E103="","",IF(J103="","",N103+ROW()/100000))</f>
        <v/>
      </c>
    </row>
    <row r="104">
      <c r="A104" s="9">
        <f>IF(E104="","",COUNTA($E$5:E104))</f>
        <v/>
      </c>
      <c r="B104" s="22" t="inlineStr">
        <is>
          <t>AES</t>
        </is>
      </c>
      <c r="C104" s="22" t="inlineStr">
        <is>
          <t>AMH Sathorn Co., Ltd.</t>
        </is>
      </c>
      <c r="D104" s="22" t="inlineStr">
        <is>
          <t>Contract - Service</t>
        </is>
      </c>
      <c r="E104" s="23" t="inlineStr">
        <is>
          <t>Lift maintenance</t>
        </is>
      </c>
      <c r="F104" s="23" t="inlineStr">
        <is>
          <t>สัญญาบำรุงรักษาลิฟต์</t>
        </is>
      </c>
      <c r="G104" s="23" t="n"/>
      <c r="H104" s="22" t="n"/>
      <c r="I104" s="15" t="n"/>
      <c r="J104" s="15" t="n"/>
      <c r="K104" s="22" t="inlineStr">
        <is>
          <t>Annual</t>
        </is>
      </c>
      <c r="L104" s="22" t="n">
        <v>60</v>
      </c>
      <c r="M104" s="15">
        <f>IF(J104="","",J104-IF(L104="",0,L104))</f>
        <v/>
      </c>
      <c r="N104" s="24">
        <f>IF(J104="","",J104-TODAY())</f>
        <v/>
      </c>
      <c r="O104" s="9">
        <f>IF(E104="","",IF(J104="","No date",IF(N104&lt;0,"Expired",IF(N104&lt;=30,"Urgent",IF(N104&lt;=90,"Due soon","OK")))))</f>
        <v/>
      </c>
      <c r="P104" s="22" t="n"/>
      <c r="Q104" s="25" t="n"/>
      <c r="R104" s="22" t="n"/>
      <c r="S104" s="22" t="n"/>
      <c r="T104" s="23" t="n"/>
      <c r="U104" s="22">
        <f>IF(E104="","",IF(J104="","",N104+ROW()/100000))</f>
        <v/>
      </c>
    </row>
    <row r="105">
      <c r="A105" s="9">
        <f>IF(E105="","",COUNTA($E$5:E105))</f>
        <v/>
      </c>
      <c r="B105" s="22" t="inlineStr">
        <is>
          <t>AES</t>
        </is>
      </c>
      <c r="C105" s="22" t="inlineStr">
        <is>
          <t>AMH Sathorn Co., Ltd.</t>
        </is>
      </c>
      <c r="D105" s="22" t="inlineStr">
        <is>
          <t>Contract - Service</t>
        </is>
      </c>
      <c r="E105" s="23" t="inlineStr">
        <is>
          <t>HVAC / chiller maintenance</t>
        </is>
      </c>
      <c r="F105" s="23" t="inlineStr">
        <is>
          <t>สัญญาบำรุงรักษาระบบปรับอากาศ</t>
        </is>
      </c>
      <c r="G105" s="23" t="n"/>
      <c r="H105" s="22" t="n"/>
      <c r="I105" s="15" t="n"/>
      <c r="J105" s="15" t="n"/>
      <c r="K105" s="22" t="inlineStr">
        <is>
          <t>Annual</t>
        </is>
      </c>
      <c r="L105" s="22" t="n">
        <v>60</v>
      </c>
      <c r="M105" s="15">
        <f>IF(J105="","",J105-IF(L105="",0,L105))</f>
        <v/>
      </c>
      <c r="N105" s="24">
        <f>IF(J105="","",J105-TODAY())</f>
        <v/>
      </c>
      <c r="O105" s="9">
        <f>IF(E105="","",IF(J105="","No date",IF(N105&lt;0,"Expired",IF(N105&lt;=30,"Urgent",IF(N105&lt;=90,"Due soon","OK")))))</f>
        <v/>
      </c>
      <c r="P105" s="22" t="n"/>
      <c r="Q105" s="25" t="n"/>
      <c r="R105" s="22" t="n"/>
      <c r="S105" s="22" t="n"/>
      <c r="T105" s="23" t="n"/>
      <c r="U105" s="22">
        <f>IF(E105="","",IF(J105="","",N105+ROW()/100000))</f>
        <v/>
      </c>
    </row>
    <row r="106">
      <c r="A106" s="9">
        <f>IF(E106="","",COUNTA($E$5:E106))</f>
        <v/>
      </c>
      <c r="B106" s="22" t="inlineStr">
        <is>
          <t>AES</t>
        </is>
      </c>
      <c r="C106" s="22" t="inlineStr">
        <is>
          <t>AMH Sathorn Co., Ltd.</t>
        </is>
      </c>
      <c r="D106" s="22" t="inlineStr">
        <is>
          <t>Contract - Service</t>
        </is>
      </c>
      <c r="E106" s="23" t="inlineStr">
        <is>
          <t>Fire system maintenance</t>
        </is>
      </c>
      <c r="F106" s="23" t="inlineStr">
        <is>
          <t>สัญญาบำรุงรักษาระบบดับเพลิง</t>
        </is>
      </c>
      <c r="G106" s="23" t="n"/>
      <c r="H106" s="22" t="n"/>
      <c r="I106" s="15" t="n"/>
      <c r="J106" s="15" t="n"/>
      <c r="K106" s="22" t="inlineStr">
        <is>
          <t>Annual</t>
        </is>
      </c>
      <c r="L106" s="22" t="n">
        <v>60</v>
      </c>
      <c r="M106" s="15">
        <f>IF(J106="","",J106-IF(L106="",0,L106))</f>
        <v/>
      </c>
      <c r="N106" s="24">
        <f>IF(J106="","",J106-TODAY())</f>
        <v/>
      </c>
      <c r="O106" s="9">
        <f>IF(E106="","",IF(J106="","No date",IF(N106&lt;0,"Expired",IF(N106&lt;=30,"Urgent",IF(N106&lt;=90,"Due soon","OK")))))</f>
        <v/>
      </c>
      <c r="P106" s="22" t="n"/>
      <c r="Q106" s="25" t="n"/>
      <c r="R106" s="22" t="n"/>
      <c r="S106" s="22" t="n"/>
      <c r="T106" s="23" t="n"/>
      <c r="U106" s="22">
        <f>IF(E106="","",IF(J106="","",N106+ROW()/100000))</f>
        <v/>
      </c>
    </row>
    <row r="107">
      <c r="A107" s="9">
        <f>IF(E107="","",COUNTA($E$5:E107))</f>
        <v/>
      </c>
      <c r="B107" s="22" t="inlineStr">
        <is>
          <t>AES</t>
        </is>
      </c>
      <c r="C107" s="22" t="inlineStr">
        <is>
          <t>AMH Sathorn Co., Ltd.</t>
        </is>
      </c>
      <c r="D107" s="22" t="inlineStr">
        <is>
          <t>Contract - Service</t>
        </is>
      </c>
      <c r="E107" s="23" t="inlineStr">
        <is>
          <t>Waste collection</t>
        </is>
      </c>
      <c r="F107" s="23" t="inlineStr">
        <is>
          <t>สัญญาเก็บขนขยะ</t>
        </is>
      </c>
      <c r="G107" s="23" t="n"/>
      <c r="H107" s="22" t="n"/>
      <c r="I107" s="15" t="n"/>
      <c r="J107" s="15" t="n"/>
      <c r="K107" s="22" t="inlineStr">
        <is>
          <t>Annual</t>
        </is>
      </c>
      <c r="L107" s="22" t="n">
        <v>60</v>
      </c>
      <c r="M107" s="15">
        <f>IF(J107="","",J107-IF(L107="",0,L107))</f>
        <v/>
      </c>
      <c r="N107" s="24">
        <f>IF(J107="","",J107-TODAY())</f>
        <v/>
      </c>
      <c r="O107" s="9">
        <f>IF(E107="","",IF(J107="","No date",IF(N107&lt;0,"Expired",IF(N107&lt;=30,"Urgent",IF(N107&lt;=90,"Due soon","OK")))))</f>
        <v/>
      </c>
      <c r="P107" s="22" t="n"/>
      <c r="Q107" s="25" t="n"/>
      <c r="R107" s="22" t="n"/>
      <c r="S107" s="22" t="n"/>
      <c r="T107" s="23" t="n"/>
      <c r="U107" s="22">
        <f>IF(E107="","",IF(J107="","",N107+ROW()/100000))</f>
        <v/>
      </c>
    </row>
    <row r="108">
      <c r="A108" s="9">
        <f>IF(E108="","",COUNTA($E$5:E108))</f>
        <v/>
      </c>
      <c r="B108" s="22" t="inlineStr">
        <is>
          <t>AES</t>
        </is>
      </c>
      <c r="C108" s="22" t="inlineStr">
        <is>
          <t>AMH Sathorn Co., Ltd.</t>
        </is>
      </c>
      <c r="D108" s="22" t="inlineStr">
        <is>
          <t>Contract - Service</t>
        </is>
      </c>
      <c r="E108" s="23" t="inlineStr">
        <is>
          <t>PMS / property management system licence</t>
        </is>
      </c>
      <c r="F108" s="23" t="inlineStr">
        <is>
          <t>สัญญาระบบบริหารโรงแรม (PMS)</t>
        </is>
      </c>
      <c r="G108" s="23" t="n"/>
      <c r="H108" s="22" t="n"/>
      <c r="I108" s="15" t="n"/>
      <c r="J108" s="15" t="n"/>
      <c r="K108" s="22" t="inlineStr">
        <is>
          <t>Annual</t>
        </is>
      </c>
      <c r="L108" s="22" t="n">
        <v>60</v>
      </c>
      <c r="M108" s="15">
        <f>IF(J108="","",J108-IF(L108="",0,L108))</f>
        <v/>
      </c>
      <c r="N108" s="24">
        <f>IF(J108="","",J108-TODAY())</f>
        <v/>
      </c>
      <c r="O108" s="9">
        <f>IF(E108="","",IF(J108="","No date",IF(N108&lt;0,"Expired",IF(N108&lt;=30,"Urgent",IF(N108&lt;=90,"Due soon","OK")))))</f>
        <v/>
      </c>
      <c r="P108" s="22" t="n"/>
      <c r="Q108" s="25" t="n"/>
      <c r="R108" s="22" t="n"/>
      <c r="S108" s="22" t="n"/>
      <c r="T108" s="23" t="n"/>
      <c r="U108" s="22">
        <f>IF(E108="","",IF(J108="","",N108+ROW()/100000))</f>
        <v/>
      </c>
    </row>
    <row r="109">
      <c r="A109" s="9">
        <f>IF(E109="","",COUNTA($E$5:E109))</f>
        <v/>
      </c>
      <c r="B109" s="22" t="inlineStr">
        <is>
          <t>AES</t>
        </is>
      </c>
      <c r="C109" s="22" t="inlineStr">
        <is>
          <t>AMH Sathorn Co., Ltd.</t>
        </is>
      </c>
      <c r="D109" s="22" t="inlineStr">
        <is>
          <t>Contract - Service</t>
        </is>
      </c>
      <c r="E109" s="23" t="inlineStr">
        <is>
          <t>Internet / IPTV / telephone</t>
        </is>
      </c>
      <c r="F109" s="23" t="inlineStr">
        <is>
          <t>สัญญาอินเทอร์เน็ต / IPTV / โทรศัพท์</t>
        </is>
      </c>
      <c r="G109" s="23" t="n"/>
      <c r="H109" s="22" t="n"/>
      <c r="I109" s="15" t="n"/>
      <c r="J109" s="15" t="n"/>
      <c r="K109" s="22" t="inlineStr">
        <is>
          <t>Annual</t>
        </is>
      </c>
      <c r="L109" s="22" t="n">
        <v>60</v>
      </c>
      <c r="M109" s="15">
        <f>IF(J109="","",J109-IF(L109="",0,L109))</f>
        <v/>
      </c>
      <c r="N109" s="24">
        <f>IF(J109="","",J109-TODAY())</f>
        <v/>
      </c>
      <c r="O109" s="9">
        <f>IF(E109="","",IF(J109="","No date",IF(N109&lt;0,"Expired",IF(N109&lt;=30,"Urgent",IF(N109&lt;=90,"Due soon","OK")))))</f>
        <v/>
      </c>
      <c r="P109" s="22" t="n"/>
      <c r="Q109" s="25" t="n"/>
      <c r="R109" s="22" t="n"/>
      <c r="S109" s="22" t="n"/>
      <c r="T109" s="23" t="n"/>
      <c r="U109" s="22">
        <f>IF(E109="","",IF(J109="","",N109+ROW()/100000))</f>
        <v/>
      </c>
    </row>
    <row r="110">
      <c r="A110" s="9">
        <f>IF(E110="","",COUNTA($E$5:E110))</f>
        <v/>
      </c>
      <c r="B110" s="22" t="inlineStr">
        <is>
          <t>AES</t>
        </is>
      </c>
      <c r="C110" s="22" t="inlineStr">
        <is>
          <t>AMH Sathorn Co., Ltd.</t>
        </is>
      </c>
      <c r="D110" s="22" t="inlineStr">
        <is>
          <t>Contract - Service</t>
        </is>
      </c>
      <c r="E110" s="23" t="inlineStr">
        <is>
          <t>External audit &amp; tax agent</t>
        </is>
      </c>
      <c r="F110" s="23" t="inlineStr">
        <is>
          <t>สัญญาผู้สอบบัญชีและที่ปรึกษาภาษี</t>
        </is>
      </c>
      <c r="G110" s="23" t="n"/>
      <c r="H110" s="22" t="n"/>
      <c r="I110" s="15" t="n"/>
      <c r="J110" s="15" t="n"/>
      <c r="K110" s="22" t="inlineStr">
        <is>
          <t>Annual</t>
        </is>
      </c>
      <c r="L110" s="22" t="n">
        <v>60</v>
      </c>
      <c r="M110" s="15">
        <f>IF(J110="","",J110-IF(L110="",0,L110))</f>
        <v/>
      </c>
      <c r="N110" s="24">
        <f>IF(J110="","",J110-TODAY())</f>
        <v/>
      </c>
      <c r="O110" s="9">
        <f>IF(E110="","",IF(J110="","No date",IF(N110&lt;0,"Expired",IF(N110&lt;=30,"Urgent",IF(N110&lt;=90,"Due soon","OK")))))</f>
        <v/>
      </c>
      <c r="P110" s="22" t="n"/>
      <c r="Q110" s="25" t="n"/>
      <c r="R110" s="22" t="n"/>
      <c r="S110" s="22" t="n"/>
      <c r="T110" s="23" t="n"/>
      <c r="U110" s="22">
        <f>IF(E110="","",IF(J110="","",N110+ROW()/100000))</f>
        <v/>
      </c>
    </row>
    <row r="111">
      <c r="A111" s="9">
        <f>IF(E111="","",COUNTA($E$5:E111))</f>
        <v/>
      </c>
      <c r="B111" s="22" t="inlineStr">
        <is>
          <t>AES</t>
        </is>
      </c>
      <c r="C111" s="22" t="inlineStr">
        <is>
          <t>AMH Sathorn Co., Ltd.</t>
        </is>
      </c>
      <c r="D111" s="22" t="inlineStr">
        <is>
          <t>Contract - Utility</t>
        </is>
      </c>
      <c r="E111" s="23" t="inlineStr">
        <is>
          <t>Electricity supply</t>
        </is>
      </c>
      <c r="F111" s="23" t="inlineStr">
        <is>
          <t>สัญญาไฟฟ้า</t>
        </is>
      </c>
      <c r="G111" s="23" t="n"/>
      <c r="H111" s="22" t="n"/>
      <c r="I111" s="15" t="n"/>
      <c r="J111" s="15" t="n"/>
      <c r="K111" s="22" t="inlineStr">
        <is>
          <t>Rolling / evergreen</t>
        </is>
      </c>
      <c r="L111" s="22" t="n">
        <v>60</v>
      </c>
      <c r="M111" s="15">
        <f>IF(J111="","",J111-IF(L111="",0,L111))</f>
        <v/>
      </c>
      <c r="N111" s="24">
        <f>IF(J111="","",J111-TODAY())</f>
        <v/>
      </c>
      <c r="O111" s="9">
        <f>IF(E111="","",IF(J111="","No date",IF(N111&lt;0,"Expired",IF(N111&lt;=30,"Urgent",IF(N111&lt;=90,"Due soon","OK")))))</f>
        <v/>
      </c>
      <c r="P111" s="22" t="n"/>
      <c r="Q111" s="25" t="n"/>
      <c r="R111" s="22" t="n"/>
      <c r="S111" s="22" t="n"/>
      <c r="T111" s="23" t="n"/>
      <c r="U111" s="22">
        <f>IF(E111="","",IF(J111="","",N111+ROW()/100000))</f>
        <v/>
      </c>
    </row>
    <row r="112">
      <c r="A112" s="9">
        <f>IF(E112="","",COUNTA($E$5:E112))</f>
        <v/>
      </c>
      <c r="B112" s="22" t="inlineStr">
        <is>
          <t>AES</t>
        </is>
      </c>
      <c r="C112" s="22" t="inlineStr">
        <is>
          <t>AMH Sathorn Co., Ltd.</t>
        </is>
      </c>
      <c r="D112" s="22" t="inlineStr">
        <is>
          <t>Contract - Utility</t>
        </is>
      </c>
      <c r="E112" s="23" t="inlineStr">
        <is>
          <t>Water supply</t>
        </is>
      </c>
      <c r="F112" s="23" t="inlineStr">
        <is>
          <t>สัญญาน้ำประปา</t>
        </is>
      </c>
      <c r="G112" s="23" t="n"/>
      <c r="H112" s="22" t="n"/>
      <c r="I112" s="15" t="n"/>
      <c r="J112" s="15" t="n"/>
      <c r="K112" s="22" t="inlineStr">
        <is>
          <t>Rolling / evergreen</t>
        </is>
      </c>
      <c r="L112" s="22" t="n">
        <v>60</v>
      </c>
      <c r="M112" s="15">
        <f>IF(J112="","",J112-IF(L112="",0,L112))</f>
        <v/>
      </c>
      <c r="N112" s="24">
        <f>IF(J112="","",J112-TODAY())</f>
        <v/>
      </c>
      <c r="O112" s="9">
        <f>IF(E112="","",IF(J112="","No date",IF(N112&lt;0,"Expired",IF(N112&lt;=30,"Urgent",IF(N112&lt;=90,"Due soon","OK")))))</f>
        <v/>
      </c>
      <c r="P112" s="22" t="n"/>
      <c r="Q112" s="25" t="n"/>
      <c r="R112" s="22" t="n"/>
      <c r="S112" s="22" t="n"/>
      <c r="T112" s="23" t="n"/>
      <c r="U112" s="22">
        <f>IF(E112="","",IF(J112="","",N112+ROW()/100000))</f>
        <v/>
      </c>
    </row>
    <row r="113">
      <c r="A113" s="9">
        <f>IF(E113="","",COUNTA($E$5:E113))</f>
        <v/>
      </c>
      <c r="B113" s="22" t="inlineStr">
        <is>
          <t>AES</t>
        </is>
      </c>
      <c r="C113" s="22" t="inlineStr">
        <is>
          <t>AMH Sathorn Co., Ltd.</t>
        </is>
      </c>
      <c r="D113" s="22" t="inlineStr">
        <is>
          <t>Contract - Lease / Finance</t>
        </is>
      </c>
      <c r="E113" s="23" t="inlineStr">
        <is>
          <t>Land / building lease</t>
        </is>
      </c>
      <c r="F113" s="23" t="inlineStr">
        <is>
          <t>สัญญาเช่าที่ดิน / อาคาร</t>
        </is>
      </c>
      <c r="G113" s="23" t="n"/>
      <c r="H113" s="22" t="n"/>
      <c r="I113" s="15" t="n"/>
      <c r="J113" s="15" t="n"/>
      <c r="K113" s="22" t="inlineStr">
        <is>
          <t>Other</t>
        </is>
      </c>
      <c r="L113" s="22" t="n">
        <v>60</v>
      </c>
      <c r="M113" s="15">
        <f>IF(J113="","",J113-IF(L113="",0,L113))</f>
        <v/>
      </c>
      <c r="N113" s="24">
        <f>IF(J113="","",J113-TODAY())</f>
        <v/>
      </c>
      <c r="O113" s="9">
        <f>IF(E113="","",IF(J113="","No date",IF(N113&lt;0,"Expired",IF(N113&lt;=30,"Urgent",IF(N113&lt;=90,"Due soon","OK")))))</f>
        <v/>
      </c>
      <c r="P113" s="22" t="n"/>
      <c r="Q113" s="25" t="n"/>
      <c r="R113" s="22" t="n"/>
      <c r="S113" s="22" t="n"/>
      <c r="T113" s="23" t="n"/>
      <c r="U113" s="22">
        <f>IF(E113="","",IF(J113="","",N113+ROW()/100000))</f>
        <v/>
      </c>
    </row>
    <row r="114">
      <c r="A114" s="9">
        <f>IF(E114="","",COUNTA($E$5:E114))</f>
        <v/>
      </c>
      <c r="B114" s="22" t="inlineStr">
        <is>
          <t>AES</t>
        </is>
      </c>
      <c r="C114" s="22" t="inlineStr">
        <is>
          <t>AMH Sathorn Co., Ltd.</t>
        </is>
      </c>
      <c r="D114" s="22" t="inlineStr">
        <is>
          <t>Contract - Lease / Finance</t>
        </is>
      </c>
      <c r="E114" s="23" t="inlineStr">
        <is>
          <t>Bank facility / loan agreement</t>
        </is>
      </c>
      <c r="F114" s="23" t="inlineStr">
        <is>
          <t>สัญญาสินเชื่อธนาคาร</t>
        </is>
      </c>
      <c r="G114" s="23" t="n"/>
      <c r="H114" s="22" t="n"/>
      <c r="I114" s="15" t="n"/>
      <c r="J114" s="15" t="n"/>
      <c r="K114" s="22" t="inlineStr">
        <is>
          <t>Other</t>
        </is>
      </c>
      <c r="L114" s="22" t="n">
        <v>60</v>
      </c>
      <c r="M114" s="15">
        <f>IF(J114="","",J114-IF(L114="",0,L114))</f>
        <v/>
      </c>
      <c r="N114" s="24">
        <f>IF(J114="","",J114-TODAY())</f>
        <v/>
      </c>
      <c r="O114" s="9">
        <f>IF(E114="","",IF(J114="","No date",IF(N114&lt;0,"Expired",IF(N114&lt;=30,"Urgent",IF(N114&lt;=90,"Due soon","OK")))))</f>
        <v/>
      </c>
      <c r="P114" s="22" t="n"/>
      <c r="Q114" s="25" t="n"/>
      <c r="R114" s="22" t="n"/>
      <c r="S114" s="22" t="n"/>
      <c r="T114" s="23" t="n"/>
      <c r="U114" s="22">
        <f>IF(E114="","",IF(J114="","",N114+ROW()/100000))</f>
        <v/>
      </c>
    </row>
    <row r="115">
      <c r="A115" s="9">
        <f>IF(E115="","",COUNTA($E$5:E115))</f>
        <v/>
      </c>
      <c r="B115" s="22" t="inlineStr">
        <is>
          <t>LYF</t>
        </is>
      </c>
      <c r="C115" s="22" t="inlineStr">
        <is>
          <t>AMH Sukhumvit 8 Co., Ltd.</t>
        </is>
      </c>
      <c r="D115" s="22" t="inlineStr">
        <is>
          <t>Licence</t>
        </is>
      </c>
      <c r="E115" s="23" t="inlineStr">
        <is>
          <t>Hotel operating licence</t>
        </is>
      </c>
      <c r="F115" s="23" t="inlineStr">
        <is>
          <t>ใบอนุญาตประกอบธุรกิจโรงแรม</t>
        </is>
      </c>
      <c r="G115" s="23" t="inlineStr">
        <is>
          <t>Dept. of Provincial Administration / District Office</t>
        </is>
      </c>
      <c r="H115" s="22" t="n"/>
      <c r="I115" s="15" t="n"/>
      <c r="J115" s="15" t="n"/>
      <c r="K115" s="22" t="inlineStr">
        <is>
          <t>Every 5 years</t>
        </is>
      </c>
      <c r="L115" s="22" t="n">
        <v>60</v>
      </c>
      <c r="M115" s="15">
        <f>IF(J115="","",J115-IF(L115="",0,L115))</f>
        <v/>
      </c>
      <c r="N115" s="24">
        <f>IF(J115="","",J115-TODAY())</f>
        <v/>
      </c>
      <c r="O115" s="9">
        <f>IF(E115="","",IF(J115="","No date",IF(N115&lt;0,"Expired",IF(N115&lt;=30,"Urgent",IF(N115&lt;=90,"Due soon","OK")))))</f>
        <v/>
      </c>
      <c r="P115" s="22" t="n"/>
      <c r="Q115" s="25" t="n"/>
      <c r="R115" s="22" t="n"/>
      <c r="S115" s="22" t="n"/>
      <c r="T115" s="23" t="n"/>
      <c r="U115" s="22">
        <f>IF(E115="","",IF(J115="","",N115+ROW()/100000))</f>
        <v/>
      </c>
    </row>
    <row r="116">
      <c r="A116" s="9">
        <f>IF(E116="","",COUNTA($E$5:E116))</f>
        <v/>
      </c>
      <c r="B116" s="22" t="inlineStr">
        <is>
          <t>LYF</t>
        </is>
      </c>
      <c r="C116" s="22" t="inlineStr">
        <is>
          <t>AMH Sukhumvit 8 Co., Ltd.</t>
        </is>
      </c>
      <c r="D116" s="22" t="inlineStr">
        <is>
          <t>Licence</t>
        </is>
      </c>
      <c r="E116" s="23" t="inlineStr">
        <is>
          <t>Hotel manager licence</t>
        </is>
      </c>
      <c r="F116" s="23" t="inlineStr">
        <is>
          <t>ใบอนุญาตผู้จัดการโรงแรม</t>
        </is>
      </c>
      <c r="G116" s="23" t="inlineStr">
        <is>
          <t>Dept. of Provincial Administration / District Office</t>
        </is>
      </c>
      <c r="H116" s="22" t="n"/>
      <c r="I116" s="15" t="n"/>
      <c r="J116" s="15" t="n"/>
      <c r="K116" s="22" t="inlineStr">
        <is>
          <t>Every 5 years</t>
        </is>
      </c>
      <c r="L116" s="22" t="n">
        <v>60</v>
      </c>
      <c r="M116" s="15">
        <f>IF(J116="","",J116-IF(L116="",0,L116))</f>
        <v/>
      </c>
      <c r="N116" s="24">
        <f>IF(J116="","",J116-TODAY())</f>
        <v/>
      </c>
      <c r="O116" s="9">
        <f>IF(E116="","",IF(J116="","No date",IF(N116&lt;0,"Expired",IF(N116&lt;=30,"Urgent",IF(N116&lt;=90,"Due soon","OK")))))</f>
        <v/>
      </c>
      <c r="P116" s="22" t="n"/>
      <c r="Q116" s="25" t="n"/>
      <c r="R116" s="22" t="n"/>
      <c r="S116" s="22" t="n"/>
      <c r="T116" s="23" t="n"/>
      <c r="U116" s="22">
        <f>IF(E116="","",IF(J116="","",N116+ROW()/100000))</f>
        <v/>
      </c>
    </row>
    <row r="117">
      <c r="A117" s="9">
        <f>IF(E117="","",COUNTA($E$5:E117))</f>
        <v/>
      </c>
      <c r="B117" s="22" t="inlineStr">
        <is>
          <t>LYF</t>
        </is>
      </c>
      <c r="C117" s="22" t="inlineStr">
        <is>
          <t>AMH Sukhumvit 8 Co., Ltd.</t>
        </is>
      </c>
      <c r="D117" s="22" t="inlineStr">
        <is>
          <t>Permit</t>
        </is>
      </c>
      <c r="E117" s="23" t="inlineStr">
        <is>
          <t>Building construction permit (อ.1)</t>
        </is>
      </c>
      <c r="F117" s="23" t="inlineStr">
        <is>
          <t>ใบอนุญาตก่อสร้างอาคาร (อ.1)</t>
        </is>
      </c>
      <c r="G117" s="23" t="inlineStr">
        <is>
          <t>Local authority (BMA / City Municipality)</t>
        </is>
      </c>
      <c r="H117" s="22" t="n"/>
      <c r="I117" s="15" t="n"/>
      <c r="J117" s="15" t="n"/>
      <c r="K117" s="22" t="inlineStr">
        <is>
          <t>One-off</t>
        </is>
      </c>
      <c r="L117" s="22" t="n">
        <v>60</v>
      </c>
      <c r="M117" s="15">
        <f>IF(J117="","",J117-IF(L117="",0,L117))</f>
        <v/>
      </c>
      <c r="N117" s="24">
        <f>IF(J117="","",J117-TODAY())</f>
        <v/>
      </c>
      <c r="O117" s="9">
        <f>IF(E117="","",IF(J117="","No date",IF(N117&lt;0,"Expired",IF(N117&lt;=30,"Urgent",IF(N117&lt;=90,"Due soon","OK")))))</f>
        <v/>
      </c>
      <c r="P117" s="22" t="n"/>
      <c r="Q117" s="25" t="n"/>
      <c r="R117" s="22" t="n"/>
      <c r="S117" s="22" t="n"/>
      <c r="T117" s="23" t="n"/>
      <c r="U117" s="22">
        <f>IF(E117="","",IF(J117="","",N117+ROW()/100000))</f>
        <v/>
      </c>
    </row>
    <row r="118">
      <c r="A118" s="9">
        <f>IF(E118="","",COUNTA($E$5:E118))</f>
        <v/>
      </c>
      <c r="B118" s="22" t="inlineStr">
        <is>
          <t>LYF</t>
        </is>
      </c>
      <c r="C118" s="22" t="inlineStr">
        <is>
          <t>AMH Sukhumvit 8 Co., Ltd.</t>
        </is>
      </c>
      <c r="D118" s="22" t="inlineStr">
        <is>
          <t>Certificate</t>
        </is>
      </c>
      <c r="E118" s="23" t="inlineStr">
        <is>
          <t>Certificate of building use (อ.6)</t>
        </is>
      </c>
      <c r="F118" s="23" t="inlineStr">
        <is>
          <t>ใบรับรองการใช้อาคาร (อ.6)</t>
        </is>
      </c>
      <c r="G118" s="23" t="inlineStr">
        <is>
          <t>Local authority (BMA / City Municipality)</t>
        </is>
      </c>
      <c r="H118" s="22" t="n"/>
      <c r="I118" s="15" t="n"/>
      <c r="J118" s="15" t="n"/>
      <c r="K118" s="22" t="inlineStr">
        <is>
          <t>One-off</t>
        </is>
      </c>
      <c r="L118" s="22" t="n">
        <v>60</v>
      </c>
      <c r="M118" s="15">
        <f>IF(J118="","",J118-IF(L118="",0,L118))</f>
        <v/>
      </c>
      <c r="N118" s="24">
        <f>IF(J118="","",J118-TODAY())</f>
        <v/>
      </c>
      <c r="O118" s="9">
        <f>IF(E118="","",IF(J118="","No date",IF(N118&lt;0,"Expired",IF(N118&lt;=30,"Urgent",IF(N118&lt;=90,"Due soon","OK")))))</f>
        <v/>
      </c>
      <c r="P118" s="22" t="n"/>
      <c r="Q118" s="25" t="n"/>
      <c r="R118" s="22" t="n"/>
      <c r="S118" s="22" t="n"/>
      <c r="T118" s="23" t="n"/>
      <c r="U118" s="22">
        <f>IF(E118="","",IF(J118="","",N118+ROW()/100000))</f>
        <v/>
      </c>
    </row>
    <row r="119">
      <c r="A119" s="9">
        <f>IF(E119="","",COUNTA($E$5:E119))</f>
        <v/>
      </c>
      <c r="B119" s="22" t="inlineStr">
        <is>
          <t>LYF</t>
        </is>
      </c>
      <c r="C119" s="22" t="inlineStr">
        <is>
          <t>AMH Sukhumvit 8 Co., Ltd.</t>
        </is>
      </c>
      <c r="D119" s="22" t="inlineStr">
        <is>
          <t>Certificate</t>
        </is>
      </c>
      <c r="E119" s="23" t="inlineStr">
        <is>
          <t>Annual building inspection report (ร.1)</t>
        </is>
      </c>
      <c r="F119" s="23" t="inlineStr">
        <is>
          <t>รายงานการตรวจสอบอาคารประจำปี (ร.1)</t>
        </is>
      </c>
      <c r="G119" s="23" t="inlineStr">
        <is>
          <t>Dept. of Public Works / local authority</t>
        </is>
      </c>
      <c r="H119" s="22" t="n"/>
      <c r="I119" s="15" t="n"/>
      <c r="J119" s="15" t="n"/>
      <c r="K119" s="22" t="inlineStr">
        <is>
          <t>Annual</t>
        </is>
      </c>
      <c r="L119" s="22" t="n">
        <v>60</v>
      </c>
      <c r="M119" s="15">
        <f>IF(J119="","",J119-IF(L119="",0,L119))</f>
        <v/>
      </c>
      <c r="N119" s="24">
        <f>IF(J119="","",J119-TODAY())</f>
        <v/>
      </c>
      <c r="O119" s="9">
        <f>IF(E119="","",IF(J119="","No date",IF(N119&lt;0,"Expired",IF(N119&lt;=30,"Urgent",IF(N119&lt;=90,"Due soon","OK")))))</f>
        <v/>
      </c>
      <c r="P119" s="22" t="n"/>
      <c r="Q119" s="25" t="n"/>
      <c r="R119" s="22" t="n"/>
      <c r="S119" s="22" t="n"/>
      <c r="T119" s="23" t="n"/>
      <c r="U119" s="22">
        <f>IF(E119="","",IF(J119="","",N119+ROW()/100000))</f>
        <v/>
      </c>
    </row>
    <row r="120">
      <c r="A120" s="9">
        <f>IF(E120="","",COUNTA($E$5:E120))</f>
        <v/>
      </c>
      <c r="B120" s="22" t="inlineStr">
        <is>
          <t>LYF</t>
        </is>
      </c>
      <c r="C120" s="22" t="inlineStr">
        <is>
          <t>AMH Sukhumvit 8 Co., Ltd.</t>
        </is>
      </c>
      <c r="D120" s="22" t="inlineStr">
        <is>
          <t>Certificate</t>
        </is>
      </c>
      <c r="E120" s="23" t="inlineStr">
        <is>
          <t>Fire protection system inspection</t>
        </is>
      </c>
      <c r="F120" s="23" t="inlineStr">
        <is>
          <t>การตรวจสอบระบบป้องกันอัคคีภัย</t>
        </is>
      </c>
      <c r="G120" s="23" t="inlineStr">
        <is>
          <t>Licensed inspector</t>
        </is>
      </c>
      <c r="H120" s="22" t="n"/>
      <c r="I120" s="15" t="n"/>
      <c r="J120" s="15" t="n"/>
      <c r="K120" s="22" t="inlineStr">
        <is>
          <t>Annual</t>
        </is>
      </c>
      <c r="L120" s="22" t="n">
        <v>60</v>
      </c>
      <c r="M120" s="15">
        <f>IF(J120="","",J120-IF(L120="",0,L120))</f>
        <v/>
      </c>
      <c r="N120" s="24">
        <f>IF(J120="","",J120-TODAY())</f>
        <v/>
      </c>
      <c r="O120" s="9">
        <f>IF(E120="","",IF(J120="","No date",IF(N120&lt;0,"Expired",IF(N120&lt;=30,"Urgent",IF(N120&lt;=90,"Due soon","OK")))))</f>
        <v/>
      </c>
      <c r="P120" s="22" t="n"/>
      <c r="Q120" s="25" t="n"/>
      <c r="R120" s="22" t="n"/>
      <c r="S120" s="22" t="n"/>
      <c r="T120" s="23" t="n"/>
      <c r="U120" s="22">
        <f>IF(E120="","",IF(J120="","",N120+ROW()/100000))</f>
        <v/>
      </c>
    </row>
    <row r="121">
      <c r="A121" s="9">
        <f>IF(E121="","",COUNTA($E$5:E121))</f>
        <v/>
      </c>
      <c r="B121" s="22" t="inlineStr">
        <is>
          <t>LYF</t>
        </is>
      </c>
      <c r="C121" s="22" t="inlineStr">
        <is>
          <t>AMH Sukhumvit 8 Co., Ltd.</t>
        </is>
      </c>
      <c r="D121" s="22" t="inlineStr">
        <is>
          <t>Certificate</t>
        </is>
      </c>
      <c r="E121" s="23" t="inlineStr">
        <is>
          <t>Lift / elevator inspection certificate</t>
        </is>
      </c>
      <c r="F121" s="23" t="inlineStr">
        <is>
          <t>ใบรับรองการตรวจสอบลิฟต์</t>
        </is>
      </c>
      <c r="G121" s="23" t="inlineStr">
        <is>
          <t>Licensed engineer</t>
        </is>
      </c>
      <c r="H121" s="22" t="n"/>
      <c r="I121" s="15" t="n"/>
      <c r="J121" s="15" t="n"/>
      <c r="K121" s="22" t="inlineStr">
        <is>
          <t>Annual</t>
        </is>
      </c>
      <c r="L121" s="22" t="n">
        <v>60</v>
      </c>
      <c r="M121" s="15">
        <f>IF(J121="","",J121-IF(L121="",0,L121))</f>
        <v/>
      </c>
      <c r="N121" s="24">
        <f>IF(J121="","",J121-TODAY())</f>
        <v/>
      </c>
      <c r="O121" s="9">
        <f>IF(E121="","",IF(J121="","No date",IF(N121&lt;0,"Expired",IF(N121&lt;=30,"Urgent",IF(N121&lt;=90,"Due soon","OK")))))</f>
        <v/>
      </c>
      <c r="P121" s="22" t="n"/>
      <c r="Q121" s="25" t="n"/>
      <c r="R121" s="22" t="n"/>
      <c r="S121" s="22" t="n"/>
      <c r="T121" s="23" t="n"/>
      <c r="U121" s="22">
        <f>IF(E121="","",IF(J121="","",N121+ROW()/100000))</f>
        <v/>
      </c>
    </row>
    <row r="122">
      <c r="A122" s="9">
        <f>IF(E122="","",COUNTA($E$5:E122))</f>
        <v/>
      </c>
      <c r="B122" s="22" t="inlineStr">
        <is>
          <t>LYF</t>
        </is>
      </c>
      <c r="C122" s="22" t="inlineStr">
        <is>
          <t>AMH Sukhumvit 8 Co., Ltd.</t>
        </is>
      </c>
      <c r="D122" s="22" t="inlineStr">
        <is>
          <t>Certificate</t>
        </is>
      </c>
      <c r="E122" s="23" t="inlineStr">
        <is>
          <t>Electrical system inspection</t>
        </is>
      </c>
      <c r="F122" s="23" t="inlineStr">
        <is>
          <t>การตรวจสอบระบบไฟฟ้า</t>
        </is>
      </c>
      <c r="G122" s="23" t="inlineStr">
        <is>
          <t>Licensed engineer</t>
        </is>
      </c>
      <c r="H122" s="22" t="n"/>
      <c r="I122" s="15" t="n"/>
      <c r="J122" s="15" t="n"/>
      <c r="K122" s="22" t="inlineStr">
        <is>
          <t>Annual</t>
        </is>
      </c>
      <c r="L122" s="22" t="n">
        <v>60</v>
      </c>
      <c r="M122" s="15">
        <f>IF(J122="","",J122-IF(L122="",0,L122))</f>
        <v/>
      </c>
      <c r="N122" s="24">
        <f>IF(J122="","",J122-TODAY())</f>
        <v/>
      </c>
      <c r="O122" s="9">
        <f>IF(E122="","",IF(J122="","No date",IF(N122&lt;0,"Expired",IF(N122&lt;=30,"Urgent",IF(N122&lt;=90,"Due soon","OK")))))</f>
        <v/>
      </c>
      <c r="P122" s="22" t="n"/>
      <c r="Q122" s="25" t="n"/>
      <c r="R122" s="22" t="n"/>
      <c r="S122" s="22" t="n"/>
      <c r="T122" s="23" t="n"/>
      <c r="U122" s="22">
        <f>IF(E122="","",IF(J122="","",N122+ROW()/100000))</f>
        <v/>
      </c>
    </row>
    <row r="123">
      <c r="A123" s="9">
        <f>IF(E123="","",COUNTA($E$5:E123))</f>
        <v/>
      </c>
      <c r="B123" s="22" t="inlineStr">
        <is>
          <t>LYF</t>
        </is>
      </c>
      <c r="C123" s="22" t="inlineStr">
        <is>
          <t>AMH Sukhumvit 8 Co., Ltd.</t>
        </is>
      </c>
      <c r="D123" s="22" t="inlineStr">
        <is>
          <t>Certificate</t>
        </is>
      </c>
      <c r="E123" s="23" t="inlineStr">
        <is>
          <t>Generator / fuel storage permit</t>
        </is>
      </c>
      <c r="F123" s="23" t="inlineStr">
        <is>
          <t>ใบอนุญาตเครื่องกำเนิดไฟฟ้า / เก็บน้ำมันเชื้อเพลิง</t>
        </is>
      </c>
      <c r="G123" s="23" t="inlineStr">
        <is>
          <t>Dept. of Energy Business / local authority</t>
        </is>
      </c>
      <c r="H123" s="22" t="n"/>
      <c r="I123" s="15" t="n"/>
      <c r="J123" s="15" t="n"/>
      <c r="K123" s="22" t="inlineStr">
        <is>
          <t>Annual</t>
        </is>
      </c>
      <c r="L123" s="22" t="n">
        <v>60</v>
      </c>
      <c r="M123" s="15">
        <f>IF(J123="","",J123-IF(L123="",0,L123))</f>
        <v/>
      </c>
      <c r="N123" s="24">
        <f>IF(J123="","",J123-TODAY())</f>
        <v/>
      </c>
      <c r="O123" s="9">
        <f>IF(E123="","",IF(J123="","No date",IF(N123&lt;0,"Expired",IF(N123&lt;=30,"Urgent",IF(N123&lt;=90,"Due soon","OK")))))</f>
        <v/>
      </c>
      <c r="P123" s="22" t="n"/>
      <c r="Q123" s="25" t="n"/>
      <c r="R123" s="22" t="n"/>
      <c r="S123" s="22" t="n"/>
      <c r="T123" s="23" t="n"/>
      <c r="U123" s="22">
        <f>IF(E123="","",IF(J123="","",N123+ROW()/100000))</f>
        <v/>
      </c>
    </row>
    <row r="124">
      <c r="A124" s="9">
        <f>IF(E124="","",COUNTA($E$5:E124))</f>
        <v/>
      </c>
      <c r="B124" s="22" t="inlineStr">
        <is>
          <t>LYF</t>
        </is>
      </c>
      <c r="C124" s="22" t="inlineStr">
        <is>
          <t>AMH Sukhumvit 8 Co., Ltd.</t>
        </is>
      </c>
      <c r="D124" s="22" t="inlineStr">
        <is>
          <t>Certificate</t>
        </is>
      </c>
      <c r="E124" s="23" t="inlineStr">
        <is>
          <t>Boiler / pressure vessel inspection</t>
        </is>
      </c>
      <c r="F124" s="23" t="inlineStr">
        <is>
          <t>การตรวจสอบหม้อไอน้ำ / ภาชนะรับแรงดัน</t>
        </is>
      </c>
      <c r="G124" s="23" t="inlineStr">
        <is>
          <t>Licensed engineer</t>
        </is>
      </c>
      <c r="H124" s="22" t="n"/>
      <c r="I124" s="15" t="n"/>
      <c r="J124" s="15" t="n"/>
      <c r="K124" s="22" t="inlineStr">
        <is>
          <t>Annual</t>
        </is>
      </c>
      <c r="L124" s="22" t="n">
        <v>60</v>
      </c>
      <c r="M124" s="15">
        <f>IF(J124="","",J124-IF(L124="",0,L124))</f>
        <v/>
      </c>
      <c r="N124" s="24">
        <f>IF(J124="","",J124-TODAY())</f>
        <v/>
      </c>
      <c r="O124" s="9">
        <f>IF(E124="","",IF(J124="","No date",IF(N124&lt;0,"Expired",IF(N124&lt;=30,"Urgent",IF(N124&lt;=90,"Due soon","OK")))))</f>
        <v/>
      </c>
      <c r="P124" s="22" t="n"/>
      <c r="Q124" s="25" t="n"/>
      <c r="R124" s="22" t="n"/>
      <c r="S124" s="22" t="n"/>
      <c r="T124" s="23" t="n"/>
      <c r="U124" s="22">
        <f>IF(E124="","",IF(J124="","",N124+ROW()/100000))</f>
        <v/>
      </c>
    </row>
    <row r="125">
      <c r="A125" s="9">
        <f>IF(E125="","",COUNTA($E$5:E125))</f>
        <v/>
      </c>
      <c r="B125" s="22" t="inlineStr">
        <is>
          <t>LYF</t>
        </is>
      </c>
      <c r="C125" s="22" t="inlineStr">
        <is>
          <t>AMH Sukhumvit 8 Co., Ltd.</t>
        </is>
      </c>
      <c r="D125" s="22" t="inlineStr">
        <is>
          <t>Licence</t>
        </is>
      </c>
      <c r="E125" s="23" t="inlineStr">
        <is>
          <t>Food establishment licence</t>
        </is>
      </c>
      <c r="F125" s="23" t="inlineStr">
        <is>
          <t>ใบอนุญาตสถานที่จำหน่ายอาหาร/สะสมอาหาร</t>
        </is>
      </c>
      <c r="G125" s="23" t="inlineStr">
        <is>
          <t>Local authority (BMA / City Municipality)</t>
        </is>
      </c>
      <c r="H125" s="22" t="n"/>
      <c r="I125" s="15" t="n"/>
      <c r="J125" s="15" t="n"/>
      <c r="K125" s="22" t="inlineStr">
        <is>
          <t>Annual</t>
        </is>
      </c>
      <c r="L125" s="22" t="n">
        <v>60</v>
      </c>
      <c r="M125" s="15">
        <f>IF(J125="","",J125-IF(L125="",0,L125))</f>
        <v/>
      </c>
      <c r="N125" s="24">
        <f>IF(J125="","",J125-TODAY())</f>
        <v/>
      </c>
      <c r="O125" s="9">
        <f>IF(E125="","",IF(J125="","No date",IF(N125&lt;0,"Expired",IF(N125&lt;=30,"Urgent",IF(N125&lt;=90,"Due soon","OK")))))</f>
        <v/>
      </c>
      <c r="P125" s="22" t="n"/>
      <c r="Q125" s="25" t="n"/>
      <c r="R125" s="22" t="n"/>
      <c r="S125" s="22" t="n"/>
      <c r="T125" s="23" t="n"/>
      <c r="U125" s="22">
        <f>IF(E125="","",IF(J125="","",N125+ROW()/100000))</f>
        <v/>
      </c>
    </row>
    <row r="126">
      <c r="A126" s="9">
        <f>IF(E126="","",COUNTA($E$5:E126))</f>
        <v/>
      </c>
      <c r="B126" s="22" t="inlineStr">
        <is>
          <t>LYF</t>
        </is>
      </c>
      <c r="C126" s="22" t="inlineStr">
        <is>
          <t>AMH Sukhumvit 8 Co., Ltd.</t>
        </is>
      </c>
      <c r="D126" s="22" t="inlineStr">
        <is>
          <t>Licence</t>
        </is>
      </c>
      <c r="E126" s="23" t="inlineStr">
        <is>
          <t>Alcohol sale licence</t>
        </is>
      </c>
      <c r="F126" s="23" t="inlineStr">
        <is>
          <t>ใบอนุญาตขายสุรา</t>
        </is>
      </c>
      <c r="G126" s="23" t="inlineStr">
        <is>
          <t>Excise Department</t>
        </is>
      </c>
      <c r="H126" s="22" t="n"/>
      <c r="I126" s="15" t="n"/>
      <c r="J126" s="15" t="n"/>
      <c r="K126" s="22" t="inlineStr">
        <is>
          <t>Annual</t>
        </is>
      </c>
      <c r="L126" s="22" t="n">
        <v>60</v>
      </c>
      <c r="M126" s="15">
        <f>IF(J126="","",J126-IF(L126="",0,L126))</f>
        <v/>
      </c>
      <c r="N126" s="24">
        <f>IF(J126="","",J126-TODAY())</f>
        <v/>
      </c>
      <c r="O126" s="9">
        <f>IF(E126="","",IF(J126="","No date",IF(N126&lt;0,"Expired",IF(N126&lt;=30,"Urgent",IF(N126&lt;=90,"Due soon","OK")))))</f>
        <v/>
      </c>
      <c r="P126" s="22" t="n"/>
      <c r="Q126" s="25" t="n"/>
      <c r="R126" s="22" t="n"/>
      <c r="S126" s="22" t="n"/>
      <c r="T126" s="23" t="n"/>
      <c r="U126" s="22">
        <f>IF(E126="","",IF(J126="","",N126+ROW()/100000))</f>
        <v/>
      </c>
    </row>
    <row r="127">
      <c r="A127" s="9">
        <f>IF(E127="","",COUNTA($E$5:E127))</f>
        <v/>
      </c>
      <c r="B127" s="22" t="inlineStr">
        <is>
          <t>LYF</t>
        </is>
      </c>
      <c r="C127" s="22" t="inlineStr">
        <is>
          <t>AMH Sukhumvit 8 Co., Ltd.</t>
        </is>
      </c>
      <c r="D127" s="22" t="inlineStr">
        <is>
          <t>Licence</t>
        </is>
      </c>
      <c r="E127" s="23" t="inlineStr">
        <is>
          <t>Tobacco sale licence</t>
        </is>
      </c>
      <c r="F127" s="23" t="inlineStr">
        <is>
          <t>ใบอนุญาตขายยาสูบ</t>
        </is>
      </c>
      <c r="G127" s="23" t="inlineStr">
        <is>
          <t>Excise Department</t>
        </is>
      </c>
      <c r="H127" s="22" t="n"/>
      <c r="I127" s="15" t="n"/>
      <c r="J127" s="15" t="n"/>
      <c r="K127" s="22" t="inlineStr">
        <is>
          <t>Annual</t>
        </is>
      </c>
      <c r="L127" s="22" t="n">
        <v>60</v>
      </c>
      <c r="M127" s="15">
        <f>IF(J127="","",J127-IF(L127="",0,L127))</f>
        <v/>
      </c>
      <c r="N127" s="24">
        <f>IF(J127="","",J127-TODAY())</f>
        <v/>
      </c>
      <c r="O127" s="9">
        <f>IF(E127="","",IF(J127="","No date",IF(N127&lt;0,"Expired",IF(N127&lt;=30,"Urgent",IF(N127&lt;=90,"Due soon","OK")))))</f>
        <v/>
      </c>
      <c r="P127" s="22" t="n"/>
      <c r="Q127" s="25" t="n"/>
      <c r="R127" s="22" t="n"/>
      <c r="S127" s="22" t="n"/>
      <c r="T127" s="23" t="n"/>
      <c r="U127" s="22">
        <f>IF(E127="","",IF(J127="","",N127+ROW()/100000))</f>
        <v/>
      </c>
    </row>
    <row r="128">
      <c r="A128" s="9">
        <f>IF(E128="","",COUNTA($E$5:E128))</f>
        <v/>
      </c>
      <c r="B128" s="22" t="inlineStr">
        <is>
          <t>LYF</t>
        </is>
      </c>
      <c r="C128" s="22" t="inlineStr">
        <is>
          <t>AMH Sukhumvit 8 Co., Ltd.</t>
        </is>
      </c>
      <c r="D128" s="22" t="inlineStr">
        <is>
          <t>Licence</t>
        </is>
      </c>
      <c r="E128" s="23" t="inlineStr">
        <is>
          <t>Swimming pool / public place licence</t>
        </is>
      </c>
      <c r="F128" s="23" t="inlineStr">
        <is>
          <t>ใบอนุญาตสถานที่สาธารณะ (สระว่ายน้ำ)</t>
        </is>
      </c>
      <c r="G128" s="23" t="inlineStr">
        <is>
          <t>Local authority (BMA / City Municipality)</t>
        </is>
      </c>
      <c r="H128" s="22" t="n"/>
      <c r="I128" s="15" t="n"/>
      <c r="J128" s="15" t="n"/>
      <c r="K128" s="22" t="inlineStr">
        <is>
          <t>Annual</t>
        </is>
      </c>
      <c r="L128" s="22" t="n">
        <v>60</v>
      </c>
      <c r="M128" s="15">
        <f>IF(J128="","",J128-IF(L128="",0,L128))</f>
        <v/>
      </c>
      <c r="N128" s="24">
        <f>IF(J128="","",J128-TODAY())</f>
        <v/>
      </c>
      <c r="O128" s="9">
        <f>IF(E128="","",IF(J128="","No date",IF(N128&lt;0,"Expired",IF(N128&lt;=30,"Urgent",IF(N128&lt;=90,"Due soon","OK")))))</f>
        <v/>
      </c>
      <c r="P128" s="22" t="n"/>
      <c r="Q128" s="25" t="n"/>
      <c r="R128" s="22" t="n"/>
      <c r="S128" s="22" t="n"/>
      <c r="T128" s="23" t="n"/>
      <c r="U128" s="22">
        <f>IF(E128="","",IF(J128="","",N128+ROW()/100000))</f>
        <v/>
      </c>
    </row>
    <row r="129">
      <c r="A129" s="9">
        <f>IF(E129="","",COUNTA($E$5:E129))</f>
        <v/>
      </c>
      <c r="B129" s="22" t="inlineStr">
        <is>
          <t>LYF</t>
        </is>
      </c>
      <c r="C129" s="22" t="inlineStr">
        <is>
          <t>AMH Sukhumvit 8 Co., Ltd.</t>
        </is>
      </c>
      <c r="D129" s="22" t="inlineStr">
        <is>
          <t>Certificate</t>
        </is>
      </c>
      <c r="E129" s="23" t="inlineStr">
        <is>
          <t>Swimming pool water quality test</t>
        </is>
      </c>
      <c r="F129" s="23" t="inlineStr">
        <is>
          <t>ผลตรวจคุณภาพน้ำสระว่ายน้ำ</t>
        </is>
      </c>
      <c r="G129" s="23" t="inlineStr">
        <is>
          <t>Accredited laboratory</t>
        </is>
      </c>
      <c r="H129" s="22" t="n"/>
      <c r="I129" s="15" t="n"/>
      <c r="J129" s="15" t="n"/>
      <c r="K129" s="22" t="inlineStr">
        <is>
          <t>Other</t>
        </is>
      </c>
      <c r="L129" s="22" t="n">
        <v>60</v>
      </c>
      <c r="M129" s="15">
        <f>IF(J129="","",J129-IF(L129="",0,L129))</f>
        <v/>
      </c>
      <c r="N129" s="24">
        <f>IF(J129="","",J129-TODAY())</f>
        <v/>
      </c>
      <c r="O129" s="9">
        <f>IF(E129="","",IF(J129="","No date",IF(N129&lt;0,"Expired",IF(N129&lt;=30,"Urgent",IF(N129&lt;=90,"Due soon","OK")))))</f>
        <v/>
      </c>
      <c r="P129" s="22" t="n"/>
      <c r="Q129" s="25" t="n"/>
      <c r="R129" s="22" t="n"/>
      <c r="S129" s="22" t="n"/>
      <c r="T129" s="23" t="n"/>
      <c r="U129" s="22">
        <f>IF(E129="","",IF(J129="","",N129+ROW()/100000))</f>
        <v/>
      </c>
    </row>
    <row r="130">
      <c r="A130" s="9">
        <f>IF(E130="","",COUNTA($E$5:E130))</f>
        <v/>
      </c>
      <c r="B130" s="22" t="inlineStr">
        <is>
          <t>LYF</t>
        </is>
      </c>
      <c r="C130" s="22" t="inlineStr">
        <is>
          <t>AMH Sukhumvit 8 Co., Ltd.</t>
        </is>
      </c>
      <c r="D130" s="22" t="inlineStr">
        <is>
          <t>Certificate</t>
        </is>
      </c>
      <c r="E130" s="23" t="inlineStr">
        <is>
          <t>Drinking / potable water quality test</t>
        </is>
      </c>
      <c r="F130" s="23" t="inlineStr">
        <is>
          <t>ผลตรวจคุณภาพน้ำดื่ม</t>
        </is>
      </c>
      <c r="G130" s="23" t="inlineStr">
        <is>
          <t>Accredited laboratory</t>
        </is>
      </c>
      <c r="H130" s="22" t="n"/>
      <c r="I130" s="15" t="n"/>
      <c r="J130" s="15" t="n"/>
      <c r="K130" s="22" t="inlineStr">
        <is>
          <t>Annual</t>
        </is>
      </c>
      <c r="L130" s="22" t="n">
        <v>60</v>
      </c>
      <c r="M130" s="15">
        <f>IF(J130="","",J130-IF(L130="",0,L130))</f>
        <v/>
      </c>
      <c r="N130" s="24">
        <f>IF(J130="","",J130-TODAY())</f>
        <v/>
      </c>
      <c r="O130" s="9">
        <f>IF(E130="","",IF(J130="","No date",IF(N130&lt;0,"Expired",IF(N130&lt;=30,"Urgent",IF(N130&lt;=90,"Due soon","OK")))))</f>
        <v/>
      </c>
      <c r="P130" s="22" t="n"/>
      <c r="Q130" s="25" t="n"/>
      <c r="R130" s="22" t="n"/>
      <c r="S130" s="22" t="n"/>
      <c r="T130" s="23" t="n"/>
      <c r="U130" s="22">
        <f>IF(E130="","",IF(J130="","",N130+ROW()/100000))</f>
        <v/>
      </c>
    </row>
    <row r="131">
      <c r="A131" s="9">
        <f>IF(E131="","",COUNTA($E$5:E131))</f>
        <v/>
      </c>
      <c r="B131" s="22" t="inlineStr">
        <is>
          <t>LYF</t>
        </is>
      </c>
      <c r="C131" s="22" t="inlineStr">
        <is>
          <t>AMH Sukhumvit 8 Co., Ltd.</t>
        </is>
      </c>
      <c r="D131" s="22" t="inlineStr">
        <is>
          <t>Certificate</t>
        </is>
      </c>
      <c r="E131" s="23" t="inlineStr">
        <is>
          <t>Wastewater treatment monitoring report</t>
        </is>
      </c>
      <c r="F131" s="23" t="inlineStr">
        <is>
          <t>รายงานผลการตรวจวัดคุณภาพน้ำทิ้ง</t>
        </is>
      </c>
      <c r="G131" s="23" t="inlineStr">
        <is>
          <t>Dept. of Pollution Control / local authority</t>
        </is>
      </c>
      <c r="H131" s="22" t="n"/>
      <c r="I131" s="15" t="n"/>
      <c r="J131" s="15" t="n"/>
      <c r="K131" s="22" t="inlineStr">
        <is>
          <t>Other</t>
        </is>
      </c>
      <c r="L131" s="22" t="n">
        <v>60</v>
      </c>
      <c r="M131" s="15">
        <f>IF(J131="","",J131-IF(L131="",0,L131))</f>
        <v/>
      </c>
      <c r="N131" s="24">
        <f>IF(J131="","",J131-TODAY())</f>
        <v/>
      </c>
      <c r="O131" s="9">
        <f>IF(E131="","",IF(J131="","No date",IF(N131&lt;0,"Expired",IF(N131&lt;=30,"Urgent",IF(N131&lt;=90,"Due soon","OK")))))</f>
        <v/>
      </c>
      <c r="P131" s="22" t="n"/>
      <c r="Q131" s="25" t="n"/>
      <c r="R131" s="22" t="n"/>
      <c r="S131" s="22" t="n"/>
      <c r="T131" s="23" t="n"/>
      <c r="U131" s="22">
        <f>IF(E131="","",IF(J131="","",N131+ROW()/100000))</f>
        <v/>
      </c>
    </row>
    <row r="132">
      <c r="A132" s="9">
        <f>IF(E132="","",COUNTA($E$5:E132))</f>
        <v/>
      </c>
      <c r="B132" s="22" t="inlineStr">
        <is>
          <t>LYF</t>
        </is>
      </c>
      <c r="C132" s="22" t="inlineStr">
        <is>
          <t>AMH Sukhumvit 8 Co., Ltd.</t>
        </is>
      </c>
      <c r="D132" s="22" t="inlineStr">
        <is>
          <t>Certificate</t>
        </is>
      </c>
      <c r="E132" s="23" t="inlineStr">
        <is>
          <t>EIA environmental monitoring report</t>
        </is>
      </c>
      <c r="F132" s="23" t="inlineStr">
        <is>
          <t>รายงานผลการปฏิบัติตามมาตรการ EIA</t>
        </is>
      </c>
      <c r="G132" s="23" t="inlineStr">
        <is>
          <t>Office of Natural Resources &amp; Environmental Policy (ONEP)</t>
        </is>
      </c>
      <c r="H132" s="22" t="n"/>
      <c r="I132" s="15" t="n"/>
      <c r="J132" s="15" t="n"/>
      <c r="K132" s="22" t="inlineStr">
        <is>
          <t>Other</t>
        </is>
      </c>
      <c r="L132" s="22" t="n">
        <v>60</v>
      </c>
      <c r="M132" s="15">
        <f>IF(J132="","",J132-IF(L132="",0,L132))</f>
        <v/>
      </c>
      <c r="N132" s="24">
        <f>IF(J132="","",J132-TODAY())</f>
        <v/>
      </c>
      <c r="O132" s="9">
        <f>IF(E132="","",IF(J132="","No date",IF(N132&lt;0,"Expired",IF(N132&lt;=30,"Urgent",IF(N132&lt;=90,"Due soon","OK")))))</f>
        <v/>
      </c>
      <c r="P132" s="22" t="n"/>
      <c r="Q132" s="25" t="n"/>
      <c r="R132" s="22" t="n"/>
      <c r="S132" s="22" t="n"/>
      <c r="T132" s="23" t="n"/>
      <c r="U132" s="22">
        <f>IF(E132="","",IF(J132="","",N132+ROW()/100000))</f>
        <v/>
      </c>
    </row>
    <row r="133">
      <c r="A133" s="9">
        <f>IF(E133="","",COUNTA($E$5:E133))</f>
        <v/>
      </c>
      <c r="B133" s="22" t="inlineStr">
        <is>
          <t>LYF</t>
        </is>
      </c>
      <c r="C133" s="22" t="inlineStr">
        <is>
          <t>AMH Sukhumvit 8 Co., Ltd.</t>
        </is>
      </c>
      <c r="D133" s="22" t="inlineStr">
        <is>
          <t>Permit</t>
        </is>
      </c>
      <c r="E133" s="23" t="inlineStr">
        <is>
          <t>Waste / refuse disposal permit</t>
        </is>
      </c>
      <c r="F133" s="23" t="inlineStr">
        <is>
          <t>ใบอนุญาตกำจัดสิ่งปฏิกูลและมูลฝอย</t>
        </is>
      </c>
      <c r="G133" s="23" t="inlineStr">
        <is>
          <t>Local authority</t>
        </is>
      </c>
      <c r="H133" s="22" t="n"/>
      <c r="I133" s="15" t="n"/>
      <c r="J133" s="15" t="n"/>
      <c r="K133" s="22" t="inlineStr">
        <is>
          <t>Annual</t>
        </is>
      </c>
      <c r="L133" s="22" t="n">
        <v>60</v>
      </c>
      <c r="M133" s="15">
        <f>IF(J133="","",J133-IF(L133="",0,L133))</f>
        <v/>
      </c>
      <c r="N133" s="24">
        <f>IF(J133="","",J133-TODAY())</f>
        <v/>
      </c>
      <c r="O133" s="9">
        <f>IF(E133="","",IF(J133="","No date",IF(N133&lt;0,"Expired",IF(N133&lt;=30,"Urgent",IF(N133&lt;=90,"Due soon","OK")))))</f>
        <v/>
      </c>
      <c r="P133" s="22" t="n"/>
      <c r="Q133" s="25" t="n"/>
      <c r="R133" s="22" t="n"/>
      <c r="S133" s="22" t="n"/>
      <c r="T133" s="23" t="n"/>
      <c r="U133" s="22">
        <f>IF(E133="","",IF(J133="","",N133+ROW()/100000))</f>
        <v/>
      </c>
    </row>
    <row r="134">
      <c r="A134" s="9">
        <f>IF(E134="","",COUNTA($E$5:E134))</f>
        <v/>
      </c>
      <c r="B134" s="22" t="inlineStr">
        <is>
          <t>LYF</t>
        </is>
      </c>
      <c r="C134" s="22" t="inlineStr">
        <is>
          <t>AMH Sukhumvit 8 Co., Ltd.</t>
        </is>
      </c>
      <c r="D134" s="22" t="inlineStr">
        <is>
          <t>Licence</t>
        </is>
      </c>
      <c r="E134" s="23" t="inlineStr">
        <is>
          <t>Radio / walkie-talkie frequency licence</t>
        </is>
      </c>
      <c r="F134" s="23" t="inlineStr">
        <is>
          <t>ใบอนุญาตวิทยุคมนาคม</t>
        </is>
      </c>
      <c r="G134" s="23" t="inlineStr">
        <is>
          <t>NBTC</t>
        </is>
      </c>
      <c r="H134" s="22" t="n"/>
      <c r="I134" s="15" t="n"/>
      <c r="J134" s="15" t="n"/>
      <c r="K134" s="22" t="inlineStr">
        <is>
          <t>Annual</t>
        </is>
      </c>
      <c r="L134" s="22" t="n">
        <v>60</v>
      </c>
      <c r="M134" s="15">
        <f>IF(J134="","",J134-IF(L134="",0,L134))</f>
        <v/>
      </c>
      <c r="N134" s="24">
        <f>IF(J134="","",J134-TODAY())</f>
        <v/>
      </c>
      <c r="O134" s="9">
        <f>IF(E134="","",IF(J134="","No date",IF(N134&lt;0,"Expired",IF(N134&lt;=30,"Urgent",IF(N134&lt;=90,"Due soon","OK")))))</f>
        <v/>
      </c>
      <c r="P134" s="22" t="n"/>
      <c r="Q134" s="25" t="n"/>
      <c r="R134" s="22" t="n"/>
      <c r="S134" s="22" t="n"/>
      <c r="T134" s="23" t="n"/>
      <c r="U134" s="22">
        <f>IF(E134="","",IF(J134="","",N134+ROW()/100000))</f>
        <v/>
      </c>
    </row>
    <row r="135">
      <c r="A135" s="9">
        <f>IF(E135="","",COUNTA($E$5:E135))</f>
        <v/>
      </c>
      <c r="B135" s="22" t="inlineStr">
        <is>
          <t>LYF</t>
        </is>
      </c>
      <c r="C135" s="22" t="inlineStr">
        <is>
          <t>AMH Sukhumvit 8 Co., Ltd.</t>
        </is>
      </c>
      <c r="D135" s="22" t="inlineStr">
        <is>
          <t>Licence</t>
        </is>
      </c>
      <c r="E135" s="23" t="inlineStr">
        <is>
          <t>Music / copyright public performance licence</t>
        </is>
      </c>
      <c r="F135" s="23" t="inlineStr">
        <is>
          <t>ใบอนุญาตเผยแพร่งานดนตรี (MCT / ลิขสิทธิ์)</t>
        </is>
      </c>
      <c r="G135" s="23" t="inlineStr">
        <is>
          <t>MCT / Phonorights / collecting societies</t>
        </is>
      </c>
      <c r="H135" s="22" t="n"/>
      <c r="I135" s="15" t="n"/>
      <c r="J135" s="15" t="n"/>
      <c r="K135" s="22" t="inlineStr">
        <is>
          <t>Annual</t>
        </is>
      </c>
      <c r="L135" s="22" t="n">
        <v>60</v>
      </c>
      <c r="M135" s="15">
        <f>IF(J135="","",J135-IF(L135="",0,L135))</f>
        <v/>
      </c>
      <c r="N135" s="24">
        <f>IF(J135="","",J135-TODAY())</f>
        <v/>
      </c>
      <c r="O135" s="9">
        <f>IF(E135="","",IF(J135="","No date",IF(N135&lt;0,"Expired",IF(N135&lt;=30,"Urgent",IF(N135&lt;=90,"Due soon","OK")))))</f>
        <v/>
      </c>
      <c r="P135" s="22" t="n"/>
      <c r="Q135" s="25" t="n"/>
      <c r="R135" s="22" t="n"/>
      <c r="S135" s="22" t="n"/>
      <c r="T135" s="23" t="n"/>
      <c r="U135" s="22">
        <f>IF(E135="","",IF(J135="","",N135+ROW()/100000))</f>
        <v/>
      </c>
    </row>
    <row r="136">
      <c r="A136" s="9">
        <f>IF(E136="","",COUNTA($E$5:E136))</f>
        <v/>
      </c>
      <c r="B136" s="22" t="inlineStr">
        <is>
          <t>LYF</t>
        </is>
      </c>
      <c r="C136" s="22" t="inlineStr">
        <is>
          <t>AMH Sukhumvit 8 Co., Ltd.</t>
        </is>
      </c>
      <c r="D136" s="22" t="inlineStr">
        <is>
          <t>Tax / Registration</t>
        </is>
      </c>
      <c r="E136" s="23" t="inlineStr">
        <is>
          <t>Signage tax (billboard)</t>
        </is>
      </c>
      <c r="F136" s="23" t="inlineStr">
        <is>
          <t>ภาษีป้าย</t>
        </is>
      </c>
      <c r="G136" s="23" t="inlineStr">
        <is>
          <t>Local authority</t>
        </is>
      </c>
      <c r="H136" s="22" t="n"/>
      <c r="I136" s="15" t="n"/>
      <c r="J136" s="15" t="n"/>
      <c r="K136" s="22" t="inlineStr">
        <is>
          <t>Annual</t>
        </is>
      </c>
      <c r="L136" s="22" t="n">
        <v>60</v>
      </c>
      <c r="M136" s="15">
        <f>IF(J136="","",J136-IF(L136="",0,L136))</f>
        <v/>
      </c>
      <c r="N136" s="24">
        <f>IF(J136="","",J136-TODAY())</f>
        <v/>
      </c>
      <c r="O136" s="9">
        <f>IF(E136="","",IF(J136="","No date",IF(N136&lt;0,"Expired",IF(N136&lt;=30,"Urgent",IF(N136&lt;=90,"Due soon","OK")))))</f>
        <v/>
      </c>
      <c r="P136" s="22" t="n"/>
      <c r="Q136" s="25" t="n"/>
      <c r="R136" s="22" t="n"/>
      <c r="S136" s="22" t="n"/>
      <c r="T136" s="23" t="n"/>
      <c r="U136" s="22">
        <f>IF(E136="","",IF(J136="","",N136+ROW()/100000))</f>
        <v/>
      </c>
    </row>
    <row r="137">
      <c r="A137" s="9">
        <f>IF(E137="","",COUNTA($E$5:E137))</f>
        <v/>
      </c>
      <c r="B137" s="22" t="inlineStr">
        <is>
          <t>LYF</t>
        </is>
      </c>
      <c r="C137" s="22" t="inlineStr">
        <is>
          <t>AMH Sukhumvit 8 Co., Ltd.</t>
        </is>
      </c>
      <c r="D137" s="22" t="inlineStr">
        <is>
          <t>Tax / Registration</t>
        </is>
      </c>
      <c r="E137" s="23" t="inlineStr">
        <is>
          <t>Land &amp; building tax</t>
        </is>
      </c>
      <c r="F137" s="23" t="inlineStr">
        <is>
          <t>ภาษีที่ดินและสิ่งปลูกสร้าง</t>
        </is>
      </c>
      <c r="G137" s="23" t="inlineStr">
        <is>
          <t>Local authority</t>
        </is>
      </c>
      <c r="H137" s="22" t="n"/>
      <c r="I137" s="15" t="n"/>
      <c r="J137" s="15" t="n"/>
      <c r="K137" s="22" t="inlineStr">
        <is>
          <t>Annual</t>
        </is>
      </c>
      <c r="L137" s="22" t="n">
        <v>60</v>
      </c>
      <c r="M137" s="15">
        <f>IF(J137="","",J137-IF(L137="",0,L137))</f>
        <v/>
      </c>
      <c r="N137" s="24">
        <f>IF(J137="","",J137-TODAY())</f>
        <v/>
      </c>
      <c r="O137" s="9">
        <f>IF(E137="","",IF(J137="","No date",IF(N137&lt;0,"Expired",IF(N137&lt;=30,"Urgent",IF(N137&lt;=90,"Due soon","OK")))))</f>
        <v/>
      </c>
      <c r="P137" s="22" t="n"/>
      <c r="Q137" s="25" t="n"/>
      <c r="R137" s="22" t="n"/>
      <c r="S137" s="22" t="n"/>
      <c r="T137" s="23" t="n"/>
      <c r="U137" s="22">
        <f>IF(E137="","",IF(J137="","",N137+ROW()/100000))</f>
        <v/>
      </c>
    </row>
    <row r="138">
      <c r="A138" s="9">
        <f>IF(E138="","",COUNTA($E$5:E138))</f>
        <v/>
      </c>
      <c r="B138" s="22" t="inlineStr">
        <is>
          <t>LYF</t>
        </is>
      </c>
      <c r="C138" s="22" t="inlineStr">
        <is>
          <t>AMH Sukhumvit 8 Co., Ltd.</t>
        </is>
      </c>
      <c r="D138" s="22" t="inlineStr">
        <is>
          <t>Tax / Registration</t>
        </is>
      </c>
      <c r="E138" s="23" t="inlineStr">
        <is>
          <t>VAT registration (ภ.พ.20)</t>
        </is>
      </c>
      <c r="F138" s="23" t="inlineStr">
        <is>
          <t>ใบทะเบียนภาษีมูลค่าเพิ่ม (ภ.พ.20)</t>
        </is>
      </c>
      <c r="G138" s="23" t="inlineStr">
        <is>
          <t>Revenue Department</t>
        </is>
      </c>
      <c r="H138" s="22" t="n"/>
      <c r="I138" s="15" t="n"/>
      <c r="J138" s="15" t="n"/>
      <c r="K138" s="22" t="inlineStr">
        <is>
          <t>One-off</t>
        </is>
      </c>
      <c r="L138" s="22" t="n">
        <v>60</v>
      </c>
      <c r="M138" s="15">
        <f>IF(J138="","",J138-IF(L138="",0,L138))</f>
        <v/>
      </c>
      <c r="N138" s="24">
        <f>IF(J138="","",J138-TODAY())</f>
        <v/>
      </c>
      <c r="O138" s="9">
        <f>IF(E138="","",IF(J138="","No date",IF(N138&lt;0,"Expired",IF(N138&lt;=30,"Urgent",IF(N138&lt;=90,"Due soon","OK")))))</f>
        <v/>
      </c>
      <c r="P138" s="22" t="n"/>
      <c r="Q138" s="25" t="n"/>
      <c r="R138" s="22" t="n"/>
      <c r="S138" s="22" t="n"/>
      <c r="T138" s="23" t="n"/>
      <c r="U138" s="22">
        <f>IF(E138="","",IF(J138="","",N138+ROW()/100000))</f>
        <v/>
      </c>
    </row>
    <row r="139">
      <c r="A139" s="9">
        <f>IF(E139="","",COUNTA($E$5:E139))</f>
        <v/>
      </c>
      <c r="B139" s="22" t="inlineStr">
        <is>
          <t>LYF</t>
        </is>
      </c>
      <c r="C139" s="22" t="inlineStr">
        <is>
          <t>AMH Sukhumvit 8 Co., Ltd.</t>
        </is>
      </c>
      <c r="D139" s="22" t="inlineStr">
        <is>
          <t>Tax / Registration</t>
        </is>
      </c>
      <c r="E139" s="23" t="inlineStr">
        <is>
          <t>Company registration / affidavit</t>
        </is>
      </c>
      <c r="F139" s="23" t="inlineStr">
        <is>
          <t>หนังสือรับรองบริษัท</t>
        </is>
      </c>
      <c r="G139" s="23" t="inlineStr">
        <is>
          <t>Dept. of Business Development</t>
        </is>
      </c>
      <c r="H139" s="22" t="n"/>
      <c r="I139" s="15" t="n"/>
      <c r="J139" s="15" t="n"/>
      <c r="K139" s="22" t="inlineStr">
        <is>
          <t>Other</t>
        </is>
      </c>
      <c r="L139" s="22" t="n">
        <v>60</v>
      </c>
      <c r="M139" s="15">
        <f>IF(J139="","",J139-IF(L139="",0,L139))</f>
        <v/>
      </c>
      <c r="N139" s="24">
        <f>IF(J139="","",J139-TODAY())</f>
        <v/>
      </c>
      <c r="O139" s="9">
        <f>IF(E139="","",IF(J139="","No date",IF(N139&lt;0,"Expired",IF(N139&lt;=30,"Urgent",IF(N139&lt;=90,"Due soon","OK")))))</f>
        <v/>
      </c>
      <c r="P139" s="22" t="n"/>
      <c r="Q139" s="25" t="n"/>
      <c r="R139" s="22" t="n"/>
      <c r="S139" s="22" t="n"/>
      <c r="T139" s="23" t="n"/>
      <c r="U139" s="22">
        <f>IF(E139="","",IF(J139="","",N139+ROW()/100000))</f>
        <v/>
      </c>
    </row>
    <row r="140">
      <c r="A140" s="9">
        <f>IF(E140="","",COUNTA($E$5:E140))</f>
        <v/>
      </c>
      <c r="B140" s="22" t="inlineStr">
        <is>
          <t>LYF</t>
        </is>
      </c>
      <c r="C140" s="22" t="inlineStr">
        <is>
          <t>AMH Sukhumvit 8 Co., Ltd.</t>
        </is>
      </c>
      <c r="D140" s="22" t="inlineStr">
        <is>
          <t>Tax / Registration</t>
        </is>
      </c>
      <c r="E140" s="23" t="inlineStr">
        <is>
          <t>Social security registration</t>
        </is>
      </c>
      <c r="F140" s="23" t="inlineStr">
        <is>
          <t>ทะเบียนนายจ้างประกันสังคม</t>
        </is>
      </c>
      <c r="G140" s="23" t="inlineStr">
        <is>
          <t>Social Security Office</t>
        </is>
      </c>
      <c r="H140" s="22" t="n"/>
      <c r="I140" s="15" t="n"/>
      <c r="J140" s="15" t="n"/>
      <c r="K140" s="22" t="inlineStr">
        <is>
          <t>One-off</t>
        </is>
      </c>
      <c r="L140" s="22" t="n">
        <v>60</v>
      </c>
      <c r="M140" s="15">
        <f>IF(J140="","",J140-IF(L140="",0,L140))</f>
        <v/>
      </c>
      <c r="N140" s="24">
        <f>IF(J140="","",J140-TODAY())</f>
        <v/>
      </c>
      <c r="O140" s="9">
        <f>IF(E140="","",IF(J140="","No date",IF(N140&lt;0,"Expired",IF(N140&lt;=30,"Urgent",IF(N140&lt;=90,"Due soon","OK")))))</f>
        <v/>
      </c>
      <c r="P140" s="22" t="n"/>
      <c r="Q140" s="25" t="n"/>
      <c r="R140" s="22" t="n"/>
      <c r="S140" s="22" t="n"/>
      <c r="T140" s="23" t="n"/>
      <c r="U140" s="22">
        <f>IF(E140="","",IF(J140="","",N140+ROW()/100000))</f>
        <v/>
      </c>
    </row>
    <row r="141">
      <c r="A141" s="9">
        <f>IF(E141="","",COUNTA($E$5:E141))</f>
        <v/>
      </c>
      <c r="B141" s="22" t="inlineStr">
        <is>
          <t>LYF</t>
        </is>
      </c>
      <c r="C141" s="22" t="inlineStr">
        <is>
          <t>AMH Sukhumvit 8 Co., Ltd.</t>
        </is>
      </c>
      <c r="D141" s="22" t="inlineStr">
        <is>
          <t>Permit</t>
        </is>
      </c>
      <c r="E141" s="23" t="inlineStr">
        <is>
          <t>Work permits / visas — foreign staff</t>
        </is>
      </c>
      <c r="F141" s="23" t="inlineStr">
        <is>
          <t>ใบอนุญาตทำงาน / วีซ่าพนักงานต่างชาติ</t>
        </is>
      </c>
      <c r="G141" s="23" t="inlineStr">
        <is>
          <t>Dept. of Employment / Immigration</t>
        </is>
      </c>
      <c r="H141" s="22" t="n"/>
      <c r="I141" s="15" t="n"/>
      <c r="J141" s="15" t="n"/>
      <c r="K141" s="22" t="inlineStr">
        <is>
          <t>Annual</t>
        </is>
      </c>
      <c r="L141" s="22" t="n">
        <v>60</v>
      </c>
      <c r="M141" s="15">
        <f>IF(J141="","",J141-IF(L141="",0,L141))</f>
        <v/>
      </c>
      <c r="N141" s="24">
        <f>IF(J141="","",J141-TODAY())</f>
        <v/>
      </c>
      <c r="O141" s="9">
        <f>IF(E141="","",IF(J141="","No date",IF(N141&lt;0,"Expired",IF(N141&lt;=30,"Urgent",IF(N141&lt;=90,"Due soon","OK")))))</f>
        <v/>
      </c>
      <c r="P141" s="22" t="n"/>
      <c r="Q141" s="25" t="n"/>
      <c r="R141" s="22" t="n"/>
      <c r="S141" s="22" t="n"/>
      <c r="T141" s="23" t="n"/>
      <c r="U141" s="22">
        <f>IF(E141="","",IF(J141="","",N141+ROW()/100000))</f>
        <v/>
      </c>
    </row>
    <row r="142">
      <c r="A142" s="9">
        <f>IF(E142="","",COUNTA($E$5:E142))</f>
        <v/>
      </c>
      <c r="B142" s="22" t="inlineStr">
        <is>
          <t>LYF</t>
        </is>
      </c>
      <c r="C142" s="22" t="inlineStr">
        <is>
          <t>AMH Sukhumvit 8 Co., Ltd.</t>
        </is>
      </c>
      <c r="D142" s="22" t="inlineStr">
        <is>
          <t>Certificate</t>
        </is>
      </c>
      <c r="E142" s="23" t="inlineStr">
        <is>
          <t>Food handler health certificates</t>
        </is>
      </c>
      <c r="F142" s="23" t="inlineStr">
        <is>
          <t>ใบรับรองสุขภาพผู้สัมผัสอาหาร</t>
        </is>
      </c>
      <c r="G142" s="23" t="inlineStr">
        <is>
          <t>Public health office</t>
        </is>
      </c>
      <c r="H142" s="22" t="n"/>
      <c r="I142" s="15" t="n"/>
      <c r="J142" s="15" t="n"/>
      <c r="K142" s="22" t="inlineStr">
        <is>
          <t>Annual</t>
        </is>
      </c>
      <c r="L142" s="22" t="n">
        <v>60</v>
      </c>
      <c r="M142" s="15">
        <f>IF(J142="","",J142-IF(L142="",0,L142))</f>
        <v/>
      </c>
      <c r="N142" s="24">
        <f>IF(J142="","",J142-TODAY())</f>
        <v/>
      </c>
      <c r="O142" s="9">
        <f>IF(E142="","",IF(J142="","No date",IF(N142&lt;0,"Expired",IF(N142&lt;=30,"Urgent",IF(N142&lt;=90,"Due soon","OK")))))</f>
        <v/>
      </c>
      <c r="P142" s="22" t="n"/>
      <c r="Q142" s="25" t="n"/>
      <c r="R142" s="22" t="n"/>
      <c r="S142" s="22" t="n"/>
      <c r="T142" s="23" t="n"/>
      <c r="U142" s="22">
        <f>IF(E142="","",IF(J142="","",N142+ROW()/100000))</f>
        <v/>
      </c>
    </row>
    <row r="143">
      <c r="A143" s="9">
        <f>IF(E143="","",COUNTA($E$5:E143))</f>
        <v/>
      </c>
      <c r="B143" s="22" t="inlineStr">
        <is>
          <t>LYF</t>
        </is>
      </c>
      <c r="C143" s="22" t="inlineStr">
        <is>
          <t>AMH Sukhumvit 8 Co., Ltd.</t>
        </is>
      </c>
      <c r="D143" s="22" t="inlineStr">
        <is>
          <t>Certificate</t>
        </is>
      </c>
      <c r="E143" s="23" t="inlineStr">
        <is>
          <t>Pest control service certificate</t>
        </is>
      </c>
      <c r="F143" s="23" t="inlineStr">
        <is>
          <t>ใบรับรองการกำจัดแมลงและสัตว์พาหะ</t>
        </is>
      </c>
      <c r="G143" s="23" t="inlineStr">
        <is>
          <t>Licensed contractor</t>
        </is>
      </c>
      <c r="H143" s="22" t="n"/>
      <c r="I143" s="15" t="n"/>
      <c r="J143" s="15" t="n"/>
      <c r="K143" s="22" t="inlineStr">
        <is>
          <t>Annual</t>
        </is>
      </c>
      <c r="L143" s="22" t="n">
        <v>60</v>
      </c>
      <c r="M143" s="15">
        <f>IF(J143="","",J143-IF(L143="",0,L143))</f>
        <v/>
      </c>
      <c r="N143" s="24">
        <f>IF(J143="","",J143-TODAY())</f>
        <v/>
      </c>
      <c r="O143" s="9">
        <f>IF(E143="","",IF(J143="","No date",IF(N143&lt;0,"Expired",IF(N143&lt;=30,"Urgent",IF(N143&lt;=90,"Due soon","OK")))))</f>
        <v/>
      </c>
      <c r="P143" s="22" t="n"/>
      <c r="Q143" s="25" t="n"/>
      <c r="R143" s="22" t="n"/>
      <c r="S143" s="22" t="n"/>
      <c r="T143" s="23" t="n"/>
      <c r="U143" s="22">
        <f>IF(E143="","",IF(J143="","",N143+ROW()/100000))</f>
        <v/>
      </c>
    </row>
    <row r="144">
      <c r="A144" s="9">
        <f>IF(E144="","",COUNTA($E$5:E144))</f>
        <v/>
      </c>
      <c r="B144" s="22" t="inlineStr">
        <is>
          <t>LYF</t>
        </is>
      </c>
      <c r="C144" s="22" t="inlineStr">
        <is>
          <t>AMH Sukhumvit 8 Co., Ltd.</t>
        </is>
      </c>
      <c r="D144" s="22" t="inlineStr">
        <is>
          <t>Insurance</t>
        </is>
      </c>
      <c r="E144" s="23" t="inlineStr">
        <is>
          <t>Property all-risk insurance</t>
        </is>
      </c>
      <c r="F144" s="23" t="inlineStr">
        <is>
          <t>ประกันภัยทรัพย์สินแบบ All Risk</t>
        </is>
      </c>
      <c r="G144" s="23" t="inlineStr">
        <is>
          <t>Insurer / broker</t>
        </is>
      </c>
      <c r="H144" s="22" t="n"/>
      <c r="I144" s="15" t="n"/>
      <c r="J144" s="15" t="n"/>
      <c r="K144" s="22" t="inlineStr">
        <is>
          <t>Annual</t>
        </is>
      </c>
      <c r="L144" s="22" t="n">
        <v>60</v>
      </c>
      <c r="M144" s="15">
        <f>IF(J144="","",J144-IF(L144="",0,L144))</f>
        <v/>
      </c>
      <c r="N144" s="24">
        <f>IF(J144="","",J144-TODAY())</f>
        <v/>
      </c>
      <c r="O144" s="9">
        <f>IF(E144="","",IF(J144="","No date",IF(N144&lt;0,"Expired",IF(N144&lt;=30,"Urgent",IF(N144&lt;=90,"Due soon","OK")))))</f>
        <v/>
      </c>
      <c r="P144" s="22" t="n"/>
      <c r="Q144" s="25" t="n"/>
      <c r="R144" s="22" t="n"/>
      <c r="S144" s="22" t="n"/>
      <c r="T144" s="23" t="n"/>
      <c r="U144" s="22">
        <f>IF(E144="","",IF(J144="","",N144+ROW()/100000))</f>
        <v/>
      </c>
    </row>
    <row r="145">
      <c r="A145" s="9">
        <f>IF(E145="","",COUNTA($E$5:E145))</f>
        <v/>
      </c>
      <c r="B145" s="22" t="inlineStr">
        <is>
          <t>LYF</t>
        </is>
      </c>
      <c r="C145" s="22" t="inlineStr">
        <is>
          <t>AMH Sukhumvit 8 Co., Ltd.</t>
        </is>
      </c>
      <c r="D145" s="22" t="inlineStr">
        <is>
          <t>Insurance</t>
        </is>
      </c>
      <c r="E145" s="23" t="inlineStr">
        <is>
          <t>Public liability insurance</t>
        </is>
      </c>
      <c r="F145" s="23" t="inlineStr">
        <is>
          <t>ประกันภัยความรับผิดต่อบุคคลภายนอก</t>
        </is>
      </c>
      <c r="G145" s="23" t="inlineStr">
        <is>
          <t>Insurer / broker</t>
        </is>
      </c>
      <c r="H145" s="22" t="n"/>
      <c r="I145" s="15" t="n"/>
      <c r="J145" s="15" t="n"/>
      <c r="K145" s="22" t="inlineStr">
        <is>
          <t>Annual</t>
        </is>
      </c>
      <c r="L145" s="22" t="n">
        <v>60</v>
      </c>
      <c r="M145" s="15">
        <f>IF(J145="","",J145-IF(L145="",0,L145))</f>
        <v/>
      </c>
      <c r="N145" s="24">
        <f>IF(J145="","",J145-TODAY())</f>
        <v/>
      </c>
      <c r="O145" s="9">
        <f>IF(E145="","",IF(J145="","No date",IF(N145&lt;0,"Expired",IF(N145&lt;=30,"Urgent",IF(N145&lt;=90,"Due soon","OK")))))</f>
        <v/>
      </c>
      <c r="P145" s="22" t="n"/>
      <c r="Q145" s="25" t="n"/>
      <c r="R145" s="22" t="n"/>
      <c r="S145" s="22" t="n"/>
      <c r="T145" s="23" t="n"/>
      <c r="U145" s="22">
        <f>IF(E145="","",IF(J145="","",N145+ROW()/100000))</f>
        <v/>
      </c>
    </row>
    <row r="146">
      <c r="A146" s="9">
        <f>IF(E146="","",COUNTA($E$5:E146))</f>
        <v/>
      </c>
      <c r="B146" s="22" t="inlineStr">
        <is>
          <t>LYF</t>
        </is>
      </c>
      <c r="C146" s="22" t="inlineStr">
        <is>
          <t>AMH Sukhumvit 8 Co., Ltd.</t>
        </is>
      </c>
      <c r="D146" s="22" t="inlineStr">
        <is>
          <t>Insurance</t>
        </is>
      </c>
      <c r="E146" s="23" t="inlineStr">
        <is>
          <t>Business interruption insurance</t>
        </is>
      </c>
      <c r="F146" s="23" t="inlineStr">
        <is>
          <t>ประกันภัยธุรกิจหยุดชะงัก</t>
        </is>
      </c>
      <c r="G146" s="23" t="inlineStr">
        <is>
          <t>Insurer / broker</t>
        </is>
      </c>
      <c r="H146" s="22" t="n"/>
      <c r="I146" s="15" t="n"/>
      <c r="J146" s="15" t="n"/>
      <c r="K146" s="22" t="inlineStr">
        <is>
          <t>Annual</t>
        </is>
      </c>
      <c r="L146" s="22" t="n">
        <v>60</v>
      </c>
      <c r="M146" s="15">
        <f>IF(J146="","",J146-IF(L146="",0,L146))</f>
        <v/>
      </c>
      <c r="N146" s="24">
        <f>IF(J146="","",J146-TODAY())</f>
        <v/>
      </c>
      <c r="O146" s="9">
        <f>IF(E146="","",IF(J146="","No date",IF(N146&lt;0,"Expired",IF(N146&lt;=30,"Urgent",IF(N146&lt;=90,"Due soon","OK")))))</f>
        <v/>
      </c>
      <c r="P146" s="22" t="n"/>
      <c r="Q146" s="25" t="n"/>
      <c r="R146" s="22" t="n"/>
      <c r="S146" s="22" t="n"/>
      <c r="T146" s="23" t="n"/>
      <c r="U146" s="22">
        <f>IF(E146="","",IF(J146="","",N146+ROW()/100000))</f>
        <v/>
      </c>
    </row>
    <row r="147">
      <c r="A147" s="9">
        <f>IF(E147="","",COUNTA($E$5:E147))</f>
        <v/>
      </c>
      <c r="B147" s="22" t="inlineStr">
        <is>
          <t>LYF</t>
        </is>
      </c>
      <c r="C147" s="22" t="inlineStr">
        <is>
          <t>AMH Sukhumvit 8 Co., Ltd.</t>
        </is>
      </c>
      <c r="D147" s="22" t="inlineStr">
        <is>
          <t>Insurance</t>
        </is>
      </c>
      <c r="E147" s="23" t="inlineStr">
        <is>
          <t>Hotel guest / hotel-act compulsory insurance</t>
        </is>
      </c>
      <c r="F147" s="23" t="inlineStr">
        <is>
          <t>ประกันภัยตาม พ.ร.บ. โรงแรม</t>
        </is>
      </c>
      <c r="G147" s="23" t="inlineStr">
        <is>
          <t>Insurer / broker</t>
        </is>
      </c>
      <c r="H147" s="22" t="n"/>
      <c r="I147" s="15" t="n"/>
      <c r="J147" s="15" t="n"/>
      <c r="K147" s="22" t="inlineStr">
        <is>
          <t>Annual</t>
        </is>
      </c>
      <c r="L147" s="22" t="n">
        <v>60</v>
      </c>
      <c r="M147" s="15">
        <f>IF(J147="","",J147-IF(L147="",0,L147))</f>
        <v/>
      </c>
      <c r="N147" s="24">
        <f>IF(J147="","",J147-TODAY())</f>
        <v/>
      </c>
      <c r="O147" s="9">
        <f>IF(E147="","",IF(J147="","No date",IF(N147&lt;0,"Expired",IF(N147&lt;=30,"Urgent",IF(N147&lt;=90,"Due soon","OK")))))</f>
        <v/>
      </c>
      <c r="P147" s="22" t="n"/>
      <c r="Q147" s="25" t="n"/>
      <c r="R147" s="22" t="n"/>
      <c r="S147" s="22" t="n"/>
      <c r="T147" s="23" t="n"/>
      <c r="U147" s="22">
        <f>IF(E147="","",IF(J147="","",N147+ROW()/100000))</f>
        <v/>
      </c>
    </row>
    <row r="148">
      <c r="A148" s="9">
        <f>IF(E148="","",COUNTA($E$5:E148))</f>
        <v/>
      </c>
      <c r="B148" s="22" t="inlineStr">
        <is>
          <t>LYF</t>
        </is>
      </c>
      <c r="C148" s="22" t="inlineStr">
        <is>
          <t>AMH Sukhumvit 8 Co., Ltd.</t>
        </is>
      </c>
      <c r="D148" s="22" t="inlineStr">
        <is>
          <t>Contract - Management</t>
        </is>
      </c>
      <c r="E148" s="23" t="inlineStr">
        <is>
          <t>Hotel management agreement</t>
        </is>
      </c>
      <c r="F148" s="23" t="inlineStr">
        <is>
          <t>สัญญาบริหารโรงแรม</t>
        </is>
      </c>
      <c r="G148" s="23" t="inlineStr">
        <is>
          <t>Ascott International Management (Thailand) Ltd.</t>
        </is>
      </c>
      <c r="H148" s="22" t="n"/>
      <c r="I148" s="15" t="n"/>
      <c r="J148" s="15" t="n"/>
      <c r="K148" s="22" t="inlineStr">
        <is>
          <t>Rolling / evergreen</t>
        </is>
      </c>
      <c r="L148" s="22" t="n">
        <v>60</v>
      </c>
      <c r="M148" s="15">
        <f>IF(J148="","",J148-IF(L148="",0,L148))</f>
        <v/>
      </c>
      <c r="N148" s="24">
        <f>IF(J148="","",J148-TODAY())</f>
        <v/>
      </c>
      <c r="O148" s="9">
        <f>IF(E148="","",IF(J148="","No date",IF(N148&lt;0,"Expired",IF(N148&lt;=30,"Urgent",IF(N148&lt;=90,"Due soon","OK")))))</f>
        <v/>
      </c>
      <c r="P148" s="22" t="n"/>
      <c r="Q148" s="25" t="n"/>
      <c r="R148" s="22" t="n"/>
      <c r="S148" s="22" t="n"/>
      <c r="T148" s="23" t="n"/>
      <c r="U148" s="22">
        <f>IF(E148="","",IF(J148="","",N148+ROW()/100000))</f>
        <v/>
      </c>
    </row>
    <row r="149">
      <c r="A149" s="9">
        <f>IF(E149="","",COUNTA($E$5:E149))</f>
        <v/>
      </c>
      <c r="B149" s="22" t="inlineStr">
        <is>
          <t>LYF</t>
        </is>
      </c>
      <c r="C149" s="22" t="inlineStr">
        <is>
          <t>AMH Sukhumvit 8 Co., Ltd.</t>
        </is>
      </c>
      <c r="D149" s="22" t="inlineStr">
        <is>
          <t>Contract - Management</t>
        </is>
      </c>
      <c r="E149" s="23" t="inlineStr">
        <is>
          <t>Technical services / central fee agreement</t>
        </is>
      </c>
      <c r="F149" s="23" t="inlineStr">
        <is>
          <t>สัญญาค่าบริการส่วนกลาง</t>
        </is>
      </c>
      <c r="G149" s="23" t="inlineStr">
        <is>
          <t>Ascott International Management (Thailand) Ltd.</t>
        </is>
      </c>
      <c r="H149" s="22" t="n"/>
      <c r="I149" s="15" t="n"/>
      <c r="J149" s="15" t="n"/>
      <c r="K149" s="22" t="inlineStr">
        <is>
          <t>Rolling / evergreen</t>
        </is>
      </c>
      <c r="L149" s="22" t="n">
        <v>60</v>
      </c>
      <c r="M149" s="15">
        <f>IF(J149="","",J149-IF(L149="",0,L149))</f>
        <v/>
      </c>
      <c r="N149" s="24">
        <f>IF(J149="","",J149-TODAY())</f>
        <v/>
      </c>
      <c r="O149" s="9">
        <f>IF(E149="","",IF(J149="","No date",IF(N149&lt;0,"Expired",IF(N149&lt;=30,"Urgent",IF(N149&lt;=90,"Due soon","OK")))))</f>
        <v/>
      </c>
      <c r="P149" s="22" t="n"/>
      <c r="Q149" s="25" t="n"/>
      <c r="R149" s="22" t="n"/>
      <c r="S149" s="22" t="n"/>
      <c r="T149" s="23" t="n"/>
      <c r="U149" s="22">
        <f>IF(E149="","",IF(J149="","",N149+ROW()/100000))</f>
        <v/>
      </c>
    </row>
    <row r="150">
      <c r="A150" s="9">
        <f>IF(E150="","",COUNTA($E$5:E150))</f>
        <v/>
      </c>
      <c r="B150" s="22" t="inlineStr">
        <is>
          <t>LYF</t>
        </is>
      </c>
      <c r="C150" s="22" t="inlineStr">
        <is>
          <t>AMH Sukhumvit 8 Co., Ltd.</t>
        </is>
      </c>
      <c r="D150" s="22" t="inlineStr">
        <is>
          <t>Contract - OTA</t>
        </is>
      </c>
      <c r="E150" s="23" t="inlineStr">
        <is>
          <t>Booking.com accommodation agreement</t>
        </is>
      </c>
      <c r="F150" s="23" t="inlineStr">
        <is>
          <t>สัญญากับ Booking.com</t>
        </is>
      </c>
      <c r="G150" s="23" t="inlineStr">
        <is>
          <t>Booking.com B.V.</t>
        </is>
      </c>
      <c r="H150" s="22" t="n"/>
      <c r="I150" s="15" t="n"/>
      <c r="J150" s="15" t="n"/>
      <c r="K150" s="22" t="inlineStr">
        <is>
          <t>Rolling / evergreen</t>
        </is>
      </c>
      <c r="L150" s="22" t="n">
        <v>60</v>
      </c>
      <c r="M150" s="15">
        <f>IF(J150="","",J150-IF(L150="",0,L150))</f>
        <v/>
      </c>
      <c r="N150" s="24">
        <f>IF(J150="","",J150-TODAY())</f>
        <v/>
      </c>
      <c r="O150" s="9">
        <f>IF(E150="","",IF(J150="","No date",IF(N150&lt;0,"Expired",IF(N150&lt;=30,"Urgent",IF(N150&lt;=90,"Due soon","OK")))))</f>
        <v/>
      </c>
      <c r="P150" s="22" t="n"/>
      <c r="Q150" s="25" t="n"/>
      <c r="R150" s="22" t="n"/>
      <c r="S150" s="22" t="n"/>
      <c r="T150" s="23" t="n"/>
      <c r="U150" s="22">
        <f>IF(E150="","",IF(J150="","",N150+ROW()/100000))</f>
        <v/>
      </c>
    </row>
    <row r="151">
      <c r="A151" s="9">
        <f>IF(E151="","",COUNTA($E$5:E151))</f>
        <v/>
      </c>
      <c r="B151" s="22" t="inlineStr">
        <is>
          <t>LYF</t>
        </is>
      </c>
      <c r="C151" s="22" t="inlineStr">
        <is>
          <t>AMH Sukhumvit 8 Co., Ltd.</t>
        </is>
      </c>
      <c r="D151" s="22" t="inlineStr">
        <is>
          <t>Contract - OTA</t>
        </is>
      </c>
      <c r="E151" s="23" t="inlineStr">
        <is>
          <t>Expedia lodging agreement</t>
        </is>
      </c>
      <c r="F151" s="23" t="inlineStr">
        <is>
          <t>สัญญากับ Expedia</t>
        </is>
      </c>
      <c r="G151" s="23" t="inlineStr">
        <is>
          <t>Travelscape LLC / Expedia (Thailand) Co., Ltd.</t>
        </is>
      </c>
      <c r="H151" s="22" t="n"/>
      <c r="I151" s="15" t="n"/>
      <c r="J151" s="15" t="n"/>
      <c r="K151" s="22" t="inlineStr">
        <is>
          <t>Rolling / evergreen</t>
        </is>
      </c>
      <c r="L151" s="22" t="n">
        <v>60</v>
      </c>
      <c r="M151" s="15">
        <f>IF(J151="","",J151-IF(L151="",0,L151))</f>
        <v/>
      </c>
      <c r="N151" s="24">
        <f>IF(J151="","",J151-TODAY())</f>
        <v/>
      </c>
      <c r="O151" s="9">
        <f>IF(E151="","",IF(J151="","No date",IF(N151&lt;0,"Expired",IF(N151&lt;=30,"Urgent",IF(N151&lt;=90,"Due soon","OK")))))</f>
        <v/>
      </c>
      <c r="P151" s="22" t="n"/>
      <c r="Q151" s="25" t="n"/>
      <c r="R151" s="22" t="n"/>
      <c r="S151" s="22" t="n"/>
      <c r="T151" s="23" t="n"/>
      <c r="U151" s="22">
        <f>IF(E151="","",IF(J151="","",N151+ROW()/100000))</f>
        <v/>
      </c>
    </row>
    <row r="152">
      <c r="A152" s="9">
        <f>IF(E152="","",COUNTA($E$5:E152))</f>
        <v/>
      </c>
      <c r="B152" s="22" t="inlineStr">
        <is>
          <t>LYF</t>
        </is>
      </c>
      <c r="C152" s="22" t="inlineStr">
        <is>
          <t>AMH Sukhumvit 8 Co., Ltd.</t>
        </is>
      </c>
      <c r="D152" s="22" t="inlineStr">
        <is>
          <t>Contract - OTA</t>
        </is>
      </c>
      <c r="E152" s="23" t="inlineStr">
        <is>
          <t>Agoda accommodation agreement</t>
        </is>
      </c>
      <c r="F152" s="23" t="inlineStr">
        <is>
          <t>สัญญากับ Agoda</t>
        </is>
      </c>
      <c r="G152" s="23" t="inlineStr">
        <is>
          <t>Agoda Company Pte. Ltd.</t>
        </is>
      </c>
      <c r="H152" s="22" t="n"/>
      <c r="I152" s="15" t="n"/>
      <c r="J152" s="15" t="n"/>
      <c r="K152" s="22" t="inlineStr">
        <is>
          <t>Rolling / evergreen</t>
        </is>
      </c>
      <c r="L152" s="22" t="n">
        <v>60</v>
      </c>
      <c r="M152" s="15">
        <f>IF(J152="","",J152-IF(L152="",0,L152))</f>
        <v/>
      </c>
      <c r="N152" s="24">
        <f>IF(J152="","",J152-TODAY())</f>
        <v/>
      </c>
      <c r="O152" s="9">
        <f>IF(E152="","",IF(J152="","No date",IF(N152&lt;0,"Expired",IF(N152&lt;=30,"Urgent",IF(N152&lt;=90,"Due soon","OK")))))</f>
        <v/>
      </c>
      <c r="P152" s="22" t="n"/>
      <c r="Q152" s="25" t="n"/>
      <c r="R152" s="22" t="n"/>
      <c r="S152" s="22" t="n"/>
      <c r="T152" s="23" t="n"/>
      <c r="U152" s="22">
        <f>IF(E152="","",IF(J152="","",N152+ROW()/100000))</f>
        <v/>
      </c>
    </row>
    <row r="153">
      <c r="A153" s="9">
        <f>IF(E153="","",COUNTA($E$5:E153))</f>
        <v/>
      </c>
      <c r="B153" s="22" t="inlineStr">
        <is>
          <t>LYF</t>
        </is>
      </c>
      <c r="C153" s="22" t="inlineStr">
        <is>
          <t>AMH Sukhumvit 8 Co., Ltd.</t>
        </is>
      </c>
      <c r="D153" s="22" t="inlineStr">
        <is>
          <t>Contract - Service</t>
        </is>
      </c>
      <c r="E153" s="23" t="inlineStr">
        <is>
          <t>Laundry &amp; linen services</t>
        </is>
      </c>
      <c r="F153" s="23" t="inlineStr">
        <is>
          <t>สัญญาบริการซักรีด</t>
        </is>
      </c>
      <c r="G153" s="23" t="n"/>
      <c r="H153" s="22" t="n"/>
      <c r="I153" s="15" t="n"/>
      <c r="J153" s="15" t="n"/>
      <c r="K153" s="22" t="inlineStr">
        <is>
          <t>Annual</t>
        </is>
      </c>
      <c r="L153" s="22" t="n">
        <v>60</v>
      </c>
      <c r="M153" s="15">
        <f>IF(J153="","",J153-IF(L153="",0,L153))</f>
        <v/>
      </c>
      <c r="N153" s="24">
        <f>IF(J153="","",J153-TODAY())</f>
        <v/>
      </c>
      <c r="O153" s="9">
        <f>IF(E153="","",IF(J153="","No date",IF(N153&lt;0,"Expired",IF(N153&lt;=30,"Urgent",IF(N153&lt;=90,"Due soon","OK")))))</f>
        <v/>
      </c>
      <c r="P153" s="22" t="n"/>
      <c r="Q153" s="25" t="n"/>
      <c r="R153" s="22" t="n"/>
      <c r="S153" s="22" t="n"/>
      <c r="T153" s="23" t="n"/>
      <c r="U153" s="22">
        <f>IF(E153="","",IF(J153="","",N153+ROW()/100000))</f>
        <v/>
      </c>
    </row>
    <row r="154">
      <c r="A154" s="9">
        <f>IF(E154="","",COUNTA($E$5:E154))</f>
        <v/>
      </c>
      <c r="B154" s="22" t="inlineStr">
        <is>
          <t>LYF</t>
        </is>
      </c>
      <c r="C154" s="22" t="inlineStr">
        <is>
          <t>AMH Sukhumvit 8 Co., Ltd.</t>
        </is>
      </c>
      <c r="D154" s="22" t="inlineStr">
        <is>
          <t>Contract - Service</t>
        </is>
      </c>
      <c r="E154" s="23" t="inlineStr">
        <is>
          <t>F&amp;B outlet / catering operator</t>
        </is>
      </c>
      <c r="F154" s="23" t="inlineStr">
        <is>
          <t>สัญญาผู้ประกอบการอาหารและเครื่องดื่ม</t>
        </is>
      </c>
      <c r="G154" s="23" t="n"/>
      <c r="H154" s="22" t="n"/>
      <c r="I154" s="15" t="n"/>
      <c r="J154" s="15" t="n"/>
      <c r="K154" s="22" t="inlineStr">
        <is>
          <t>Annual</t>
        </is>
      </c>
      <c r="L154" s="22" t="n">
        <v>60</v>
      </c>
      <c r="M154" s="15">
        <f>IF(J154="","",J154-IF(L154="",0,L154))</f>
        <v/>
      </c>
      <c r="N154" s="24">
        <f>IF(J154="","",J154-TODAY())</f>
        <v/>
      </c>
      <c r="O154" s="9">
        <f>IF(E154="","",IF(J154="","No date",IF(N154&lt;0,"Expired",IF(N154&lt;=30,"Urgent",IF(N154&lt;=90,"Due soon","OK")))))</f>
        <v/>
      </c>
      <c r="P154" s="22" t="n"/>
      <c r="Q154" s="25" t="n"/>
      <c r="R154" s="22" t="n"/>
      <c r="S154" s="22" t="n"/>
      <c r="T154" s="23" t="n"/>
      <c r="U154" s="22">
        <f>IF(E154="","",IF(J154="","",N154+ROW()/100000))</f>
        <v/>
      </c>
    </row>
    <row r="155">
      <c r="A155" s="9">
        <f>IF(E155="","",COUNTA($E$5:E155))</f>
        <v/>
      </c>
      <c r="B155" s="22" t="inlineStr">
        <is>
          <t>LYF</t>
        </is>
      </c>
      <c r="C155" s="22" t="inlineStr">
        <is>
          <t>AMH Sukhumvit 8 Co., Ltd.</t>
        </is>
      </c>
      <c r="D155" s="22" t="inlineStr">
        <is>
          <t>Contract - Service</t>
        </is>
      </c>
      <c r="E155" s="23" t="inlineStr">
        <is>
          <t>Security services</t>
        </is>
      </c>
      <c r="F155" s="23" t="inlineStr">
        <is>
          <t>สัญญาบริการรักษาความปลอดภัย</t>
        </is>
      </c>
      <c r="G155" s="23" t="n"/>
      <c r="H155" s="22" t="n"/>
      <c r="I155" s="15" t="n"/>
      <c r="J155" s="15" t="n"/>
      <c r="K155" s="22" t="inlineStr">
        <is>
          <t>Annual</t>
        </is>
      </c>
      <c r="L155" s="22" t="n">
        <v>60</v>
      </c>
      <c r="M155" s="15">
        <f>IF(J155="","",J155-IF(L155="",0,L155))</f>
        <v/>
      </c>
      <c r="N155" s="24">
        <f>IF(J155="","",J155-TODAY())</f>
        <v/>
      </c>
      <c r="O155" s="9">
        <f>IF(E155="","",IF(J155="","No date",IF(N155&lt;0,"Expired",IF(N155&lt;=30,"Urgent",IF(N155&lt;=90,"Due soon","OK")))))</f>
        <v/>
      </c>
      <c r="P155" s="22" t="n"/>
      <c r="Q155" s="25" t="n"/>
      <c r="R155" s="22" t="n"/>
      <c r="S155" s="22" t="n"/>
      <c r="T155" s="23" t="n"/>
      <c r="U155" s="22">
        <f>IF(E155="","",IF(J155="","",N155+ROW()/100000))</f>
        <v/>
      </c>
    </row>
    <row r="156">
      <c r="A156" s="9">
        <f>IF(E156="","",COUNTA($E$5:E156))</f>
        <v/>
      </c>
      <c r="B156" s="22" t="inlineStr">
        <is>
          <t>LYF</t>
        </is>
      </c>
      <c r="C156" s="22" t="inlineStr">
        <is>
          <t>AMH Sukhumvit 8 Co., Ltd.</t>
        </is>
      </c>
      <c r="D156" s="22" t="inlineStr">
        <is>
          <t>Contract - Service</t>
        </is>
      </c>
      <c r="E156" s="23" t="inlineStr">
        <is>
          <t>Cleaning / housekeeping outsource</t>
        </is>
      </c>
      <c r="F156" s="23" t="inlineStr">
        <is>
          <t>สัญญาบริการทำความสะอาด</t>
        </is>
      </c>
      <c r="G156" s="23" t="n"/>
      <c r="H156" s="22" t="n"/>
      <c r="I156" s="15" t="n"/>
      <c r="J156" s="15" t="n"/>
      <c r="K156" s="22" t="inlineStr">
        <is>
          <t>Annual</t>
        </is>
      </c>
      <c r="L156" s="22" t="n">
        <v>60</v>
      </c>
      <c r="M156" s="15">
        <f>IF(J156="","",J156-IF(L156="",0,L156))</f>
        <v/>
      </c>
      <c r="N156" s="24">
        <f>IF(J156="","",J156-TODAY())</f>
        <v/>
      </c>
      <c r="O156" s="9">
        <f>IF(E156="","",IF(J156="","No date",IF(N156&lt;0,"Expired",IF(N156&lt;=30,"Urgent",IF(N156&lt;=90,"Due soon","OK")))))</f>
        <v/>
      </c>
      <c r="P156" s="22" t="n"/>
      <c r="Q156" s="25" t="n"/>
      <c r="R156" s="22" t="n"/>
      <c r="S156" s="22" t="n"/>
      <c r="T156" s="23" t="n"/>
      <c r="U156" s="22">
        <f>IF(E156="","",IF(J156="","",N156+ROW()/100000))</f>
        <v/>
      </c>
    </row>
    <row r="157">
      <c r="A157" s="9">
        <f>IF(E157="","",COUNTA($E$5:E157))</f>
        <v/>
      </c>
      <c r="B157" s="22" t="inlineStr">
        <is>
          <t>LYF</t>
        </is>
      </c>
      <c r="C157" s="22" t="inlineStr">
        <is>
          <t>AMH Sukhumvit 8 Co., Ltd.</t>
        </is>
      </c>
      <c r="D157" s="22" t="inlineStr">
        <is>
          <t>Contract - Service</t>
        </is>
      </c>
      <c r="E157" s="23" t="inlineStr">
        <is>
          <t>Pest control</t>
        </is>
      </c>
      <c r="F157" s="23" t="inlineStr">
        <is>
          <t>สัญญากำจัดแมลง</t>
        </is>
      </c>
      <c r="G157" s="23" t="n"/>
      <c r="H157" s="22" t="n"/>
      <c r="I157" s="15" t="n"/>
      <c r="J157" s="15" t="n"/>
      <c r="K157" s="22" t="inlineStr">
        <is>
          <t>Annual</t>
        </is>
      </c>
      <c r="L157" s="22" t="n">
        <v>60</v>
      </c>
      <c r="M157" s="15">
        <f>IF(J157="","",J157-IF(L157="",0,L157))</f>
        <v/>
      </c>
      <c r="N157" s="24">
        <f>IF(J157="","",J157-TODAY())</f>
        <v/>
      </c>
      <c r="O157" s="9">
        <f>IF(E157="","",IF(J157="","No date",IF(N157&lt;0,"Expired",IF(N157&lt;=30,"Urgent",IF(N157&lt;=90,"Due soon","OK")))))</f>
        <v/>
      </c>
      <c r="P157" s="22" t="n"/>
      <c r="Q157" s="25" t="n"/>
      <c r="R157" s="22" t="n"/>
      <c r="S157" s="22" t="n"/>
      <c r="T157" s="23" t="n"/>
      <c r="U157" s="22">
        <f>IF(E157="","",IF(J157="","",N157+ROW()/100000))</f>
        <v/>
      </c>
    </row>
    <row r="158">
      <c r="A158" s="9">
        <f>IF(E158="","",COUNTA($E$5:E158))</f>
        <v/>
      </c>
      <c r="B158" s="22" t="inlineStr">
        <is>
          <t>LYF</t>
        </is>
      </c>
      <c r="C158" s="22" t="inlineStr">
        <is>
          <t>AMH Sukhumvit 8 Co., Ltd.</t>
        </is>
      </c>
      <c r="D158" s="22" t="inlineStr">
        <is>
          <t>Contract - Service</t>
        </is>
      </c>
      <c r="E158" s="23" t="inlineStr">
        <is>
          <t>Landscaping / plant care</t>
        </is>
      </c>
      <c r="F158" s="23" t="inlineStr">
        <is>
          <t>สัญญาดูแลต้นไม้และภูมิทัศน์</t>
        </is>
      </c>
      <c r="G158" s="23" t="n"/>
      <c r="H158" s="22" t="n"/>
      <c r="I158" s="15" t="n"/>
      <c r="J158" s="15" t="n"/>
      <c r="K158" s="22" t="inlineStr">
        <is>
          <t>Annual</t>
        </is>
      </c>
      <c r="L158" s="22" t="n">
        <v>60</v>
      </c>
      <c r="M158" s="15">
        <f>IF(J158="","",J158-IF(L158="",0,L158))</f>
        <v/>
      </c>
      <c r="N158" s="24">
        <f>IF(J158="","",J158-TODAY())</f>
        <v/>
      </c>
      <c r="O158" s="9">
        <f>IF(E158="","",IF(J158="","No date",IF(N158&lt;0,"Expired",IF(N158&lt;=30,"Urgent",IF(N158&lt;=90,"Due soon","OK")))))</f>
        <v/>
      </c>
      <c r="P158" s="22" t="n"/>
      <c r="Q158" s="25" t="n"/>
      <c r="R158" s="22" t="n"/>
      <c r="S158" s="22" t="n"/>
      <c r="T158" s="23" t="n"/>
      <c r="U158" s="22">
        <f>IF(E158="","",IF(J158="","",N158+ROW()/100000))</f>
        <v/>
      </c>
    </row>
    <row r="159">
      <c r="A159" s="9">
        <f>IF(E159="","",COUNTA($E$5:E159))</f>
        <v/>
      </c>
      <c r="B159" s="22" t="inlineStr">
        <is>
          <t>LYF</t>
        </is>
      </c>
      <c r="C159" s="22" t="inlineStr">
        <is>
          <t>AMH Sukhumvit 8 Co., Ltd.</t>
        </is>
      </c>
      <c r="D159" s="22" t="inlineStr">
        <is>
          <t>Contract - Service</t>
        </is>
      </c>
      <c r="E159" s="23" t="inlineStr">
        <is>
          <t>Lift maintenance</t>
        </is>
      </c>
      <c r="F159" s="23" t="inlineStr">
        <is>
          <t>สัญญาบำรุงรักษาลิฟต์</t>
        </is>
      </c>
      <c r="G159" s="23" t="n"/>
      <c r="H159" s="22" t="n"/>
      <c r="I159" s="15" t="n"/>
      <c r="J159" s="15" t="n"/>
      <c r="K159" s="22" t="inlineStr">
        <is>
          <t>Annual</t>
        </is>
      </c>
      <c r="L159" s="22" t="n">
        <v>60</v>
      </c>
      <c r="M159" s="15">
        <f>IF(J159="","",J159-IF(L159="",0,L159))</f>
        <v/>
      </c>
      <c r="N159" s="24">
        <f>IF(J159="","",J159-TODAY())</f>
        <v/>
      </c>
      <c r="O159" s="9">
        <f>IF(E159="","",IF(J159="","No date",IF(N159&lt;0,"Expired",IF(N159&lt;=30,"Urgent",IF(N159&lt;=90,"Due soon","OK")))))</f>
        <v/>
      </c>
      <c r="P159" s="22" t="n"/>
      <c r="Q159" s="25" t="n"/>
      <c r="R159" s="22" t="n"/>
      <c r="S159" s="22" t="n"/>
      <c r="T159" s="23" t="n"/>
      <c r="U159" s="22">
        <f>IF(E159="","",IF(J159="","",N159+ROW()/100000))</f>
        <v/>
      </c>
    </row>
    <row r="160">
      <c r="A160" s="9">
        <f>IF(E160="","",COUNTA($E$5:E160))</f>
        <v/>
      </c>
      <c r="B160" s="22" t="inlineStr">
        <is>
          <t>LYF</t>
        </is>
      </c>
      <c r="C160" s="22" t="inlineStr">
        <is>
          <t>AMH Sukhumvit 8 Co., Ltd.</t>
        </is>
      </c>
      <c r="D160" s="22" t="inlineStr">
        <is>
          <t>Contract - Service</t>
        </is>
      </c>
      <c r="E160" s="23" t="inlineStr">
        <is>
          <t>HVAC / chiller maintenance</t>
        </is>
      </c>
      <c r="F160" s="23" t="inlineStr">
        <is>
          <t>สัญญาบำรุงรักษาระบบปรับอากาศ</t>
        </is>
      </c>
      <c r="G160" s="23" t="n"/>
      <c r="H160" s="22" t="n"/>
      <c r="I160" s="15" t="n"/>
      <c r="J160" s="15" t="n"/>
      <c r="K160" s="22" t="inlineStr">
        <is>
          <t>Annual</t>
        </is>
      </c>
      <c r="L160" s="22" t="n">
        <v>60</v>
      </c>
      <c r="M160" s="15">
        <f>IF(J160="","",J160-IF(L160="",0,L160))</f>
        <v/>
      </c>
      <c r="N160" s="24">
        <f>IF(J160="","",J160-TODAY())</f>
        <v/>
      </c>
      <c r="O160" s="9">
        <f>IF(E160="","",IF(J160="","No date",IF(N160&lt;0,"Expired",IF(N160&lt;=30,"Urgent",IF(N160&lt;=90,"Due soon","OK")))))</f>
        <v/>
      </c>
      <c r="P160" s="22" t="n"/>
      <c r="Q160" s="25" t="n"/>
      <c r="R160" s="22" t="n"/>
      <c r="S160" s="22" t="n"/>
      <c r="T160" s="23" t="n"/>
      <c r="U160" s="22">
        <f>IF(E160="","",IF(J160="","",N160+ROW()/100000))</f>
        <v/>
      </c>
    </row>
    <row r="161">
      <c r="A161" s="9">
        <f>IF(E161="","",COUNTA($E$5:E161))</f>
        <v/>
      </c>
      <c r="B161" s="22" t="inlineStr">
        <is>
          <t>LYF</t>
        </is>
      </c>
      <c r="C161" s="22" t="inlineStr">
        <is>
          <t>AMH Sukhumvit 8 Co., Ltd.</t>
        </is>
      </c>
      <c r="D161" s="22" t="inlineStr">
        <is>
          <t>Contract - Service</t>
        </is>
      </c>
      <c r="E161" s="23" t="inlineStr">
        <is>
          <t>Fire system maintenance</t>
        </is>
      </c>
      <c r="F161" s="23" t="inlineStr">
        <is>
          <t>สัญญาบำรุงรักษาระบบดับเพลิง</t>
        </is>
      </c>
      <c r="G161" s="23" t="n"/>
      <c r="H161" s="22" t="n"/>
      <c r="I161" s="15" t="n"/>
      <c r="J161" s="15" t="n"/>
      <c r="K161" s="22" t="inlineStr">
        <is>
          <t>Annual</t>
        </is>
      </c>
      <c r="L161" s="22" t="n">
        <v>60</v>
      </c>
      <c r="M161" s="15">
        <f>IF(J161="","",J161-IF(L161="",0,L161))</f>
        <v/>
      </c>
      <c r="N161" s="24">
        <f>IF(J161="","",J161-TODAY())</f>
        <v/>
      </c>
      <c r="O161" s="9">
        <f>IF(E161="","",IF(J161="","No date",IF(N161&lt;0,"Expired",IF(N161&lt;=30,"Urgent",IF(N161&lt;=90,"Due soon","OK")))))</f>
        <v/>
      </c>
      <c r="P161" s="22" t="n"/>
      <c r="Q161" s="25" t="n"/>
      <c r="R161" s="22" t="n"/>
      <c r="S161" s="22" t="n"/>
      <c r="T161" s="23" t="n"/>
      <c r="U161" s="22">
        <f>IF(E161="","",IF(J161="","",N161+ROW()/100000))</f>
        <v/>
      </c>
    </row>
    <row r="162">
      <c r="A162" s="9">
        <f>IF(E162="","",COUNTA($E$5:E162))</f>
        <v/>
      </c>
      <c r="B162" s="22" t="inlineStr">
        <is>
          <t>LYF</t>
        </is>
      </c>
      <c r="C162" s="22" t="inlineStr">
        <is>
          <t>AMH Sukhumvit 8 Co., Ltd.</t>
        </is>
      </c>
      <c r="D162" s="22" t="inlineStr">
        <is>
          <t>Contract - Service</t>
        </is>
      </c>
      <c r="E162" s="23" t="inlineStr">
        <is>
          <t>Waste collection</t>
        </is>
      </c>
      <c r="F162" s="23" t="inlineStr">
        <is>
          <t>สัญญาเก็บขนขยะ</t>
        </is>
      </c>
      <c r="G162" s="23" t="n"/>
      <c r="H162" s="22" t="n"/>
      <c r="I162" s="15" t="n"/>
      <c r="J162" s="15" t="n"/>
      <c r="K162" s="22" t="inlineStr">
        <is>
          <t>Annual</t>
        </is>
      </c>
      <c r="L162" s="22" t="n">
        <v>60</v>
      </c>
      <c r="M162" s="15">
        <f>IF(J162="","",J162-IF(L162="",0,L162))</f>
        <v/>
      </c>
      <c r="N162" s="24">
        <f>IF(J162="","",J162-TODAY())</f>
        <v/>
      </c>
      <c r="O162" s="9">
        <f>IF(E162="","",IF(J162="","No date",IF(N162&lt;0,"Expired",IF(N162&lt;=30,"Urgent",IF(N162&lt;=90,"Due soon","OK")))))</f>
        <v/>
      </c>
      <c r="P162" s="22" t="n"/>
      <c r="Q162" s="25" t="n"/>
      <c r="R162" s="22" t="n"/>
      <c r="S162" s="22" t="n"/>
      <c r="T162" s="23" t="n"/>
      <c r="U162" s="22">
        <f>IF(E162="","",IF(J162="","",N162+ROW()/100000))</f>
        <v/>
      </c>
    </row>
    <row r="163">
      <c r="A163" s="9">
        <f>IF(E163="","",COUNTA($E$5:E163))</f>
        <v/>
      </c>
      <c r="B163" s="22" t="inlineStr">
        <is>
          <t>LYF</t>
        </is>
      </c>
      <c r="C163" s="22" t="inlineStr">
        <is>
          <t>AMH Sukhumvit 8 Co., Ltd.</t>
        </is>
      </c>
      <c r="D163" s="22" t="inlineStr">
        <is>
          <t>Contract - Service</t>
        </is>
      </c>
      <c r="E163" s="23" t="inlineStr">
        <is>
          <t>PMS / property management system licence</t>
        </is>
      </c>
      <c r="F163" s="23" t="inlineStr">
        <is>
          <t>สัญญาระบบบริหารโรงแรม (PMS)</t>
        </is>
      </c>
      <c r="G163" s="23" t="n"/>
      <c r="H163" s="22" t="n"/>
      <c r="I163" s="15" t="n"/>
      <c r="J163" s="15" t="n"/>
      <c r="K163" s="22" t="inlineStr">
        <is>
          <t>Annual</t>
        </is>
      </c>
      <c r="L163" s="22" t="n">
        <v>60</v>
      </c>
      <c r="M163" s="15">
        <f>IF(J163="","",J163-IF(L163="",0,L163))</f>
        <v/>
      </c>
      <c r="N163" s="24">
        <f>IF(J163="","",J163-TODAY())</f>
        <v/>
      </c>
      <c r="O163" s="9">
        <f>IF(E163="","",IF(J163="","No date",IF(N163&lt;0,"Expired",IF(N163&lt;=30,"Urgent",IF(N163&lt;=90,"Due soon","OK")))))</f>
        <v/>
      </c>
      <c r="P163" s="22" t="n"/>
      <c r="Q163" s="25" t="n"/>
      <c r="R163" s="22" t="n"/>
      <c r="S163" s="22" t="n"/>
      <c r="T163" s="23" t="n"/>
      <c r="U163" s="22">
        <f>IF(E163="","",IF(J163="","",N163+ROW()/100000))</f>
        <v/>
      </c>
    </row>
    <row r="164">
      <c r="A164" s="9">
        <f>IF(E164="","",COUNTA($E$5:E164))</f>
        <v/>
      </c>
      <c r="B164" s="22" t="inlineStr">
        <is>
          <t>LYF</t>
        </is>
      </c>
      <c r="C164" s="22" t="inlineStr">
        <is>
          <t>AMH Sukhumvit 8 Co., Ltd.</t>
        </is>
      </c>
      <c r="D164" s="22" t="inlineStr">
        <is>
          <t>Contract - Service</t>
        </is>
      </c>
      <c r="E164" s="23" t="inlineStr">
        <is>
          <t>Internet / IPTV / telephone</t>
        </is>
      </c>
      <c r="F164" s="23" t="inlineStr">
        <is>
          <t>สัญญาอินเทอร์เน็ต / IPTV / โทรศัพท์</t>
        </is>
      </c>
      <c r="G164" s="23" t="n"/>
      <c r="H164" s="22" t="n"/>
      <c r="I164" s="15" t="n"/>
      <c r="J164" s="15" t="n"/>
      <c r="K164" s="22" t="inlineStr">
        <is>
          <t>Annual</t>
        </is>
      </c>
      <c r="L164" s="22" t="n">
        <v>60</v>
      </c>
      <c r="M164" s="15">
        <f>IF(J164="","",J164-IF(L164="",0,L164))</f>
        <v/>
      </c>
      <c r="N164" s="24">
        <f>IF(J164="","",J164-TODAY())</f>
        <v/>
      </c>
      <c r="O164" s="9">
        <f>IF(E164="","",IF(J164="","No date",IF(N164&lt;0,"Expired",IF(N164&lt;=30,"Urgent",IF(N164&lt;=90,"Due soon","OK")))))</f>
        <v/>
      </c>
      <c r="P164" s="22" t="n"/>
      <c r="Q164" s="25" t="n"/>
      <c r="R164" s="22" t="n"/>
      <c r="S164" s="22" t="n"/>
      <c r="T164" s="23" t="n"/>
      <c r="U164" s="22">
        <f>IF(E164="","",IF(J164="","",N164+ROW()/100000))</f>
        <v/>
      </c>
    </row>
    <row r="165">
      <c r="A165" s="9">
        <f>IF(E165="","",COUNTA($E$5:E165))</f>
        <v/>
      </c>
      <c r="B165" s="22" t="inlineStr">
        <is>
          <t>LYF</t>
        </is>
      </c>
      <c r="C165" s="22" t="inlineStr">
        <is>
          <t>AMH Sukhumvit 8 Co., Ltd.</t>
        </is>
      </c>
      <c r="D165" s="22" t="inlineStr">
        <is>
          <t>Contract - Service</t>
        </is>
      </c>
      <c r="E165" s="23" t="inlineStr">
        <is>
          <t>External audit &amp; tax agent</t>
        </is>
      </c>
      <c r="F165" s="23" t="inlineStr">
        <is>
          <t>สัญญาผู้สอบบัญชีและที่ปรึกษาภาษี</t>
        </is>
      </c>
      <c r="G165" s="23" t="n"/>
      <c r="H165" s="22" t="n"/>
      <c r="I165" s="15" t="n"/>
      <c r="J165" s="15" t="n"/>
      <c r="K165" s="22" t="inlineStr">
        <is>
          <t>Annual</t>
        </is>
      </c>
      <c r="L165" s="22" t="n">
        <v>60</v>
      </c>
      <c r="M165" s="15">
        <f>IF(J165="","",J165-IF(L165="",0,L165))</f>
        <v/>
      </c>
      <c r="N165" s="24">
        <f>IF(J165="","",J165-TODAY())</f>
        <v/>
      </c>
      <c r="O165" s="9">
        <f>IF(E165="","",IF(J165="","No date",IF(N165&lt;0,"Expired",IF(N165&lt;=30,"Urgent",IF(N165&lt;=90,"Due soon","OK")))))</f>
        <v/>
      </c>
      <c r="P165" s="22" t="n"/>
      <c r="Q165" s="25" t="n"/>
      <c r="R165" s="22" t="n"/>
      <c r="S165" s="22" t="n"/>
      <c r="T165" s="23" t="n"/>
      <c r="U165" s="22">
        <f>IF(E165="","",IF(J165="","",N165+ROW()/100000))</f>
        <v/>
      </c>
    </row>
    <row r="166">
      <c r="A166" s="9">
        <f>IF(E166="","",COUNTA($E$5:E166))</f>
        <v/>
      </c>
      <c r="B166" s="22" t="inlineStr">
        <is>
          <t>LYF</t>
        </is>
      </c>
      <c r="C166" s="22" t="inlineStr">
        <is>
          <t>AMH Sukhumvit 8 Co., Ltd.</t>
        </is>
      </c>
      <c r="D166" s="22" t="inlineStr">
        <is>
          <t>Contract - Utility</t>
        </is>
      </c>
      <c r="E166" s="23" t="inlineStr">
        <is>
          <t>Electricity supply</t>
        </is>
      </c>
      <c r="F166" s="23" t="inlineStr">
        <is>
          <t>สัญญาไฟฟ้า</t>
        </is>
      </c>
      <c r="G166" s="23" t="n"/>
      <c r="H166" s="22" t="n"/>
      <c r="I166" s="15" t="n"/>
      <c r="J166" s="15" t="n"/>
      <c r="K166" s="22" t="inlineStr">
        <is>
          <t>Rolling / evergreen</t>
        </is>
      </c>
      <c r="L166" s="22" t="n">
        <v>60</v>
      </c>
      <c r="M166" s="15">
        <f>IF(J166="","",J166-IF(L166="",0,L166))</f>
        <v/>
      </c>
      <c r="N166" s="24">
        <f>IF(J166="","",J166-TODAY())</f>
        <v/>
      </c>
      <c r="O166" s="9">
        <f>IF(E166="","",IF(J166="","No date",IF(N166&lt;0,"Expired",IF(N166&lt;=30,"Urgent",IF(N166&lt;=90,"Due soon","OK")))))</f>
        <v/>
      </c>
      <c r="P166" s="22" t="n"/>
      <c r="Q166" s="25" t="n"/>
      <c r="R166" s="22" t="n"/>
      <c r="S166" s="22" t="n"/>
      <c r="T166" s="23" t="n"/>
      <c r="U166" s="22">
        <f>IF(E166="","",IF(J166="","",N166+ROW()/100000))</f>
        <v/>
      </c>
    </row>
    <row r="167">
      <c r="A167" s="9">
        <f>IF(E167="","",COUNTA($E$5:E167))</f>
        <v/>
      </c>
      <c r="B167" s="22" t="inlineStr">
        <is>
          <t>LYF</t>
        </is>
      </c>
      <c r="C167" s="22" t="inlineStr">
        <is>
          <t>AMH Sukhumvit 8 Co., Ltd.</t>
        </is>
      </c>
      <c r="D167" s="22" t="inlineStr">
        <is>
          <t>Contract - Utility</t>
        </is>
      </c>
      <c r="E167" s="23" t="inlineStr">
        <is>
          <t>Water supply</t>
        </is>
      </c>
      <c r="F167" s="23" t="inlineStr">
        <is>
          <t>สัญญาน้ำประปา</t>
        </is>
      </c>
      <c r="G167" s="23" t="n"/>
      <c r="H167" s="22" t="n"/>
      <c r="I167" s="15" t="n"/>
      <c r="J167" s="15" t="n"/>
      <c r="K167" s="22" t="inlineStr">
        <is>
          <t>Rolling / evergreen</t>
        </is>
      </c>
      <c r="L167" s="22" t="n">
        <v>60</v>
      </c>
      <c r="M167" s="15">
        <f>IF(J167="","",J167-IF(L167="",0,L167))</f>
        <v/>
      </c>
      <c r="N167" s="24">
        <f>IF(J167="","",J167-TODAY())</f>
        <v/>
      </c>
      <c r="O167" s="9">
        <f>IF(E167="","",IF(J167="","No date",IF(N167&lt;0,"Expired",IF(N167&lt;=30,"Urgent",IF(N167&lt;=90,"Due soon","OK")))))</f>
        <v/>
      </c>
      <c r="P167" s="22" t="n"/>
      <c r="Q167" s="25" t="n"/>
      <c r="R167" s="22" t="n"/>
      <c r="S167" s="22" t="n"/>
      <c r="T167" s="23" t="n"/>
      <c r="U167" s="22">
        <f>IF(E167="","",IF(J167="","",N167+ROW()/100000))</f>
        <v/>
      </c>
    </row>
    <row r="168">
      <c r="A168" s="9">
        <f>IF(E168="","",COUNTA($E$5:E168))</f>
        <v/>
      </c>
      <c r="B168" s="22" t="inlineStr">
        <is>
          <t>LYF</t>
        </is>
      </c>
      <c r="C168" s="22" t="inlineStr">
        <is>
          <t>AMH Sukhumvit 8 Co., Ltd.</t>
        </is>
      </c>
      <c r="D168" s="22" t="inlineStr">
        <is>
          <t>Contract - Lease / Finance</t>
        </is>
      </c>
      <c r="E168" s="23" t="inlineStr">
        <is>
          <t>Land / building lease</t>
        </is>
      </c>
      <c r="F168" s="23" t="inlineStr">
        <is>
          <t>สัญญาเช่าที่ดิน / อาคาร</t>
        </is>
      </c>
      <c r="G168" s="23" t="n"/>
      <c r="H168" s="22" t="n"/>
      <c r="I168" s="15" t="n"/>
      <c r="J168" s="15" t="n"/>
      <c r="K168" s="22" t="inlineStr">
        <is>
          <t>Other</t>
        </is>
      </c>
      <c r="L168" s="22" t="n">
        <v>60</v>
      </c>
      <c r="M168" s="15">
        <f>IF(J168="","",J168-IF(L168="",0,L168))</f>
        <v/>
      </c>
      <c r="N168" s="24">
        <f>IF(J168="","",J168-TODAY())</f>
        <v/>
      </c>
      <c r="O168" s="9">
        <f>IF(E168="","",IF(J168="","No date",IF(N168&lt;0,"Expired",IF(N168&lt;=30,"Urgent",IF(N168&lt;=90,"Due soon","OK")))))</f>
        <v/>
      </c>
      <c r="P168" s="22" t="n"/>
      <c r="Q168" s="25" t="n"/>
      <c r="R168" s="22" t="n"/>
      <c r="S168" s="22" t="n"/>
      <c r="T168" s="23" t="n"/>
      <c r="U168" s="22">
        <f>IF(E168="","",IF(J168="","",N168+ROW()/100000))</f>
        <v/>
      </c>
    </row>
    <row r="169">
      <c r="A169" s="9">
        <f>IF(E169="","",COUNTA($E$5:E169))</f>
        <v/>
      </c>
      <c r="B169" s="22" t="inlineStr">
        <is>
          <t>LYF</t>
        </is>
      </c>
      <c r="C169" s="22" t="inlineStr">
        <is>
          <t>AMH Sukhumvit 8 Co., Ltd.</t>
        </is>
      </c>
      <c r="D169" s="22" t="inlineStr">
        <is>
          <t>Contract - Lease / Finance</t>
        </is>
      </c>
      <c r="E169" s="23" t="inlineStr">
        <is>
          <t>Bank facility / loan agreement</t>
        </is>
      </c>
      <c r="F169" s="23" t="inlineStr">
        <is>
          <t>สัญญาสินเชื่อธนาคาร</t>
        </is>
      </c>
      <c r="G169" s="23" t="n"/>
      <c r="H169" s="22" t="n"/>
      <c r="I169" s="15" t="n"/>
      <c r="J169" s="15" t="n"/>
      <c r="K169" s="22" t="inlineStr">
        <is>
          <t>Other</t>
        </is>
      </c>
      <c r="L169" s="22" t="n">
        <v>60</v>
      </c>
      <c r="M169" s="15">
        <f>IF(J169="","",J169-IF(L169="",0,L169))</f>
        <v/>
      </c>
      <c r="N169" s="24">
        <f>IF(J169="","",J169-TODAY())</f>
        <v/>
      </c>
      <c r="O169" s="9">
        <f>IF(E169="","",IF(J169="","No date",IF(N169&lt;0,"Expired",IF(N169&lt;=30,"Urgent",IF(N169&lt;=90,"Due soon","OK")))))</f>
        <v/>
      </c>
      <c r="P169" s="22" t="n"/>
      <c r="Q169" s="25" t="n"/>
      <c r="R169" s="22" t="n"/>
      <c r="S169" s="22" t="n"/>
      <c r="T169" s="23" t="n"/>
      <c r="U169" s="22">
        <f>IF(E169="","",IF(J169="","",N169+ROW()/100000))</f>
        <v/>
      </c>
    </row>
    <row r="170">
      <c r="A170" s="9">
        <f>IF(E170="","",COUNTA($E$5:E170))</f>
        <v/>
      </c>
      <c r="B170" s="22" t="inlineStr">
        <is>
          <t>LYF</t>
        </is>
      </c>
      <c r="C170" s="22" t="inlineStr">
        <is>
          <t>AMH Sukhumvit 8 Co., Ltd.</t>
        </is>
      </c>
      <c r="D170" s="22" t="inlineStr">
        <is>
          <t>Contract - OTA</t>
        </is>
      </c>
      <c r="E170" s="23" t="inlineStr">
        <is>
          <t>DayUse day-booking agreement</t>
        </is>
      </c>
      <c r="F170" s="23" t="inlineStr">
        <is>
          <t>สัญญากับ DayUse</t>
        </is>
      </c>
      <c r="G170" s="23" t="inlineStr">
        <is>
          <t>DayUse Hong Kong Ltd.</t>
        </is>
      </c>
      <c r="H170" s="22" t="n"/>
      <c r="I170" s="15" t="n"/>
      <c r="J170" s="15" t="n"/>
      <c r="K170" s="22" t="inlineStr">
        <is>
          <t>Rolling / evergreen</t>
        </is>
      </c>
      <c r="L170" s="22" t="n">
        <v>60</v>
      </c>
      <c r="M170" s="15">
        <f>IF(J170="","",J170-IF(L170="",0,L170))</f>
        <v/>
      </c>
      <c r="N170" s="24">
        <f>IF(J170="","",J170-TODAY())</f>
        <v/>
      </c>
      <c r="O170" s="9">
        <f>IF(E170="","",IF(J170="","No date",IF(N170&lt;0,"Expired",IF(N170&lt;=30,"Urgent",IF(N170&lt;=90,"Due soon","OK")))))</f>
        <v/>
      </c>
      <c r="P170" s="22" t="n"/>
      <c r="Q170" s="25" t="n"/>
      <c r="R170" s="22" t="n"/>
      <c r="S170" s="22" t="n"/>
      <c r="T170" s="23" t="n"/>
      <c r="U170" s="22">
        <f>IF(E170="","",IF(J170="","",N170+ROW()/100000))</f>
        <v/>
      </c>
    </row>
    <row r="171">
      <c r="A171" s="9">
        <f>IF(E171="","",COUNTA($E$5:E171))</f>
        <v/>
      </c>
      <c r="B171" s="22" t="inlineStr">
        <is>
          <t>LYF</t>
        </is>
      </c>
      <c r="C171" s="22" t="inlineStr">
        <is>
          <t>AMH Sukhumvit 8 Co., Ltd.</t>
        </is>
      </c>
      <c r="D171" s="22" t="inlineStr">
        <is>
          <t>Contract - Service</t>
        </is>
      </c>
      <c r="E171" s="23" t="inlineStr">
        <is>
          <t>Adria Scan document services</t>
        </is>
      </c>
      <c r="F171" s="23" t="inlineStr">
        <is>
          <t>สัญญาบริการ Adria Scan</t>
        </is>
      </c>
      <c r="G171" s="23" t="inlineStr">
        <is>
          <t>Adria Scan</t>
        </is>
      </c>
      <c r="H171" s="22" t="n"/>
      <c r="I171" s="15" t="n"/>
      <c r="J171" s="15" t="n"/>
      <c r="K171" s="22" t="inlineStr">
        <is>
          <t>Annual</t>
        </is>
      </c>
      <c r="L171" s="22" t="n">
        <v>60</v>
      </c>
      <c r="M171" s="15">
        <f>IF(J171="","",J171-IF(L171="",0,L171))</f>
        <v/>
      </c>
      <c r="N171" s="24">
        <f>IF(J171="","",J171-TODAY())</f>
        <v/>
      </c>
      <c r="O171" s="9">
        <f>IF(E171="","",IF(J171="","No date",IF(N171&lt;0,"Expired",IF(N171&lt;=30,"Urgent",IF(N171&lt;=90,"Due soon","OK")))))</f>
        <v/>
      </c>
      <c r="P171" s="22" t="n"/>
      <c r="Q171" s="25" t="n"/>
      <c r="R171" s="22" t="n"/>
      <c r="S171" s="22" t="n"/>
      <c r="T171" s="23" t="n"/>
      <c r="U171" s="22">
        <f>IF(E171="","",IF(J171="","",N171+ROW()/100000))</f>
        <v/>
      </c>
    </row>
    <row r="172">
      <c r="A172" s="9">
        <f>IF(E172="","",COUNTA($E$5:E172))</f>
        <v/>
      </c>
      <c r="B172" s="22" t="inlineStr">
        <is>
          <t>SP</t>
        </is>
      </c>
      <c r="C172" s="22" t="inlineStr">
        <is>
          <t>AMH Pattaya Co., Ltd.</t>
        </is>
      </c>
      <c r="D172" s="22" t="inlineStr">
        <is>
          <t>Licence</t>
        </is>
      </c>
      <c r="E172" s="23" t="inlineStr">
        <is>
          <t>Hotel operating licence</t>
        </is>
      </c>
      <c r="F172" s="23" t="inlineStr">
        <is>
          <t>ใบอนุญาตประกอบธุรกิจโรงแรม</t>
        </is>
      </c>
      <c r="G172" s="23" t="inlineStr">
        <is>
          <t>Dept. of Provincial Administration / District Office</t>
        </is>
      </c>
      <c r="H172" s="22" t="n"/>
      <c r="I172" s="15" t="n"/>
      <c r="J172" s="15" t="n"/>
      <c r="K172" s="22" t="inlineStr">
        <is>
          <t>Every 5 years</t>
        </is>
      </c>
      <c r="L172" s="22" t="n">
        <v>60</v>
      </c>
      <c r="M172" s="15">
        <f>IF(J172="","",J172-IF(L172="",0,L172))</f>
        <v/>
      </c>
      <c r="N172" s="24">
        <f>IF(J172="","",J172-TODAY())</f>
        <v/>
      </c>
      <c r="O172" s="9">
        <f>IF(E172="","",IF(J172="","No date",IF(N172&lt;0,"Expired",IF(N172&lt;=30,"Urgent",IF(N172&lt;=90,"Due soon","OK")))))</f>
        <v/>
      </c>
      <c r="P172" s="22" t="n"/>
      <c r="Q172" s="25" t="n"/>
      <c r="R172" s="22" t="n"/>
      <c r="S172" s="22" t="n"/>
      <c r="T172" s="23" t="n"/>
      <c r="U172" s="22">
        <f>IF(E172="","",IF(J172="","",N172+ROW()/100000))</f>
        <v/>
      </c>
    </row>
    <row r="173">
      <c r="A173" s="9">
        <f>IF(E173="","",COUNTA($E$5:E173))</f>
        <v/>
      </c>
      <c r="B173" s="22" t="inlineStr">
        <is>
          <t>SP</t>
        </is>
      </c>
      <c r="C173" s="22" t="inlineStr">
        <is>
          <t>AMH Pattaya Co., Ltd.</t>
        </is>
      </c>
      <c r="D173" s="22" t="inlineStr">
        <is>
          <t>Licence</t>
        </is>
      </c>
      <c r="E173" s="23" t="inlineStr">
        <is>
          <t>Hotel manager licence</t>
        </is>
      </c>
      <c r="F173" s="23" t="inlineStr">
        <is>
          <t>ใบอนุญาตผู้จัดการโรงแรม</t>
        </is>
      </c>
      <c r="G173" s="23" t="inlineStr">
        <is>
          <t>Dept. of Provincial Administration / District Office</t>
        </is>
      </c>
      <c r="H173" s="22" t="n"/>
      <c r="I173" s="15" t="n"/>
      <c r="J173" s="15" t="n"/>
      <c r="K173" s="22" t="inlineStr">
        <is>
          <t>Every 5 years</t>
        </is>
      </c>
      <c r="L173" s="22" t="n">
        <v>60</v>
      </c>
      <c r="M173" s="15">
        <f>IF(J173="","",J173-IF(L173="",0,L173))</f>
        <v/>
      </c>
      <c r="N173" s="24">
        <f>IF(J173="","",J173-TODAY())</f>
        <v/>
      </c>
      <c r="O173" s="9">
        <f>IF(E173="","",IF(J173="","No date",IF(N173&lt;0,"Expired",IF(N173&lt;=30,"Urgent",IF(N173&lt;=90,"Due soon","OK")))))</f>
        <v/>
      </c>
      <c r="P173" s="22" t="n"/>
      <c r="Q173" s="25" t="n"/>
      <c r="R173" s="22" t="n"/>
      <c r="S173" s="22" t="n"/>
      <c r="T173" s="23" t="n"/>
      <c r="U173" s="22">
        <f>IF(E173="","",IF(J173="","",N173+ROW()/100000))</f>
        <v/>
      </c>
    </row>
    <row r="174">
      <c r="A174" s="9">
        <f>IF(E174="","",COUNTA($E$5:E174))</f>
        <v/>
      </c>
      <c r="B174" s="22" t="inlineStr">
        <is>
          <t>SP</t>
        </is>
      </c>
      <c r="C174" s="22" t="inlineStr">
        <is>
          <t>AMH Pattaya Co., Ltd.</t>
        </is>
      </c>
      <c r="D174" s="22" t="inlineStr">
        <is>
          <t>Permit</t>
        </is>
      </c>
      <c r="E174" s="23" t="inlineStr">
        <is>
          <t>Building construction permit (อ.1)</t>
        </is>
      </c>
      <c r="F174" s="23" t="inlineStr">
        <is>
          <t>ใบอนุญาตก่อสร้างอาคาร (อ.1)</t>
        </is>
      </c>
      <c r="G174" s="23" t="inlineStr">
        <is>
          <t>Local authority (BMA / City Municipality)</t>
        </is>
      </c>
      <c r="H174" s="22" t="n"/>
      <c r="I174" s="15" t="n"/>
      <c r="J174" s="15" t="n"/>
      <c r="K174" s="22" t="inlineStr">
        <is>
          <t>One-off</t>
        </is>
      </c>
      <c r="L174" s="22" t="n">
        <v>60</v>
      </c>
      <c r="M174" s="15">
        <f>IF(J174="","",J174-IF(L174="",0,L174))</f>
        <v/>
      </c>
      <c r="N174" s="24">
        <f>IF(J174="","",J174-TODAY())</f>
        <v/>
      </c>
      <c r="O174" s="9">
        <f>IF(E174="","",IF(J174="","No date",IF(N174&lt;0,"Expired",IF(N174&lt;=30,"Urgent",IF(N174&lt;=90,"Due soon","OK")))))</f>
        <v/>
      </c>
      <c r="P174" s="22" t="n"/>
      <c r="Q174" s="25" t="n"/>
      <c r="R174" s="22" t="n"/>
      <c r="S174" s="22" t="n"/>
      <c r="T174" s="23" t="n"/>
      <c r="U174" s="22">
        <f>IF(E174="","",IF(J174="","",N174+ROW()/100000))</f>
        <v/>
      </c>
    </row>
    <row r="175">
      <c r="A175" s="9">
        <f>IF(E175="","",COUNTA($E$5:E175))</f>
        <v/>
      </c>
      <c r="B175" s="22" t="inlineStr">
        <is>
          <t>SP</t>
        </is>
      </c>
      <c r="C175" s="22" t="inlineStr">
        <is>
          <t>AMH Pattaya Co., Ltd.</t>
        </is>
      </c>
      <c r="D175" s="22" t="inlineStr">
        <is>
          <t>Certificate</t>
        </is>
      </c>
      <c r="E175" s="23" t="inlineStr">
        <is>
          <t>Certificate of building use (อ.6)</t>
        </is>
      </c>
      <c r="F175" s="23" t="inlineStr">
        <is>
          <t>ใบรับรองการใช้อาคาร (อ.6)</t>
        </is>
      </c>
      <c r="G175" s="23" t="inlineStr">
        <is>
          <t>Local authority (BMA / City Municipality)</t>
        </is>
      </c>
      <c r="H175" s="22" t="n"/>
      <c r="I175" s="15" t="n"/>
      <c r="J175" s="15" t="n"/>
      <c r="K175" s="22" t="inlineStr">
        <is>
          <t>One-off</t>
        </is>
      </c>
      <c r="L175" s="22" t="n">
        <v>60</v>
      </c>
      <c r="M175" s="15">
        <f>IF(J175="","",J175-IF(L175="",0,L175))</f>
        <v/>
      </c>
      <c r="N175" s="24">
        <f>IF(J175="","",J175-TODAY())</f>
        <v/>
      </c>
      <c r="O175" s="9">
        <f>IF(E175="","",IF(J175="","No date",IF(N175&lt;0,"Expired",IF(N175&lt;=30,"Urgent",IF(N175&lt;=90,"Due soon","OK")))))</f>
        <v/>
      </c>
      <c r="P175" s="22" t="n"/>
      <c r="Q175" s="25" t="n"/>
      <c r="R175" s="22" t="n"/>
      <c r="S175" s="22" t="n"/>
      <c r="T175" s="23" t="n"/>
      <c r="U175" s="22">
        <f>IF(E175="","",IF(J175="","",N175+ROW()/100000))</f>
        <v/>
      </c>
    </row>
    <row r="176">
      <c r="A176" s="9">
        <f>IF(E176="","",COUNTA($E$5:E176))</f>
        <v/>
      </c>
      <c r="B176" s="22" t="inlineStr">
        <is>
          <t>SP</t>
        </is>
      </c>
      <c r="C176" s="22" t="inlineStr">
        <is>
          <t>AMH Pattaya Co., Ltd.</t>
        </is>
      </c>
      <c r="D176" s="22" t="inlineStr">
        <is>
          <t>Certificate</t>
        </is>
      </c>
      <c r="E176" s="23" t="inlineStr">
        <is>
          <t>Annual building inspection report (ร.1)</t>
        </is>
      </c>
      <c r="F176" s="23" t="inlineStr">
        <is>
          <t>รายงานการตรวจสอบอาคารประจำปี (ร.1)</t>
        </is>
      </c>
      <c r="G176" s="23" t="inlineStr">
        <is>
          <t>Dept. of Public Works / local authority</t>
        </is>
      </c>
      <c r="H176" s="22" t="n"/>
      <c r="I176" s="15" t="n"/>
      <c r="J176" s="15" t="n"/>
      <c r="K176" s="22" t="inlineStr">
        <is>
          <t>Annual</t>
        </is>
      </c>
      <c r="L176" s="22" t="n">
        <v>60</v>
      </c>
      <c r="M176" s="15">
        <f>IF(J176="","",J176-IF(L176="",0,L176))</f>
        <v/>
      </c>
      <c r="N176" s="24">
        <f>IF(J176="","",J176-TODAY())</f>
        <v/>
      </c>
      <c r="O176" s="9">
        <f>IF(E176="","",IF(J176="","No date",IF(N176&lt;0,"Expired",IF(N176&lt;=30,"Urgent",IF(N176&lt;=90,"Due soon","OK")))))</f>
        <v/>
      </c>
      <c r="P176" s="22" t="n"/>
      <c r="Q176" s="25" t="n"/>
      <c r="R176" s="22" t="n"/>
      <c r="S176" s="22" t="n"/>
      <c r="T176" s="23" t="n"/>
      <c r="U176" s="22">
        <f>IF(E176="","",IF(J176="","",N176+ROW()/100000))</f>
        <v/>
      </c>
    </row>
    <row r="177">
      <c r="A177" s="9">
        <f>IF(E177="","",COUNTA($E$5:E177))</f>
        <v/>
      </c>
      <c r="B177" s="22" t="inlineStr">
        <is>
          <t>SP</t>
        </is>
      </c>
      <c r="C177" s="22" t="inlineStr">
        <is>
          <t>AMH Pattaya Co., Ltd.</t>
        </is>
      </c>
      <c r="D177" s="22" t="inlineStr">
        <is>
          <t>Certificate</t>
        </is>
      </c>
      <c r="E177" s="23" t="inlineStr">
        <is>
          <t>Fire protection system inspection</t>
        </is>
      </c>
      <c r="F177" s="23" t="inlineStr">
        <is>
          <t>การตรวจสอบระบบป้องกันอัคคีภัย</t>
        </is>
      </c>
      <c r="G177" s="23" t="inlineStr">
        <is>
          <t>Licensed inspector</t>
        </is>
      </c>
      <c r="H177" s="22" t="n"/>
      <c r="I177" s="15" t="n"/>
      <c r="J177" s="15" t="n"/>
      <c r="K177" s="22" t="inlineStr">
        <is>
          <t>Annual</t>
        </is>
      </c>
      <c r="L177" s="22" t="n">
        <v>60</v>
      </c>
      <c r="M177" s="15">
        <f>IF(J177="","",J177-IF(L177="",0,L177))</f>
        <v/>
      </c>
      <c r="N177" s="24">
        <f>IF(J177="","",J177-TODAY())</f>
        <v/>
      </c>
      <c r="O177" s="9">
        <f>IF(E177="","",IF(J177="","No date",IF(N177&lt;0,"Expired",IF(N177&lt;=30,"Urgent",IF(N177&lt;=90,"Due soon","OK")))))</f>
        <v/>
      </c>
      <c r="P177" s="22" t="n"/>
      <c r="Q177" s="25" t="n"/>
      <c r="R177" s="22" t="n"/>
      <c r="S177" s="22" t="n"/>
      <c r="T177" s="23" t="n"/>
      <c r="U177" s="22">
        <f>IF(E177="","",IF(J177="","",N177+ROW()/100000))</f>
        <v/>
      </c>
    </row>
    <row r="178">
      <c r="A178" s="9">
        <f>IF(E178="","",COUNTA($E$5:E178))</f>
        <v/>
      </c>
      <c r="B178" s="22" t="inlineStr">
        <is>
          <t>SP</t>
        </is>
      </c>
      <c r="C178" s="22" t="inlineStr">
        <is>
          <t>AMH Pattaya Co., Ltd.</t>
        </is>
      </c>
      <c r="D178" s="22" t="inlineStr">
        <is>
          <t>Certificate</t>
        </is>
      </c>
      <c r="E178" s="23" t="inlineStr">
        <is>
          <t>Lift / elevator inspection certificate</t>
        </is>
      </c>
      <c r="F178" s="23" t="inlineStr">
        <is>
          <t>ใบรับรองการตรวจสอบลิฟต์</t>
        </is>
      </c>
      <c r="G178" s="23" t="inlineStr">
        <is>
          <t>Licensed engineer</t>
        </is>
      </c>
      <c r="H178" s="22" t="n"/>
      <c r="I178" s="15" t="n"/>
      <c r="J178" s="15" t="n"/>
      <c r="K178" s="22" t="inlineStr">
        <is>
          <t>Annual</t>
        </is>
      </c>
      <c r="L178" s="22" t="n">
        <v>60</v>
      </c>
      <c r="M178" s="15">
        <f>IF(J178="","",J178-IF(L178="",0,L178))</f>
        <v/>
      </c>
      <c r="N178" s="24">
        <f>IF(J178="","",J178-TODAY())</f>
        <v/>
      </c>
      <c r="O178" s="9">
        <f>IF(E178="","",IF(J178="","No date",IF(N178&lt;0,"Expired",IF(N178&lt;=30,"Urgent",IF(N178&lt;=90,"Due soon","OK")))))</f>
        <v/>
      </c>
      <c r="P178" s="22" t="n"/>
      <c r="Q178" s="25" t="n"/>
      <c r="R178" s="22" t="n"/>
      <c r="S178" s="22" t="n"/>
      <c r="T178" s="23" t="n"/>
      <c r="U178" s="22">
        <f>IF(E178="","",IF(J178="","",N178+ROW()/100000))</f>
        <v/>
      </c>
    </row>
    <row r="179">
      <c r="A179" s="9">
        <f>IF(E179="","",COUNTA($E$5:E179))</f>
        <v/>
      </c>
      <c r="B179" s="22" t="inlineStr">
        <is>
          <t>SP</t>
        </is>
      </c>
      <c r="C179" s="22" t="inlineStr">
        <is>
          <t>AMH Pattaya Co., Ltd.</t>
        </is>
      </c>
      <c r="D179" s="22" t="inlineStr">
        <is>
          <t>Certificate</t>
        </is>
      </c>
      <c r="E179" s="23" t="inlineStr">
        <is>
          <t>Electrical system inspection</t>
        </is>
      </c>
      <c r="F179" s="23" t="inlineStr">
        <is>
          <t>การตรวจสอบระบบไฟฟ้า</t>
        </is>
      </c>
      <c r="G179" s="23" t="inlineStr">
        <is>
          <t>Licensed engineer</t>
        </is>
      </c>
      <c r="H179" s="22" t="n"/>
      <c r="I179" s="15" t="n"/>
      <c r="J179" s="15" t="n"/>
      <c r="K179" s="22" t="inlineStr">
        <is>
          <t>Annual</t>
        </is>
      </c>
      <c r="L179" s="22" t="n">
        <v>60</v>
      </c>
      <c r="M179" s="15">
        <f>IF(J179="","",J179-IF(L179="",0,L179))</f>
        <v/>
      </c>
      <c r="N179" s="24">
        <f>IF(J179="","",J179-TODAY())</f>
        <v/>
      </c>
      <c r="O179" s="9">
        <f>IF(E179="","",IF(J179="","No date",IF(N179&lt;0,"Expired",IF(N179&lt;=30,"Urgent",IF(N179&lt;=90,"Due soon","OK")))))</f>
        <v/>
      </c>
      <c r="P179" s="22" t="n"/>
      <c r="Q179" s="25" t="n"/>
      <c r="R179" s="22" t="n"/>
      <c r="S179" s="22" t="n"/>
      <c r="T179" s="23" t="n"/>
      <c r="U179" s="22">
        <f>IF(E179="","",IF(J179="","",N179+ROW()/100000))</f>
        <v/>
      </c>
    </row>
    <row r="180">
      <c r="A180" s="9">
        <f>IF(E180="","",COUNTA($E$5:E180))</f>
        <v/>
      </c>
      <c r="B180" s="22" t="inlineStr">
        <is>
          <t>SP</t>
        </is>
      </c>
      <c r="C180" s="22" t="inlineStr">
        <is>
          <t>AMH Pattaya Co., Ltd.</t>
        </is>
      </c>
      <c r="D180" s="22" t="inlineStr">
        <is>
          <t>Certificate</t>
        </is>
      </c>
      <c r="E180" s="23" t="inlineStr">
        <is>
          <t>Generator / fuel storage permit</t>
        </is>
      </c>
      <c r="F180" s="23" t="inlineStr">
        <is>
          <t>ใบอนุญาตเครื่องกำเนิดไฟฟ้า / เก็บน้ำมันเชื้อเพลิง</t>
        </is>
      </c>
      <c r="G180" s="23" t="inlineStr">
        <is>
          <t>Dept. of Energy Business / local authority</t>
        </is>
      </c>
      <c r="H180" s="22" t="n"/>
      <c r="I180" s="15" t="n"/>
      <c r="J180" s="15" t="n"/>
      <c r="K180" s="22" t="inlineStr">
        <is>
          <t>Annual</t>
        </is>
      </c>
      <c r="L180" s="22" t="n">
        <v>60</v>
      </c>
      <c r="M180" s="15">
        <f>IF(J180="","",J180-IF(L180="",0,L180))</f>
        <v/>
      </c>
      <c r="N180" s="24">
        <f>IF(J180="","",J180-TODAY())</f>
        <v/>
      </c>
      <c r="O180" s="9">
        <f>IF(E180="","",IF(J180="","No date",IF(N180&lt;0,"Expired",IF(N180&lt;=30,"Urgent",IF(N180&lt;=90,"Due soon","OK")))))</f>
        <v/>
      </c>
      <c r="P180" s="22" t="n"/>
      <c r="Q180" s="25" t="n"/>
      <c r="R180" s="22" t="n"/>
      <c r="S180" s="22" t="n"/>
      <c r="T180" s="23" t="n"/>
      <c r="U180" s="22">
        <f>IF(E180="","",IF(J180="","",N180+ROW()/100000))</f>
        <v/>
      </c>
    </row>
    <row r="181">
      <c r="A181" s="9">
        <f>IF(E181="","",COUNTA($E$5:E181))</f>
        <v/>
      </c>
      <c r="B181" s="22" t="inlineStr">
        <is>
          <t>SP</t>
        </is>
      </c>
      <c r="C181" s="22" t="inlineStr">
        <is>
          <t>AMH Pattaya Co., Ltd.</t>
        </is>
      </c>
      <c r="D181" s="22" t="inlineStr">
        <is>
          <t>Certificate</t>
        </is>
      </c>
      <c r="E181" s="23" t="inlineStr">
        <is>
          <t>Boiler / pressure vessel inspection</t>
        </is>
      </c>
      <c r="F181" s="23" t="inlineStr">
        <is>
          <t>การตรวจสอบหม้อไอน้ำ / ภาชนะรับแรงดัน</t>
        </is>
      </c>
      <c r="G181" s="23" t="inlineStr">
        <is>
          <t>Licensed engineer</t>
        </is>
      </c>
      <c r="H181" s="22" t="n"/>
      <c r="I181" s="15" t="n"/>
      <c r="J181" s="15" t="n"/>
      <c r="K181" s="22" t="inlineStr">
        <is>
          <t>Annual</t>
        </is>
      </c>
      <c r="L181" s="22" t="n">
        <v>60</v>
      </c>
      <c r="M181" s="15">
        <f>IF(J181="","",J181-IF(L181="",0,L181))</f>
        <v/>
      </c>
      <c r="N181" s="24">
        <f>IF(J181="","",J181-TODAY())</f>
        <v/>
      </c>
      <c r="O181" s="9">
        <f>IF(E181="","",IF(J181="","No date",IF(N181&lt;0,"Expired",IF(N181&lt;=30,"Urgent",IF(N181&lt;=90,"Due soon","OK")))))</f>
        <v/>
      </c>
      <c r="P181" s="22" t="n"/>
      <c r="Q181" s="25" t="n"/>
      <c r="R181" s="22" t="n"/>
      <c r="S181" s="22" t="n"/>
      <c r="T181" s="23" t="n"/>
      <c r="U181" s="22">
        <f>IF(E181="","",IF(J181="","",N181+ROW()/100000))</f>
        <v/>
      </c>
    </row>
    <row r="182">
      <c r="A182" s="9">
        <f>IF(E182="","",COUNTA($E$5:E182))</f>
        <v/>
      </c>
      <c r="B182" s="22" t="inlineStr">
        <is>
          <t>SP</t>
        </is>
      </c>
      <c r="C182" s="22" t="inlineStr">
        <is>
          <t>AMH Pattaya Co., Ltd.</t>
        </is>
      </c>
      <c r="D182" s="22" t="inlineStr">
        <is>
          <t>Licence</t>
        </is>
      </c>
      <c r="E182" s="23" t="inlineStr">
        <is>
          <t>Food establishment licence</t>
        </is>
      </c>
      <c r="F182" s="23" t="inlineStr">
        <is>
          <t>ใบอนุญาตสถานที่จำหน่ายอาหาร/สะสมอาหาร</t>
        </is>
      </c>
      <c r="G182" s="23" t="inlineStr">
        <is>
          <t>Local authority (BMA / City Municipality)</t>
        </is>
      </c>
      <c r="H182" s="22" t="n"/>
      <c r="I182" s="15" t="n"/>
      <c r="J182" s="15" t="n"/>
      <c r="K182" s="22" t="inlineStr">
        <is>
          <t>Annual</t>
        </is>
      </c>
      <c r="L182" s="22" t="n">
        <v>60</v>
      </c>
      <c r="M182" s="15">
        <f>IF(J182="","",J182-IF(L182="",0,L182))</f>
        <v/>
      </c>
      <c r="N182" s="24">
        <f>IF(J182="","",J182-TODAY())</f>
        <v/>
      </c>
      <c r="O182" s="9">
        <f>IF(E182="","",IF(J182="","No date",IF(N182&lt;0,"Expired",IF(N182&lt;=30,"Urgent",IF(N182&lt;=90,"Due soon","OK")))))</f>
        <v/>
      </c>
      <c r="P182" s="22" t="n"/>
      <c r="Q182" s="25" t="n"/>
      <c r="R182" s="22" t="n"/>
      <c r="S182" s="22" t="n"/>
      <c r="T182" s="23" t="n"/>
      <c r="U182" s="22">
        <f>IF(E182="","",IF(J182="","",N182+ROW()/100000))</f>
        <v/>
      </c>
    </row>
    <row r="183">
      <c r="A183" s="9">
        <f>IF(E183="","",COUNTA($E$5:E183))</f>
        <v/>
      </c>
      <c r="B183" s="22" t="inlineStr">
        <is>
          <t>SP</t>
        </is>
      </c>
      <c r="C183" s="22" t="inlineStr">
        <is>
          <t>AMH Pattaya Co., Ltd.</t>
        </is>
      </c>
      <c r="D183" s="22" t="inlineStr">
        <is>
          <t>Licence</t>
        </is>
      </c>
      <c r="E183" s="23" t="inlineStr">
        <is>
          <t>Alcohol sale licence</t>
        </is>
      </c>
      <c r="F183" s="23" t="inlineStr">
        <is>
          <t>ใบอนุญาตขายสุรา</t>
        </is>
      </c>
      <c r="G183" s="23" t="inlineStr">
        <is>
          <t>Excise Department</t>
        </is>
      </c>
      <c r="H183" s="22" t="n"/>
      <c r="I183" s="15" t="n"/>
      <c r="J183" s="15" t="n"/>
      <c r="K183" s="22" t="inlineStr">
        <is>
          <t>Annual</t>
        </is>
      </c>
      <c r="L183" s="22" t="n">
        <v>60</v>
      </c>
      <c r="M183" s="15">
        <f>IF(J183="","",J183-IF(L183="",0,L183))</f>
        <v/>
      </c>
      <c r="N183" s="24">
        <f>IF(J183="","",J183-TODAY())</f>
        <v/>
      </c>
      <c r="O183" s="9">
        <f>IF(E183="","",IF(J183="","No date",IF(N183&lt;0,"Expired",IF(N183&lt;=30,"Urgent",IF(N183&lt;=90,"Due soon","OK")))))</f>
        <v/>
      </c>
      <c r="P183" s="22" t="n"/>
      <c r="Q183" s="25" t="n"/>
      <c r="R183" s="22" t="n"/>
      <c r="S183" s="22" t="n"/>
      <c r="T183" s="23" t="n"/>
      <c r="U183" s="22">
        <f>IF(E183="","",IF(J183="","",N183+ROW()/100000))</f>
        <v/>
      </c>
    </row>
    <row r="184">
      <c r="A184" s="9">
        <f>IF(E184="","",COUNTA($E$5:E184))</f>
        <v/>
      </c>
      <c r="B184" s="22" t="inlineStr">
        <is>
          <t>SP</t>
        </is>
      </c>
      <c r="C184" s="22" t="inlineStr">
        <is>
          <t>AMH Pattaya Co., Ltd.</t>
        </is>
      </c>
      <c r="D184" s="22" t="inlineStr">
        <is>
          <t>Licence</t>
        </is>
      </c>
      <c r="E184" s="23" t="inlineStr">
        <is>
          <t>Tobacco sale licence</t>
        </is>
      </c>
      <c r="F184" s="23" t="inlineStr">
        <is>
          <t>ใบอนุญาตขายยาสูบ</t>
        </is>
      </c>
      <c r="G184" s="23" t="inlineStr">
        <is>
          <t>Excise Department</t>
        </is>
      </c>
      <c r="H184" s="22" t="n"/>
      <c r="I184" s="15" t="n"/>
      <c r="J184" s="15" t="n"/>
      <c r="K184" s="22" t="inlineStr">
        <is>
          <t>Annual</t>
        </is>
      </c>
      <c r="L184" s="22" t="n">
        <v>60</v>
      </c>
      <c r="M184" s="15">
        <f>IF(J184="","",J184-IF(L184="",0,L184))</f>
        <v/>
      </c>
      <c r="N184" s="24">
        <f>IF(J184="","",J184-TODAY())</f>
        <v/>
      </c>
      <c r="O184" s="9">
        <f>IF(E184="","",IF(J184="","No date",IF(N184&lt;0,"Expired",IF(N184&lt;=30,"Urgent",IF(N184&lt;=90,"Due soon","OK")))))</f>
        <v/>
      </c>
      <c r="P184" s="22" t="n"/>
      <c r="Q184" s="25" t="n"/>
      <c r="R184" s="22" t="n"/>
      <c r="S184" s="22" t="n"/>
      <c r="T184" s="23" t="n"/>
      <c r="U184" s="22">
        <f>IF(E184="","",IF(J184="","",N184+ROW()/100000))</f>
        <v/>
      </c>
    </row>
    <row r="185">
      <c r="A185" s="9">
        <f>IF(E185="","",COUNTA($E$5:E185))</f>
        <v/>
      </c>
      <c r="B185" s="22" t="inlineStr">
        <is>
          <t>SP</t>
        </is>
      </c>
      <c r="C185" s="22" t="inlineStr">
        <is>
          <t>AMH Pattaya Co., Ltd.</t>
        </is>
      </c>
      <c r="D185" s="22" t="inlineStr">
        <is>
          <t>Licence</t>
        </is>
      </c>
      <c r="E185" s="23" t="inlineStr">
        <is>
          <t>Swimming pool / public place licence</t>
        </is>
      </c>
      <c r="F185" s="23" t="inlineStr">
        <is>
          <t>ใบอนุญาตสถานที่สาธารณะ (สระว่ายน้ำ)</t>
        </is>
      </c>
      <c r="G185" s="23" t="inlineStr">
        <is>
          <t>Local authority (BMA / City Municipality)</t>
        </is>
      </c>
      <c r="H185" s="22" t="n"/>
      <c r="I185" s="15" t="n"/>
      <c r="J185" s="15" t="n"/>
      <c r="K185" s="22" t="inlineStr">
        <is>
          <t>Annual</t>
        </is>
      </c>
      <c r="L185" s="22" t="n">
        <v>60</v>
      </c>
      <c r="M185" s="15">
        <f>IF(J185="","",J185-IF(L185="",0,L185))</f>
        <v/>
      </c>
      <c r="N185" s="24">
        <f>IF(J185="","",J185-TODAY())</f>
        <v/>
      </c>
      <c r="O185" s="9">
        <f>IF(E185="","",IF(J185="","No date",IF(N185&lt;0,"Expired",IF(N185&lt;=30,"Urgent",IF(N185&lt;=90,"Due soon","OK")))))</f>
        <v/>
      </c>
      <c r="P185" s="22" t="n"/>
      <c r="Q185" s="25" t="n"/>
      <c r="R185" s="22" t="n"/>
      <c r="S185" s="22" t="n"/>
      <c r="T185" s="23" t="n"/>
      <c r="U185" s="22">
        <f>IF(E185="","",IF(J185="","",N185+ROW()/100000))</f>
        <v/>
      </c>
    </row>
    <row r="186">
      <c r="A186" s="9">
        <f>IF(E186="","",COUNTA($E$5:E186))</f>
        <v/>
      </c>
      <c r="B186" s="22" t="inlineStr">
        <is>
          <t>SP</t>
        </is>
      </c>
      <c r="C186" s="22" t="inlineStr">
        <is>
          <t>AMH Pattaya Co., Ltd.</t>
        </is>
      </c>
      <c r="D186" s="22" t="inlineStr">
        <is>
          <t>Certificate</t>
        </is>
      </c>
      <c r="E186" s="23" t="inlineStr">
        <is>
          <t>Swimming pool water quality test</t>
        </is>
      </c>
      <c r="F186" s="23" t="inlineStr">
        <is>
          <t>ผลตรวจคุณภาพน้ำสระว่ายน้ำ</t>
        </is>
      </c>
      <c r="G186" s="23" t="inlineStr">
        <is>
          <t>Accredited laboratory</t>
        </is>
      </c>
      <c r="H186" s="22" t="n"/>
      <c r="I186" s="15" t="n"/>
      <c r="J186" s="15" t="n"/>
      <c r="K186" s="22" t="inlineStr">
        <is>
          <t>Other</t>
        </is>
      </c>
      <c r="L186" s="22" t="n">
        <v>60</v>
      </c>
      <c r="M186" s="15">
        <f>IF(J186="","",J186-IF(L186="",0,L186))</f>
        <v/>
      </c>
      <c r="N186" s="24">
        <f>IF(J186="","",J186-TODAY())</f>
        <v/>
      </c>
      <c r="O186" s="9">
        <f>IF(E186="","",IF(J186="","No date",IF(N186&lt;0,"Expired",IF(N186&lt;=30,"Urgent",IF(N186&lt;=90,"Due soon","OK")))))</f>
        <v/>
      </c>
      <c r="P186" s="22" t="n"/>
      <c r="Q186" s="25" t="n"/>
      <c r="R186" s="22" t="n"/>
      <c r="S186" s="22" t="n"/>
      <c r="T186" s="23" t="n"/>
      <c r="U186" s="22">
        <f>IF(E186="","",IF(J186="","",N186+ROW()/100000))</f>
        <v/>
      </c>
    </row>
    <row r="187">
      <c r="A187" s="9">
        <f>IF(E187="","",COUNTA($E$5:E187))</f>
        <v/>
      </c>
      <c r="B187" s="22" t="inlineStr">
        <is>
          <t>SP</t>
        </is>
      </c>
      <c r="C187" s="22" t="inlineStr">
        <is>
          <t>AMH Pattaya Co., Ltd.</t>
        </is>
      </c>
      <c r="D187" s="22" t="inlineStr">
        <is>
          <t>Certificate</t>
        </is>
      </c>
      <c r="E187" s="23" t="inlineStr">
        <is>
          <t>Drinking / potable water quality test</t>
        </is>
      </c>
      <c r="F187" s="23" t="inlineStr">
        <is>
          <t>ผลตรวจคุณภาพน้ำดื่ม</t>
        </is>
      </c>
      <c r="G187" s="23" t="inlineStr">
        <is>
          <t>Accredited laboratory</t>
        </is>
      </c>
      <c r="H187" s="22" t="n"/>
      <c r="I187" s="15" t="n"/>
      <c r="J187" s="15" t="n"/>
      <c r="K187" s="22" t="inlineStr">
        <is>
          <t>Annual</t>
        </is>
      </c>
      <c r="L187" s="22" t="n">
        <v>60</v>
      </c>
      <c r="M187" s="15">
        <f>IF(J187="","",J187-IF(L187="",0,L187))</f>
        <v/>
      </c>
      <c r="N187" s="24">
        <f>IF(J187="","",J187-TODAY())</f>
        <v/>
      </c>
      <c r="O187" s="9">
        <f>IF(E187="","",IF(J187="","No date",IF(N187&lt;0,"Expired",IF(N187&lt;=30,"Urgent",IF(N187&lt;=90,"Due soon","OK")))))</f>
        <v/>
      </c>
      <c r="P187" s="22" t="n"/>
      <c r="Q187" s="25" t="n"/>
      <c r="R187" s="22" t="n"/>
      <c r="S187" s="22" t="n"/>
      <c r="T187" s="23" t="n"/>
      <c r="U187" s="22">
        <f>IF(E187="","",IF(J187="","",N187+ROW()/100000))</f>
        <v/>
      </c>
    </row>
    <row r="188">
      <c r="A188" s="9">
        <f>IF(E188="","",COUNTA($E$5:E188))</f>
        <v/>
      </c>
      <c r="B188" s="22" t="inlineStr">
        <is>
          <t>SP</t>
        </is>
      </c>
      <c r="C188" s="22" t="inlineStr">
        <is>
          <t>AMH Pattaya Co., Ltd.</t>
        </is>
      </c>
      <c r="D188" s="22" t="inlineStr">
        <is>
          <t>Certificate</t>
        </is>
      </c>
      <c r="E188" s="23" t="inlineStr">
        <is>
          <t>Wastewater treatment monitoring report</t>
        </is>
      </c>
      <c r="F188" s="23" t="inlineStr">
        <is>
          <t>รายงานผลการตรวจวัดคุณภาพน้ำทิ้ง</t>
        </is>
      </c>
      <c r="G188" s="23" t="inlineStr">
        <is>
          <t>Dept. of Pollution Control / local authority</t>
        </is>
      </c>
      <c r="H188" s="22" t="n"/>
      <c r="I188" s="15" t="n"/>
      <c r="J188" s="15" t="n"/>
      <c r="K188" s="22" t="inlineStr">
        <is>
          <t>Other</t>
        </is>
      </c>
      <c r="L188" s="22" t="n">
        <v>60</v>
      </c>
      <c r="M188" s="15">
        <f>IF(J188="","",J188-IF(L188="",0,L188))</f>
        <v/>
      </c>
      <c r="N188" s="24">
        <f>IF(J188="","",J188-TODAY())</f>
        <v/>
      </c>
      <c r="O188" s="9">
        <f>IF(E188="","",IF(J188="","No date",IF(N188&lt;0,"Expired",IF(N188&lt;=30,"Urgent",IF(N188&lt;=90,"Due soon","OK")))))</f>
        <v/>
      </c>
      <c r="P188" s="22" t="n"/>
      <c r="Q188" s="25" t="n"/>
      <c r="R188" s="22" t="n"/>
      <c r="S188" s="22" t="n"/>
      <c r="T188" s="23" t="n"/>
      <c r="U188" s="22">
        <f>IF(E188="","",IF(J188="","",N188+ROW()/100000))</f>
        <v/>
      </c>
    </row>
    <row r="189">
      <c r="A189" s="9">
        <f>IF(E189="","",COUNTA($E$5:E189))</f>
        <v/>
      </c>
      <c r="B189" s="22" t="inlineStr">
        <is>
          <t>SP</t>
        </is>
      </c>
      <c r="C189" s="22" t="inlineStr">
        <is>
          <t>AMH Pattaya Co., Ltd.</t>
        </is>
      </c>
      <c r="D189" s="22" t="inlineStr">
        <is>
          <t>Certificate</t>
        </is>
      </c>
      <c r="E189" s="23" t="inlineStr">
        <is>
          <t>EIA environmental monitoring report</t>
        </is>
      </c>
      <c r="F189" s="23" t="inlineStr">
        <is>
          <t>รายงานผลการปฏิบัติตามมาตรการ EIA</t>
        </is>
      </c>
      <c r="G189" s="23" t="inlineStr">
        <is>
          <t>Office of Natural Resources &amp; Environmental Policy (ONEP)</t>
        </is>
      </c>
      <c r="H189" s="22" t="n"/>
      <c r="I189" s="15" t="n"/>
      <c r="J189" s="15" t="n"/>
      <c r="K189" s="22" t="inlineStr">
        <is>
          <t>Other</t>
        </is>
      </c>
      <c r="L189" s="22" t="n">
        <v>60</v>
      </c>
      <c r="M189" s="15">
        <f>IF(J189="","",J189-IF(L189="",0,L189))</f>
        <v/>
      </c>
      <c r="N189" s="24">
        <f>IF(J189="","",J189-TODAY())</f>
        <v/>
      </c>
      <c r="O189" s="9">
        <f>IF(E189="","",IF(J189="","No date",IF(N189&lt;0,"Expired",IF(N189&lt;=30,"Urgent",IF(N189&lt;=90,"Due soon","OK")))))</f>
        <v/>
      </c>
      <c r="P189" s="22" t="n"/>
      <c r="Q189" s="25" t="n"/>
      <c r="R189" s="22" t="n"/>
      <c r="S189" s="22" t="n"/>
      <c r="T189" s="23" t="n"/>
      <c r="U189" s="22">
        <f>IF(E189="","",IF(J189="","",N189+ROW()/100000))</f>
        <v/>
      </c>
    </row>
    <row r="190">
      <c r="A190" s="9">
        <f>IF(E190="","",COUNTA($E$5:E190))</f>
        <v/>
      </c>
      <c r="B190" s="22" t="inlineStr">
        <is>
          <t>SP</t>
        </is>
      </c>
      <c r="C190" s="22" t="inlineStr">
        <is>
          <t>AMH Pattaya Co., Ltd.</t>
        </is>
      </c>
      <c r="D190" s="22" t="inlineStr">
        <is>
          <t>Permit</t>
        </is>
      </c>
      <c r="E190" s="23" t="inlineStr">
        <is>
          <t>Waste / refuse disposal permit</t>
        </is>
      </c>
      <c r="F190" s="23" t="inlineStr">
        <is>
          <t>ใบอนุญาตกำจัดสิ่งปฏิกูลและมูลฝอย</t>
        </is>
      </c>
      <c r="G190" s="23" t="inlineStr">
        <is>
          <t>Local authority</t>
        </is>
      </c>
      <c r="H190" s="22" t="n"/>
      <c r="I190" s="15" t="n"/>
      <c r="J190" s="15" t="n"/>
      <c r="K190" s="22" t="inlineStr">
        <is>
          <t>Annual</t>
        </is>
      </c>
      <c r="L190" s="22" t="n">
        <v>60</v>
      </c>
      <c r="M190" s="15">
        <f>IF(J190="","",J190-IF(L190="",0,L190))</f>
        <v/>
      </c>
      <c r="N190" s="24">
        <f>IF(J190="","",J190-TODAY())</f>
        <v/>
      </c>
      <c r="O190" s="9">
        <f>IF(E190="","",IF(J190="","No date",IF(N190&lt;0,"Expired",IF(N190&lt;=30,"Urgent",IF(N190&lt;=90,"Due soon","OK")))))</f>
        <v/>
      </c>
      <c r="P190" s="22" t="n"/>
      <c r="Q190" s="25" t="n"/>
      <c r="R190" s="22" t="n"/>
      <c r="S190" s="22" t="n"/>
      <c r="T190" s="23" t="n"/>
      <c r="U190" s="22">
        <f>IF(E190="","",IF(J190="","",N190+ROW()/100000))</f>
        <v/>
      </c>
    </row>
    <row r="191">
      <c r="A191" s="9">
        <f>IF(E191="","",COUNTA($E$5:E191))</f>
        <v/>
      </c>
      <c r="B191" s="22" t="inlineStr">
        <is>
          <t>SP</t>
        </is>
      </c>
      <c r="C191" s="22" t="inlineStr">
        <is>
          <t>AMH Pattaya Co., Ltd.</t>
        </is>
      </c>
      <c r="D191" s="22" t="inlineStr">
        <is>
          <t>Licence</t>
        </is>
      </c>
      <c r="E191" s="23" t="inlineStr">
        <is>
          <t>Radio / walkie-talkie frequency licence</t>
        </is>
      </c>
      <c r="F191" s="23" t="inlineStr">
        <is>
          <t>ใบอนุญาตวิทยุคมนาคม</t>
        </is>
      </c>
      <c r="G191" s="23" t="inlineStr">
        <is>
          <t>NBTC</t>
        </is>
      </c>
      <c r="H191" s="22" t="n"/>
      <c r="I191" s="15" t="n"/>
      <c r="J191" s="15" t="n"/>
      <c r="K191" s="22" t="inlineStr">
        <is>
          <t>Annual</t>
        </is>
      </c>
      <c r="L191" s="22" t="n">
        <v>60</v>
      </c>
      <c r="M191" s="15">
        <f>IF(J191="","",J191-IF(L191="",0,L191))</f>
        <v/>
      </c>
      <c r="N191" s="24">
        <f>IF(J191="","",J191-TODAY())</f>
        <v/>
      </c>
      <c r="O191" s="9">
        <f>IF(E191="","",IF(J191="","No date",IF(N191&lt;0,"Expired",IF(N191&lt;=30,"Urgent",IF(N191&lt;=90,"Due soon","OK")))))</f>
        <v/>
      </c>
      <c r="P191" s="22" t="n"/>
      <c r="Q191" s="25" t="n"/>
      <c r="R191" s="22" t="n"/>
      <c r="S191" s="22" t="n"/>
      <c r="T191" s="23" t="n"/>
      <c r="U191" s="22">
        <f>IF(E191="","",IF(J191="","",N191+ROW()/100000))</f>
        <v/>
      </c>
    </row>
    <row r="192">
      <c r="A192" s="9">
        <f>IF(E192="","",COUNTA($E$5:E192))</f>
        <v/>
      </c>
      <c r="B192" s="22" t="inlineStr">
        <is>
          <t>SP</t>
        </is>
      </c>
      <c r="C192" s="22" t="inlineStr">
        <is>
          <t>AMH Pattaya Co., Ltd.</t>
        </is>
      </c>
      <c r="D192" s="22" t="inlineStr">
        <is>
          <t>Licence</t>
        </is>
      </c>
      <c r="E192" s="23" t="inlineStr">
        <is>
          <t>Music / copyright public performance licence</t>
        </is>
      </c>
      <c r="F192" s="23" t="inlineStr">
        <is>
          <t>ใบอนุญาตเผยแพร่งานดนตรี (MCT / ลิขสิทธิ์)</t>
        </is>
      </c>
      <c r="G192" s="23" t="inlineStr">
        <is>
          <t>MCT / Phonorights / collecting societies</t>
        </is>
      </c>
      <c r="H192" s="22" t="n"/>
      <c r="I192" s="15" t="n"/>
      <c r="J192" s="15" t="n"/>
      <c r="K192" s="22" t="inlineStr">
        <is>
          <t>Annual</t>
        </is>
      </c>
      <c r="L192" s="22" t="n">
        <v>60</v>
      </c>
      <c r="M192" s="15">
        <f>IF(J192="","",J192-IF(L192="",0,L192))</f>
        <v/>
      </c>
      <c r="N192" s="24">
        <f>IF(J192="","",J192-TODAY())</f>
        <v/>
      </c>
      <c r="O192" s="9">
        <f>IF(E192="","",IF(J192="","No date",IF(N192&lt;0,"Expired",IF(N192&lt;=30,"Urgent",IF(N192&lt;=90,"Due soon","OK")))))</f>
        <v/>
      </c>
      <c r="P192" s="22" t="n"/>
      <c r="Q192" s="25" t="n"/>
      <c r="R192" s="22" t="n"/>
      <c r="S192" s="22" t="n"/>
      <c r="T192" s="23" t="n"/>
      <c r="U192" s="22">
        <f>IF(E192="","",IF(J192="","",N192+ROW()/100000))</f>
        <v/>
      </c>
    </row>
    <row r="193">
      <c r="A193" s="9">
        <f>IF(E193="","",COUNTA($E$5:E193))</f>
        <v/>
      </c>
      <c r="B193" s="22" t="inlineStr">
        <is>
          <t>SP</t>
        </is>
      </c>
      <c r="C193" s="22" t="inlineStr">
        <is>
          <t>AMH Pattaya Co., Ltd.</t>
        </is>
      </c>
      <c r="D193" s="22" t="inlineStr">
        <is>
          <t>Tax / Registration</t>
        </is>
      </c>
      <c r="E193" s="23" t="inlineStr">
        <is>
          <t>Signage tax (billboard)</t>
        </is>
      </c>
      <c r="F193" s="23" t="inlineStr">
        <is>
          <t>ภาษีป้าย</t>
        </is>
      </c>
      <c r="G193" s="23" t="inlineStr">
        <is>
          <t>Local authority</t>
        </is>
      </c>
      <c r="H193" s="22" t="n"/>
      <c r="I193" s="15" t="n"/>
      <c r="J193" s="15" t="n"/>
      <c r="K193" s="22" t="inlineStr">
        <is>
          <t>Annual</t>
        </is>
      </c>
      <c r="L193" s="22" t="n">
        <v>60</v>
      </c>
      <c r="M193" s="15">
        <f>IF(J193="","",J193-IF(L193="",0,L193))</f>
        <v/>
      </c>
      <c r="N193" s="24">
        <f>IF(J193="","",J193-TODAY())</f>
        <v/>
      </c>
      <c r="O193" s="9">
        <f>IF(E193="","",IF(J193="","No date",IF(N193&lt;0,"Expired",IF(N193&lt;=30,"Urgent",IF(N193&lt;=90,"Due soon","OK")))))</f>
        <v/>
      </c>
      <c r="P193" s="22" t="n"/>
      <c r="Q193" s="25" t="n"/>
      <c r="R193" s="22" t="n"/>
      <c r="S193" s="22" t="n"/>
      <c r="T193" s="23" t="n"/>
      <c r="U193" s="22">
        <f>IF(E193="","",IF(J193="","",N193+ROW()/100000))</f>
        <v/>
      </c>
    </row>
    <row r="194">
      <c r="A194" s="9">
        <f>IF(E194="","",COUNTA($E$5:E194))</f>
        <v/>
      </c>
      <c r="B194" s="22" t="inlineStr">
        <is>
          <t>SP</t>
        </is>
      </c>
      <c r="C194" s="22" t="inlineStr">
        <is>
          <t>AMH Pattaya Co., Ltd.</t>
        </is>
      </c>
      <c r="D194" s="22" t="inlineStr">
        <is>
          <t>Tax / Registration</t>
        </is>
      </c>
      <c r="E194" s="23" t="inlineStr">
        <is>
          <t>Land &amp; building tax</t>
        </is>
      </c>
      <c r="F194" s="23" t="inlineStr">
        <is>
          <t>ภาษีที่ดินและสิ่งปลูกสร้าง</t>
        </is>
      </c>
      <c r="G194" s="23" t="inlineStr">
        <is>
          <t>Local authority</t>
        </is>
      </c>
      <c r="H194" s="22" t="n"/>
      <c r="I194" s="15" t="n"/>
      <c r="J194" s="15" t="n"/>
      <c r="K194" s="22" t="inlineStr">
        <is>
          <t>Annual</t>
        </is>
      </c>
      <c r="L194" s="22" t="n">
        <v>60</v>
      </c>
      <c r="M194" s="15">
        <f>IF(J194="","",J194-IF(L194="",0,L194))</f>
        <v/>
      </c>
      <c r="N194" s="24">
        <f>IF(J194="","",J194-TODAY())</f>
        <v/>
      </c>
      <c r="O194" s="9">
        <f>IF(E194="","",IF(J194="","No date",IF(N194&lt;0,"Expired",IF(N194&lt;=30,"Urgent",IF(N194&lt;=90,"Due soon","OK")))))</f>
        <v/>
      </c>
      <c r="P194" s="22" t="n"/>
      <c r="Q194" s="25" t="n"/>
      <c r="R194" s="22" t="n"/>
      <c r="S194" s="22" t="n"/>
      <c r="T194" s="23" t="n"/>
      <c r="U194" s="22">
        <f>IF(E194="","",IF(J194="","",N194+ROW()/100000))</f>
        <v/>
      </c>
    </row>
    <row r="195">
      <c r="A195" s="9">
        <f>IF(E195="","",COUNTA($E$5:E195))</f>
        <v/>
      </c>
      <c r="B195" s="22" t="inlineStr">
        <is>
          <t>SP</t>
        </is>
      </c>
      <c r="C195" s="22" t="inlineStr">
        <is>
          <t>AMH Pattaya Co., Ltd.</t>
        </is>
      </c>
      <c r="D195" s="22" t="inlineStr">
        <is>
          <t>Tax / Registration</t>
        </is>
      </c>
      <c r="E195" s="23" t="inlineStr">
        <is>
          <t>VAT registration (ภ.พ.20)</t>
        </is>
      </c>
      <c r="F195" s="23" t="inlineStr">
        <is>
          <t>ใบทะเบียนภาษีมูลค่าเพิ่ม (ภ.พ.20)</t>
        </is>
      </c>
      <c r="G195" s="23" t="inlineStr">
        <is>
          <t>Revenue Department</t>
        </is>
      </c>
      <c r="H195" s="22" t="n"/>
      <c r="I195" s="15" t="n"/>
      <c r="J195" s="15" t="n"/>
      <c r="K195" s="22" t="inlineStr">
        <is>
          <t>One-off</t>
        </is>
      </c>
      <c r="L195" s="22" t="n">
        <v>60</v>
      </c>
      <c r="M195" s="15">
        <f>IF(J195="","",J195-IF(L195="",0,L195))</f>
        <v/>
      </c>
      <c r="N195" s="24">
        <f>IF(J195="","",J195-TODAY())</f>
        <v/>
      </c>
      <c r="O195" s="9">
        <f>IF(E195="","",IF(J195="","No date",IF(N195&lt;0,"Expired",IF(N195&lt;=30,"Urgent",IF(N195&lt;=90,"Due soon","OK")))))</f>
        <v/>
      </c>
      <c r="P195" s="22" t="n"/>
      <c r="Q195" s="25" t="n"/>
      <c r="R195" s="22" t="n"/>
      <c r="S195" s="22" t="n"/>
      <c r="T195" s="23" t="n"/>
      <c r="U195" s="22">
        <f>IF(E195="","",IF(J195="","",N195+ROW()/100000))</f>
        <v/>
      </c>
    </row>
    <row r="196">
      <c r="A196" s="9">
        <f>IF(E196="","",COUNTA($E$5:E196))</f>
        <v/>
      </c>
      <c r="B196" s="22" t="inlineStr">
        <is>
          <t>SP</t>
        </is>
      </c>
      <c r="C196" s="22" t="inlineStr">
        <is>
          <t>AMH Pattaya Co., Ltd.</t>
        </is>
      </c>
      <c r="D196" s="22" t="inlineStr">
        <is>
          <t>Tax / Registration</t>
        </is>
      </c>
      <c r="E196" s="23" t="inlineStr">
        <is>
          <t>Company registration / affidavit</t>
        </is>
      </c>
      <c r="F196" s="23" t="inlineStr">
        <is>
          <t>หนังสือรับรองบริษัท</t>
        </is>
      </c>
      <c r="G196" s="23" t="inlineStr">
        <is>
          <t>Dept. of Business Development</t>
        </is>
      </c>
      <c r="H196" s="22" t="n"/>
      <c r="I196" s="15" t="n"/>
      <c r="J196" s="15" t="n"/>
      <c r="K196" s="22" t="inlineStr">
        <is>
          <t>Other</t>
        </is>
      </c>
      <c r="L196" s="22" t="n">
        <v>60</v>
      </c>
      <c r="M196" s="15">
        <f>IF(J196="","",J196-IF(L196="",0,L196))</f>
        <v/>
      </c>
      <c r="N196" s="24">
        <f>IF(J196="","",J196-TODAY())</f>
        <v/>
      </c>
      <c r="O196" s="9">
        <f>IF(E196="","",IF(J196="","No date",IF(N196&lt;0,"Expired",IF(N196&lt;=30,"Urgent",IF(N196&lt;=90,"Due soon","OK")))))</f>
        <v/>
      </c>
      <c r="P196" s="22" t="n"/>
      <c r="Q196" s="25" t="n"/>
      <c r="R196" s="22" t="n"/>
      <c r="S196" s="22" t="n"/>
      <c r="T196" s="23" t="n"/>
      <c r="U196" s="22">
        <f>IF(E196="","",IF(J196="","",N196+ROW()/100000))</f>
        <v/>
      </c>
    </row>
    <row r="197">
      <c r="A197" s="9">
        <f>IF(E197="","",COUNTA($E$5:E197))</f>
        <v/>
      </c>
      <c r="B197" s="22" t="inlineStr">
        <is>
          <t>SP</t>
        </is>
      </c>
      <c r="C197" s="22" t="inlineStr">
        <is>
          <t>AMH Pattaya Co., Ltd.</t>
        </is>
      </c>
      <c r="D197" s="22" t="inlineStr">
        <is>
          <t>Tax / Registration</t>
        </is>
      </c>
      <c r="E197" s="23" t="inlineStr">
        <is>
          <t>Social security registration</t>
        </is>
      </c>
      <c r="F197" s="23" t="inlineStr">
        <is>
          <t>ทะเบียนนายจ้างประกันสังคม</t>
        </is>
      </c>
      <c r="G197" s="23" t="inlineStr">
        <is>
          <t>Social Security Office</t>
        </is>
      </c>
      <c r="H197" s="22" t="n"/>
      <c r="I197" s="15" t="n"/>
      <c r="J197" s="15" t="n"/>
      <c r="K197" s="22" t="inlineStr">
        <is>
          <t>One-off</t>
        </is>
      </c>
      <c r="L197" s="22" t="n">
        <v>60</v>
      </c>
      <c r="M197" s="15">
        <f>IF(J197="","",J197-IF(L197="",0,L197))</f>
        <v/>
      </c>
      <c r="N197" s="24">
        <f>IF(J197="","",J197-TODAY())</f>
        <v/>
      </c>
      <c r="O197" s="9">
        <f>IF(E197="","",IF(J197="","No date",IF(N197&lt;0,"Expired",IF(N197&lt;=30,"Urgent",IF(N197&lt;=90,"Due soon","OK")))))</f>
        <v/>
      </c>
      <c r="P197" s="22" t="n"/>
      <c r="Q197" s="25" t="n"/>
      <c r="R197" s="22" t="n"/>
      <c r="S197" s="22" t="n"/>
      <c r="T197" s="23" t="n"/>
      <c r="U197" s="22">
        <f>IF(E197="","",IF(J197="","",N197+ROW()/100000))</f>
        <v/>
      </c>
    </row>
    <row r="198">
      <c r="A198" s="9">
        <f>IF(E198="","",COUNTA($E$5:E198))</f>
        <v/>
      </c>
      <c r="B198" s="22" t="inlineStr">
        <is>
          <t>SP</t>
        </is>
      </c>
      <c r="C198" s="22" t="inlineStr">
        <is>
          <t>AMH Pattaya Co., Ltd.</t>
        </is>
      </c>
      <c r="D198" s="22" t="inlineStr">
        <is>
          <t>Permit</t>
        </is>
      </c>
      <c r="E198" s="23" t="inlineStr">
        <is>
          <t>Work permits / visas — foreign staff</t>
        </is>
      </c>
      <c r="F198" s="23" t="inlineStr">
        <is>
          <t>ใบอนุญาตทำงาน / วีซ่าพนักงานต่างชาติ</t>
        </is>
      </c>
      <c r="G198" s="23" t="inlineStr">
        <is>
          <t>Dept. of Employment / Immigration</t>
        </is>
      </c>
      <c r="H198" s="22" t="n"/>
      <c r="I198" s="15" t="n"/>
      <c r="J198" s="15" t="n"/>
      <c r="K198" s="22" t="inlineStr">
        <is>
          <t>Annual</t>
        </is>
      </c>
      <c r="L198" s="22" t="n">
        <v>60</v>
      </c>
      <c r="M198" s="15">
        <f>IF(J198="","",J198-IF(L198="",0,L198))</f>
        <v/>
      </c>
      <c r="N198" s="24">
        <f>IF(J198="","",J198-TODAY())</f>
        <v/>
      </c>
      <c r="O198" s="9">
        <f>IF(E198="","",IF(J198="","No date",IF(N198&lt;0,"Expired",IF(N198&lt;=30,"Urgent",IF(N198&lt;=90,"Due soon","OK")))))</f>
        <v/>
      </c>
      <c r="P198" s="22" t="n"/>
      <c r="Q198" s="25" t="n"/>
      <c r="R198" s="22" t="n"/>
      <c r="S198" s="22" t="n"/>
      <c r="T198" s="23" t="n"/>
      <c r="U198" s="22">
        <f>IF(E198="","",IF(J198="","",N198+ROW()/100000))</f>
        <v/>
      </c>
    </row>
    <row r="199">
      <c r="A199" s="9">
        <f>IF(E199="","",COUNTA($E$5:E199))</f>
        <v/>
      </c>
      <c r="B199" s="22" t="inlineStr">
        <is>
          <t>SP</t>
        </is>
      </c>
      <c r="C199" s="22" t="inlineStr">
        <is>
          <t>AMH Pattaya Co., Ltd.</t>
        </is>
      </c>
      <c r="D199" s="22" t="inlineStr">
        <is>
          <t>Certificate</t>
        </is>
      </c>
      <c r="E199" s="23" t="inlineStr">
        <is>
          <t>Food handler health certificates</t>
        </is>
      </c>
      <c r="F199" s="23" t="inlineStr">
        <is>
          <t>ใบรับรองสุขภาพผู้สัมผัสอาหาร</t>
        </is>
      </c>
      <c r="G199" s="23" t="inlineStr">
        <is>
          <t>Public health office</t>
        </is>
      </c>
      <c r="H199" s="22" t="n"/>
      <c r="I199" s="15" t="n"/>
      <c r="J199" s="15" t="n"/>
      <c r="K199" s="22" t="inlineStr">
        <is>
          <t>Annual</t>
        </is>
      </c>
      <c r="L199" s="22" t="n">
        <v>60</v>
      </c>
      <c r="M199" s="15">
        <f>IF(J199="","",J199-IF(L199="",0,L199))</f>
        <v/>
      </c>
      <c r="N199" s="24">
        <f>IF(J199="","",J199-TODAY())</f>
        <v/>
      </c>
      <c r="O199" s="9">
        <f>IF(E199="","",IF(J199="","No date",IF(N199&lt;0,"Expired",IF(N199&lt;=30,"Urgent",IF(N199&lt;=90,"Due soon","OK")))))</f>
        <v/>
      </c>
      <c r="P199" s="22" t="n"/>
      <c r="Q199" s="25" t="n"/>
      <c r="R199" s="22" t="n"/>
      <c r="S199" s="22" t="n"/>
      <c r="T199" s="23" t="n"/>
      <c r="U199" s="22">
        <f>IF(E199="","",IF(J199="","",N199+ROW()/100000))</f>
        <v/>
      </c>
    </row>
    <row r="200">
      <c r="A200" s="9">
        <f>IF(E200="","",COUNTA($E$5:E200))</f>
        <v/>
      </c>
      <c r="B200" s="22" t="inlineStr">
        <is>
          <t>SP</t>
        </is>
      </c>
      <c r="C200" s="22" t="inlineStr">
        <is>
          <t>AMH Pattaya Co., Ltd.</t>
        </is>
      </c>
      <c r="D200" s="22" t="inlineStr">
        <is>
          <t>Certificate</t>
        </is>
      </c>
      <c r="E200" s="23" t="inlineStr">
        <is>
          <t>Pest control service certificate</t>
        </is>
      </c>
      <c r="F200" s="23" t="inlineStr">
        <is>
          <t>ใบรับรองการกำจัดแมลงและสัตว์พาหะ</t>
        </is>
      </c>
      <c r="G200" s="23" t="inlineStr">
        <is>
          <t>Licensed contractor</t>
        </is>
      </c>
      <c r="H200" s="22" t="n"/>
      <c r="I200" s="15" t="n"/>
      <c r="J200" s="15" t="n"/>
      <c r="K200" s="22" t="inlineStr">
        <is>
          <t>Annual</t>
        </is>
      </c>
      <c r="L200" s="22" t="n">
        <v>60</v>
      </c>
      <c r="M200" s="15">
        <f>IF(J200="","",J200-IF(L200="",0,L200))</f>
        <v/>
      </c>
      <c r="N200" s="24">
        <f>IF(J200="","",J200-TODAY())</f>
        <v/>
      </c>
      <c r="O200" s="9">
        <f>IF(E200="","",IF(J200="","No date",IF(N200&lt;0,"Expired",IF(N200&lt;=30,"Urgent",IF(N200&lt;=90,"Due soon","OK")))))</f>
        <v/>
      </c>
      <c r="P200" s="22" t="n"/>
      <c r="Q200" s="25" t="n"/>
      <c r="R200" s="22" t="n"/>
      <c r="S200" s="22" t="n"/>
      <c r="T200" s="23" t="n"/>
      <c r="U200" s="22">
        <f>IF(E200="","",IF(J200="","",N200+ROW()/100000))</f>
        <v/>
      </c>
    </row>
    <row r="201">
      <c r="A201" s="9">
        <f>IF(E201="","",COUNTA($E$5:E201))</f>
        <v/>
      </c>
      <c r="B201" s="22" t="inlineStr">
        <is>
          <t>SP</t>
        </is>
      </c>
      <c r="C201" s="22" t="inlineStr">
        <is>
          <t>AMH Pattaya Co., Ltd.</t>
        </is>
      </c>
      <c r="D201" s="22" t="inlineStr">
        <is>
          <t>Insurance</t>
        </is>
      </c>
      <c r="E201" s="23" t="inlineStr">
        <is>
          <t>Property all-risk insurance</t>
        </is>
      </c>
      <c r="F201" s="23" t="inlineStr">
        <is>
          <t>ประกันภัยทรัพย์สินแบบ All Risk</t>
        </is>
      </c>
      <c r="G201" s="23" t="inlineStr">
        <is>
          <t>Insurer / broker</t>
        </is>
      </c>
      <c r="H201" s="22" t="n"/>
      <c r="I201" s="15" t="n"/>
      <c r="J201" s="15" t="n"/>
      <c r="K201" s="22" t="inlineStr">
        <is>
          <t>Annual</t>
        </is>
      </c>
      <c r="L201" s="22" t="n">
        <v>60</v>
      </c>
      <c r="M201" s="15">
        <f>IF(J201="","",J201-IF(L201="",0,L201))</f>
        <v/>
      </c>
      <c r="N201" s="24">
        <f>IF(J201="","",J201-TODAY())</f>
        <v/>
      </c>
      <c r="O201" s="9">
        <f>IF(E201="","",IF(J201="","No date",IF(N201&lt;0,"Expired",IF(N201&lt;=30,"Urgent",IF(N201&lt;=90,"Due soon","OK")))))</f>
        <v/>
      </c>
      <c r="P201" s="22" t="n"/>
      <c r="Q201" s="25" t="n"/>
      <c r="R201" s="22" t="n"/>
      <c r="S201" s="22" t="n"/>
      <c r="T201" s="23" t="n"/>
      <c r="U201" s="22">
        <f>IF(E201="","",IF(J201="","",N201+ROW()/100000))</f>
        <v/>
      </c>
    </row>
    <row r="202">
      <c r="A202" s="9">
        <f>IF(E202="","",COUNTA($E$5:E202))</f>
        <v/>
      </c>
      <c r="B202" s="22" t="inlineStr">
        <is>
          <t>SP</t>
        </is>
      </c>
      <c r="C202" s="22" t="inlineStr">
        <is>
          <t>AMH Pattaya Co., Ltd.</t>
        </is>
      </c>
      <c r="D202" s="22" t="inlineStr">
        <is>
          <t>Insurance</t>
        </is>
      </c>
      <c r="E202" s="23" t="inlineStr">
        <is>
          <t>Public liability insurance</t>
        </is>
      </c>
      <c r="F202" s="23" t="inlineStr">
        <is>
          <t>ประกันภัยความรับผิดต่อบุคคลภายนอก</t>
        </is>
      </c>
      <c r="G202" s="23" t="inlineStr">
        <is>
          <t>Insurer / broker</t>
        </is>
      </c>
      <c r="H202" s="22" t="n"/>
      <c r="I202" s="15" t="n"/>
      <c r="J202" s="15" t="n"/>
      <c r="K202" s="22" t="inlineStr">
        <is>
          <t>Annual</t>
        </is>
      </c>
      <c r="L202" s="22" t="n">
        <v>60</v>
      </c>
      <c r="M202" s="15">
        <f>IF(J202="","",J202-IF(L202="",0,L202))</f>
        <v/>
      </c>
      <c r="N202" s="24">
        <f>IF(J202="","",J202-TODAY())</f>
        <v/>
      </c>
      <c r="O202" s="9">
        <f>IF(E202="","",IF(J202="","No date",IF(N202&lt;0,"Expired",IF(N202&lt;=30,"Urgent",IF(N202&lt;=90,"Due soon","OK")))))</f>
        <v/>
      </c>
      <c r="P202" s="22" t="n"/>
      <c r="Q202" s="25" t="n"/>
      <c r="R202" s="22" t="n"/>
      <c r="S202" s="22" t="n"/>
      <c r="T202" s="23" t="n"/>
      <c r="U202" s="22">
        <f>IF(E202="","",IF(J202="","",N202+ROW()/100000))</f>
        <v/>
      </c>
    </row>
    <row r="203">
      <c r="A203" s="9">
        <f>IF(E203="","",COUNTA($E$5:E203))</f>
        <v/>
      </c>
      <c r="B203" s="22" t="inlineStr">
        <is>
          <t>SP</t>
        </is>
      </c>
      <c r="C203" s="22" t="inlineStr">
        <is>
          <t>AMH Pattaya Co., Ltd.</t>
        </is>
      </c>
      <c r="D203" s="22" t="inlineStr">
        <is>
          <t>Insurance</t>
        </is>
      </c>
      <c r="E203" s="23" t="inlineStr">
        <is>
          <t>Business interruption insurance</t>
        </is>
      </c>
      <c r="F203" s="23" t="inlineStr">
        <is>
          <t>ประกันภัยธุรกิจหยุดชะงัก</t>
        </is>
      </c>
      <c r="G203" s="23" t="inlineStr">
        <is>
          <t>Insurer / broker</t>
        </is>
      </c>
      <c r="H203" s="22" t="n"/>
      <c r="I203" s="15" t="n"/>
      <c r="J203" s="15" t="n"/>
      <c r="K203" s="22" t="inlineStr">
        <is>
          <t>Annual</t>
        </is>
      </c>
      <c r="L203" s="22" t="n">
        <v>60</v>
      </c>
      <c r="M203" s="15">
        <f>IF(J203="","",J203-IF(L203="",0,L203))</f>
        <v/>
      </c>
      <c r="N203" s="24">
        <f>IF(J203="","",J203-TODAY())</f>
        <v/>
      </c>
      <c r="O203" s="9">
        <f>IF(E203="","",IF(J203="","No date",IF(N203&lt;0,"Expired",IF(N203&lt;=30,"Urgent",IF(N203&lt;=90,"Due soon","OK")))))</f>
        <v/>
      </c>
      <c r="P203" s="22" t="n"/>
      <c r="Q203" s="25" t="n"/>
      <c r="R203" s="22" t="n"/>
      <c r="S203" s="22" t="n"/>
      <c r="T203" s="23" t="n"/>
      <c r="U203" s="22">
        <f>IF(E203="","",IF(J203="","",N203+ROW()/100000))</f>
        <v/>
      </c>
    </row>
    <row r="204">
      <c r="A204" s="9">
        <f>IF(E204="","",COUNTA($E$5:E204))</f>
        <v/>
      </c>
      <c r="B204" s="22" t="inlineStr">
        <is>
          <t>SP</t>
        </is>
      </c>
      <c r="C204" s="22" t="inlineStr">
        <is>
          <t>AMH Pattaya Co., Ltd.</t>
        </is>
      </c>
      <c r="D204" s="22" t="inlineStr">
        <is>
          <t>Insurance</t>
        </is>
      </c>
      <c r="E204" s="23" t="inlineStr">
        <is>
          <t>Hotel guest / hotel-act compulsory insurance</t>
        </is>
      </c>
      <c r="F204" s="23" t="inlineStr">
        <is>
          <t>ประกันภัยตาม พ.ร.บ. โรงแรม</t>
        </is>
      </c>
      <c r="G204" s="23" t="inlineStr">
        <is>
          <t>Insurer / broker</t>
        </is>
      </c>
      <c r="H204" s="22" t="n"/>
      <c r="I204" s="15" t="n"/>
      <c r="J204" s="15" t="n"/>
      <c r="K204" s="22" t="inlineStr">
        <is>
          <t>Annual</t>
        </is>
      </c>
      <c r="L204" s="22" t="n">
        <v>60</v>
      </c>
      <c r="M204" s="15">
        <f>IF(J204="","",J204-IF(L204="",0,L204))</f>
        <v/>
      </c>
      <c r="N204" s="24">
        <f>IF(J204="","",J204-TODAY())</f>
        <v/>
      </c>
      <c r="O204" s="9">
        <f>IF(E204="","",IF(J204="","No date",IF(N204&lt;0,"Expired",IF(N204&lt;=30,"Urgent",IF(N204&lt;=90,"Due soon","OK")))))</f>
        <v/>
      </c>
      <c r="P204" s="22" t="n"/>
      <c r="Q204" s="25" t="n"/>
      <c r="R204" s="22" t="n"/>
      <c r="S204" s="22" t="n"/>
      <c r="T204" s="23" t="n"/>
      <c r="U204" s="22">
        <f>IF(E204="","",IF(J204="","",N204+ROW()/100000))</f>
        <v/>
      </c>
    </row>
    <row r="205">
      <c r="A205" s="9">
        <f>IF(E205="","",COUNTA($E$5:E205))</f>
        <v/>
      </c>
      <c r="B205" s="22" t="inlineStr">
        <is>
          <t>SP</t>
        </is>
      </c>
      <c r="C205" s="22" t="inlineStr">
        <is>
          <t>AMH Pattaya Co., Ltd.</t>
        </is>
      </c>
      <c r="D205" s="22" t="inlineStr">
        <is>
          <t>Contract - Management</t>
        </is>
      </c>
      <c r="E205" s="23" t="inlineStr">
        <is>
          <t>Hotel management agreement</t>
        </is>
      </c>
      <c r="F205" s="23" t="inlineStr">
        <is>
          <t>สัญญาบริหารโรงแรม</t>
        </is>
      </c>
      <c r="G205" s="23" t="inlineStr">
        <is>
          <t>Ascott International Management (Thailand) Ltd.</t>
        </is>
      </c>
      <c r="H205" s="22" t="n"/>
      <c r="I205" s="15" t="n"/>
      <c r="J205" s="15" t="n"/>
      <c r="K205" s="22" t="inlineStr">
        <is>
          <t>Rolling / evergreen</t>
        </is>
      </c>
      <c r="L205" s="22" t="n">
        <v>60</v>
      </c>
      <c r="M205" s="15">
        <f>IF(J205="","",J205-IF(L205="",0,L205))</f>
        <v/>
      </c>
      <c r="N205" s="24">
        <f>IF(J205="","",J205-TODAY())</f>
        <v/>
      </c>
      <c r="O205" s="9">
        <f>IF(E205="","",IF(J205="","No date",IF(N205&lt;0,"Expired",IF(N205&lt;=30,"Urgent",IF(N205&lt;=90,"Due soon","OK")))))</f>
        <v/>
      </c>
      <c r="P205" s="22" t="n"/>
      <c r="Q205" s="25" t="n"/>
      <c r="R205" s="22" t="n"/>
      <c r="S205" s="22" t="n"/>
      <c r="T205" s="23" t="n"/>
      <c r="U205" s="22">
        <f>IF(E205="","",IF(J205="","",N205+ROW()/100000))</f>
        <v/>
      </c>
    </row>
    <row r="206">
      <c r="A206" s="9">
        <f>IF(E206="","",COUNTA($E$5:E206))</f>
        <v/>
      </c>
      <c r="B206" s="22" t="inlineStr">
        <is>
          <t>SP</t>
        </is>
      </c>
      <c r="C206" s="22" t="inlineStr">
        <is>
          <t>AMH Pattaya Co., Ltd.</t>
        </is>
      </c>
      <c r="D206" s="22" t="inlineStr">
        <is>
          <t>Contract - Management</t>
        </is>
      </c>
      <c r="E206" s="23" t="inlineStr">
        <is>
          <t>Technical services / central fee agreement</t>
        </is>
      </c>
      <c r="F206" s="23" t="inlineStr">
        <is>
          <t>สัญญาค่าบริการส่วนกลาง</t>
        </is>
      </c>
      <c r="G206" s="23" t="inlineStr">
        <is>
          <t>Ascott International Management (Thailand) Ltd.</t>
        </is>
      </c>
      <c r="H206" s="22" t="n"/>
      <c r="I206" s="15" t="n"/>
      <c r="J206" s="15" t="n"/>
      <c r="K206" s="22" t="inlineStr">
        <is>
          <t>Rolling / evergreen</t>
        </is>
      </c>
      <c r="L206" s="22" t="n">
        <v>60</v>
      </c>
      <c r="M206" s="15">
        <f>IF(J206="","",J206-IF(L206="",0,L206))</f>
        <v/>
      </c>
      <c r="N206" s="24">
        <f>IF(J206="","",J206-TODAY())</f>
        <v/>
      </c>
      <c r="O206" s="9">
        <f>IF(E206="","",IF(J206="","No date",IF(N206&lt;0,"Expired",IF(N206&lt;=30,"Urgent",IF(N206&lt;=90,"Due soon","OK")))))</f>
        <v/>
      </c>
      <c r="P206" s="22" t="n"/>
      <c r="Q206" s="25" t="n"/>
      <c r="R206" s="22" t="n"/>
      <c r="S206" s="22" t="n"/>
      <c r="T206" s="23" t="n"/>
      <c r="U206" s="22">
        <f>IF(E206="","",IF(J206="","",N206+ROW()/100000))</f>
        <v/>
      </c>
    </row>
    <row r="207">
      <c r="A207" s="9">
        <f>IF(E207="","",COUNTA($E$5:E207))</f>
        <v/>
      </c>
      <c r="B207" s="22" t="inlineStr">
        <is>
          <t>SP</t>
        </is>
      </c>
      <c r="C207" s="22" t="inlineStr">
        <is>
          <t>AMH Pattaya Co., Ltd.</t>
        </is>
      </c>
      <c r="D207" s="22" t="inlineStr">
        <is>
          <t>Contract - OTA</t>
        </is>
      </c>
      <c r="E207" s="23" t="inlineStr">
        <is>
          <t>Booking.com accommodation agreement</t>
        </is>
      </c>
      <c r="F207" s="23" t="inlineStr">
        <is>
          <t>สัญญากับ Booking.com</t>
        </is>
      </c>
      <c r="G207" s="23" t="inlineStr">
        <is>
          <t>Booking.com B.V.</t>
        </is>
      </c>
      <c r="H207" s="22" t="n"/>
      <c r="I207" s="15" t="n"/>
      <c r="J207" s="15" t="n"/>
      <c r="K207" s="22" t="inlineStr">
        <is>
          <t>Rolling / evergreen</t>
        </is>
      </c>
      <c r="L207" s="22" t="n">
        <v>60</v>
      </c>
      <c r="M207" s="15">
        <f>IF(J207="","",J207-IF(L207="",0,L207))</f>
        <v/>
      </c>
      <c r="N207" s="24">
        <f>IF(J207="","",J207-TODAY())</f>
        <v/>
      </c>
      <c r="O207" s="9">
        <f>IF(E207="","",IF(J207="","No date",IF(N207&lt;0,"Expired",IF(N207&lt;=30,"Urgent",IF(N207&lt;=90,"Due soon","OK")))))</f>
        <v/>
      </c>
      <c r="P207" s="22" t="n"/>
      <c r="Q207" s="25" t="n"/>
      <c r="R207" s="22" t="n"/>
      <c r="S207" s="22" t="n"/>
      <c r="T207" s="23" t="n"/>
      <c r="U207" s="22">
        <f>IF(E207="","",IF(J207="","",N207+ROW()/100000))</f>
        <v/>
      </c>
    </row>
    <row r="208">
      <c r="A208" s="9">
        <f>IF(E208="","",COUNTA($E$5:E208))</f>
        <v/>
      </c>
      <c r="B208" s="22" t="inlineStr">
        <is>
          <t>SP</t>
        </is>
      </c>
      <c r="C208" s="22" t="inlineStr">
        <is>
          <t>AMH Pattaya Co., Ltd.</t>
        </is>
      </c>
      <c r="D208" s="22" t="inlineStr">
        <is>
          <t>Contract - OTA</t>
        </is>
      </c>
      <c r="E208" s="23" t="inlineStr">
        <is>
          <t>Expedia lodging agreement</t>
        </is>
      </c>
      <c r="F208" s="23" t="inlineStr">
        <is>
          <t>สัญญากับ Expedia</t>
        </is>
      </c>
      <c r="G208" s="23" t="inlineStr">
        <is>
          <t>Travelscape LLC / Expedia (Thailand) Co., Ltd.</t>
        </is>
      </c>
      <c r="H208" s="22" t="n"/>
      <c r="I208" s="15" t="n"/>
      <c r="J208" s="15" t="n"/>
      <c r="K208" s="22" t="inlineStr">
        <is>
          <t>Rolling / evergreen</t>
        </is>
      </c>
      <c r="L208" s="22" t="n">
        <v>60</v>
      </c>
      <c r="M208" s="15">
        <f>IF(J208="","",J208-IF(L208="",0,L208))</f>
        <v/>
      </c>
      <c r="N208" s="24">
        <f>IF(J208="","",J208-TODAY())</f>
        <v/>
      </c>
      <c r="O208" s="9">
        <f>IF(E208="","",IF(J208="","No date",IF(N208&lt;0,"Expired",IF(N208&lt;=30,"Urgent",IF(N208&lt;=90,"Due soon","OK")))))</f>
        <v/>
      </c>
      <c r="P208" s="22" t="n"/>
      <c r="Q208" s="25" t="n"/>
      <c r="R208" s="22" t="n"/>
      <c r="S208" s="22" t="n"/>
      <c r="T208" s="23" t="n"/>
      <c r="U208" s="22">
        <f>IF(E208="","",IF(J208="","",N208+ROW()/100000))</f>
        <v/>
      </c>
    </row>
    <row r="209">
      <c r="A209" s="9">
        <f>IF(E209="","",COUNTA($E$5:E209))</f>
        <v/>
      </c>
      <c r="B209" s="22" t="inlineStr">
        <is>
          <t>SP</t>
        </is>
      </c>
      <c r="C209" s="22" t="inlineStr">
        <is>
          <t>AMH Pattaya Co., Ltd.</t>
        </is>
      </c>
      <c r="D209" s="22" t="inlineStr">
        <is>
          <t>Contract - OTA</t>
        </is>
      </c>
      <c r="E209" s="23" t="inlineStr">
        <is>
          <t>Agoda accommodation agreement</t>
        </is>
      </c>
      <c r="F209" s="23" t="inlineStr">
        <is>
          <t>สัญญากับ Agoda</t>
        </is>
      </c>
      <c r="G209" s="23" t="inlineStr">
        <is>
          <t>Agoda Company Pte. Ltd.</t>
        </is>
      </c>
      <c r="H209" s="22" t="n"/>
      <c r="I209" s="15" t="n"/>
      <c r="J209" s="15" t="n"/>
      <c r="K209" s="22" t="inlineStr">
        <is>
          <t>Rolling / evergreen</t>
        </is>
      </c>
      <c r="L209" s="22" t="n">
        <v>60</v>
      </c>
      <c r="M209" s="15">
        <f>IF(J209="","",J209-IF(L209="",0,L209))</f>
        <v/>
      </c>
      <c r="N209" s="24">
        <f>IF(J209="","",J209-TODAY())</f>
        <v/>
      </c>
      <c r="O209" s="9">
        <f>IF(E209="","",IF(J209="","No date",IF(N209&lt;0,"Expired",IF(N209&lt;=30,"Urgent",IF(N209&lt;=90,"Due soon","OK")))))</f>
        <v/>
      </c>
      <c r="P209" s="22" t="n"/>
      <c r="Q209" s="25" t="n"/>
      <c r="R209" s="22" t="n"/>
      <c r="S209" s="22" t="n"/>
      <c r="T209" s="23" t="n"/>
      <c r="U209" s="22">
        <f>IF(E209="","",IF(J209="","",N209+ROW()/100000))</f>
        <v/>
      </c>
    </row>
    <row r="210">
      <c r="A210" s="9">
        <f>IF(E210="","",COUNTA($E$5:E210))</f>
        <v/>
      </c>
      <c r="B210" s="22" t="inlineStr">
        <is>
          <t>SP</t>
        </is>
      </c>
      <c r="C210" s="22" t="inlineStr">
        <is>
          <t>AMH Pattaya Co., Ltd.</t>
        </is>
      </c>
      <c r="D210" s="22" t="inlineStr">
        <is>
          <t>Contract - Service</t>
        </is>
      </c>
      <c r="E210" s="23" t="inlineStr">
        <is>
          <t>Laundry &amp; linen services</t>
        </is>
      </c>
      <c r="F210" s="23" t="inlineStr">
        <is>
          <t>สัญญาบริการซักรีด</t>
        </is>
      </c>
      <c r="G210" s="23" t="inlineStr">
        <is>
          <t>Laundry Pattaya</t>
        </is>
      </c>
      <c r="H210" s="22" t="n"/>
      <c r="I210" s="15" t="n"/>
      <c r="J210" s="15" t="n"/>
      <c r="K210" s="22" t="inlineStr">
        <is>
          <t>Annual</t>
        </is>
      </c>
      <c r="L210" s="22" t="n">
        <v>60</v>
      </c>
      <c r="M210" s="15">
        <f>IF(J210="","",J210-IF(L210="",0,L210))</f>
        <v/>
      </c>
      <c r="N210" s="24">
        <f>IF(J210="","",J210-TODAY())</f>
        <v/>
      </c>
      <c r="O210" s="9">
        <f>IF(E210="","",IF(J210="","No date",IF(N210&lt;0,"Expired",IF(N210&lt;=30,"Urgent",IF(N210&lt;=90,"Due soon","OK")))))</f>
        <v/>
      </c>
      <c r="P210" s="22" t="n"/>
      <c r="Q210" s="25" t="n"/>
      <c r="R210" s="22" t="n"/>
      <c r="S210" s="22" t="n"/>
      <c r="T210" s="23" t="n"/>
      <c r="U210" s="22">
        <f>IF(E210="","",IF(J210="","",N210+ROW()/100000))</f>
        <v/>
      </c>
    </row>
    <row r="211">
      <c r="A211" s="9">
        <f>IF(E211="","",COUNTA($E$5:E211))</f>
        <v/>
      </c>
      <c r="B211" s="22" t="inlineStr">
        <is>
          <t>SP</t>
        </is>
      </c>
      <c r="C211" s="22" t="inlineStr">
        <is>
          <t>AMH Pattaya Co., Ltd.</t>
        </is>
      </c>
      <c r="D211" s="22" t="inlineStr">
        <is>
          <t>Contract - Service</t>
        </is>
      </c>
      <c r="E211" s="23" t="inlineStr">
        <is>
          <t>F&amp;B outlet / catering operator</t>
        </is>
      </c>
      <c r="F211" s="23" t="inlineStr">
        <is>
          <t>สัญญาผู้ประกอบการอาหารและเครื่องดื่ม</t>
        </is>
      </c>
      <c r="G211" s="23" t="inlineStr">
        <is>
          <t>DK Wow Venture Co., Ltd.</t>
        </is>
      </c>
      <c r="H211" s="22" t="n"/>
      <c r="I211" s="15" t="n"/>
      <c r="J211" s="15" t="n"/>
      <c r="K211" s="22" t="inlineStr">
        <is>
          <t>Annual</t>
        </is>
      </c>
      <c r="L211" s="22" t="n">
        <v>60</v>
      </c>
      <c r="M211" s="15">
        <f>IF(J211="","",J211-IF(L211="",0,L211))</f>
        <v/>
      </c>
      <c r="N211" s="24">
        <f>IF(J211="","",J211-TODAY())</f>
        <v/>
      </c>
      <c r="O211" s="9">
        <f>IF(E211="","",IF(J211="","No date",IF(N211&lt;0,"Expired",IF(N211&lt;=30,"Urgent",IF(N211&lt;=90,"Due soon","OK")))))</f>
        <v/>
      </c>
      <c r="P211" s="22" t="n"/>
      <c r="Q211" s="25" t="n"/>
      <c r="R211" s="22" t="n"/>
      <c r="S211" s="22" t="n"/>
      <c r="T211" s="23" t="n"/>
      <c r="U211" s="22">
        <f>IF(E211="","",IF(J211="","",N211+ROW()/100000))</f>
        <v/>
      </c>
    </row>
    <row r="212">
      <c r="A212" s="9">
        <f>IF(E212="","",COUNTA($E$5:E212))</f>
        <v/>
      </c>
      <c r="B212" s="22" t="inlineStr">
        <is>
          <t>SP</t>
        </is>
      </c>
      <c r="C212" s="22" t="inlineStr">
        <is>
          <t>AMH Pattaya Co., Ltd.</t>
        </is>
      </c>
      <c r="D212" s="22" t="inlineStr">
        <is>
          <t>Contract - Service</t>
        </is>
      </c>
      <c r="E212" s="23" t="inlineStr">
        <is>
          <t>Security services</t>
        </is>
      </c>
      <c r="F212" s="23" t="inlineStr">
        <is>
          <t>สัญญาบริการรักษาความปลอดภัย</t>
        </is>
      </c>
      <c r="G212" s="23" t="n"/>
      <c r="H212" s="22" t="n"/>
      <c r="I212" s="15" t="n"/>
      <c r="J212" s="15" t="n"/>
      <c r="K212" s="22" t="inlineStr">
        <is>
          <t>Annual</t>
        </is>
      </c>
      <c r="L212" s="22" t="n">
        <v>60</v>
      </c>
      <c r="M212" s="15">
        <f>IF(J212="","",J212-IF(L212="",0,L212))</f>
        <v/>
      </c>
      <c r="N212" s="24">
        <f>IF(J212="","",J212-TODAY())</f>
        <v/>
      </c>
      <c r="O212" s="9">
        <f>IF(E212="","",IF(J212="","No date",IF(N212&lt;0,"Expired",IF(N212&lt;=30,"Urgent",IF(N212&lt;=90,"Due soon","OK")))))</f>
        <v/>
      </c>
      <c r="P212" s="22" t="n"/>
      <c r="Q212" s="25" t="n"/>
      <c r="R212" s="22" t="n"/>
      <c r="S212" s="22" t="n"/>
      <c r="T212" s="23" t="n"/>
      <c r="U212" s="22">
        <f>IF(E212="","",IF(J212="","",N212+ROW()/100000))</f>
        <v/>
      </c>
    </row>
    <row r="213">
      <c r="A213" s="9">
        <f>IF(E213="","",COUNTA($E$5:E213))</f>
        <v/>
      </c>
      <c r="B213" s="22" t="inlineStr">
        <is>
          <t>SP</t>
        </is>
      </c>
      <c r="C213" s="22" t="inlineStr">
        <is>
          <t>AMH Pattaya Co., Ltd.</t>
        </is>
      </c>
      <c r="D213" s="22" t="inlineStr">
        <is>
          <t>Contract - Service</t>
        </is>
      </c>
      <c r="E213" s="23" t="inlineStr">
        <is>
          <t>Cleaning / housekeeping outsource</t>
        </is>
      </c>
      <c r="F213" s="23" t="inlineStr">
        <is>
          <t>สัญญาบริการทำความสะอาด</t>
        </is>
      </c>
      <c r="G213" s="23" t="n"/>
      <c r="H213" s="22" t="n"/>
      <c r="I213" s="15" t="n"/>
      <c r="J213" s="15" t="n"/>
      <c r="K213" s="22" t="inlineStr">
        <is>
          <t>Annual</t>
        </is>
      </c>
      <c r="L213" s="22" t="n">
        <v>60</v>
      </c>
      <c r="M213" s="15">
        <f>IF(J213="","",J213-IF(L213="",0,L213))</f>
        <v/>
      </c>
      <c r="N213" s="24">
        <f>IF(J213="","",J213-TODAY())</f>
        <v/>
      </c>
      <c r="O213" s="9">
        <f>IF(E213="","",IF(J213="","No date",IF(N213&lt;0,"Expired",IF(N213&lt;=30,"Urgent",IF(N213&lt;=90,"Due soon","OK")))))</f>
        <v/>
      </c>
      <c r="P213" s="22" t="n"/>
      <c r="Q213" s="25" t="n"/>
      <c r="R213" s="22" t="n"/>
      <c r="S213" s="22" t="n"/>
      <c r="T213" s="23" t="n"/>
      <c r="U213" s="22">
        <f>IF(E213="","",IF(J213="","",N213+ROW()/100000))</f>
        <v/>
      </c>
    </row>
    <row r="214">
      <c r="A214" s="9">
        <f>IF(E214="","",COUNTA($E$5:E214))</f>
        <v/>
      </c>
      <c r="B214" s="22" t="inlineStr">
        <is>
          <t>SP</t>
        </is>
      </c>
      <c r="C214" s="22" t="inlineStr">
        <is>
          <t>AMH Pattaya Co., Ltd.</t>
        </is>
      </c>
      <c r="D214" s="22" t="inlineStr">
        <is>
          <t>Contract - Service</t>
        </is>
      </c>
      <c r="E214" s="23" t="inlineStr">
        <is>
          <t>Pest control</t>
        </is>
      </c>
      <c r="F214" s="23" t="inlineStr">
        <is>
          <t>สัญญากำจัดแมลง</t>
        </is>
      </c>
      <c r="G214" s="23" t="n"/>
      <c r="H214" s="22" t="n"/>
      <c r="I214" s="15" t="n"/>
      <c r="J214" s="15" t="n"/>
      <c r="K214" s="22" t="inlineStr">
        <is>
          <t>Annual</t>
        </is>
      </c>
      <c r="L214" s="22" t="n">
        <v>60</v>
      </c>
      <c r="M214" s="15">
        <f>IF(J214="","",J214-IF(L214="",0,L214))</f>
        <v/>
      </c>
      <c r="N214" s="24">
        <f>IF(J214="","",J214-TODAY())</f>
        <v/>
      </c>
      <c r="O214" s="9">
        <f>IF(E214="","",IF(J214="","No date",IF(N214&lt;0,"Expired",IF(N214&lt;=30,"Urgent",IF(N214&lt;=90,"Due soon","OK")))))</f>
        <v/>
      </c>
      <c r="P214" s="22" t="n"/>
      <c r="Q214" s="25" t="n"/>
      <c r="R214" s="22" t="n"/>
      <c r="S214" s="22" t="n"/>
      <c r="T214" s="23" t="n"/>
      <c r="U214" s="22">
        <f>IF(E214="","",IF(J214="","",N214+ROW()/100000))</f>
        <v/>
      </c>
    </row>
    <row r="215">
      <c r="A215" s="9">
        <f>IF(E215="","",COUNTA($E$5:E215))</f>
        <v/>
      </c>
      <c r="B215" s="22" t="inlineStr">
        <is>
          <t>SP</t>
        </is>
      </c>
      <c r="C215" s="22" t="inlineStr">
        <is>
          <t>AMH Pattaya Co., Ltd.</t>
        </is>
      </c>
      <c r="D215" s="22" t="inlineStr">
        <is>
          <t>Contract - Service</t>
        </is>
      </c>
      <c r="E215" s="23" t="inlineStr">
        <is>
          <t>Landscaping / plant care</t>
        </is>
      </c>
      <c r="F215" s="23" t="inlineStr">
        <is>
          <t>สัญญาดูแลต้นไม้และภูมิทัศน์</t>
        </is>
      </c>
      <c r="G215" s="23" t="n"/>
      <c r="H215" s="22" t="n"/>
      <c r="I215" s="15" t="n"/>
      <c r="J215" s="15" t="n"/>
      <c r="K215" s="22" t="inlineStr">
        <is>
          <t>Annual</t>
        </is>
      </c>
      <c r="L215" s="22" t="n">
        <v>60</v>
      </c>
      <c r="M215" s="15">
        <f>IF(J215="","",J215-IF(L215="",0,L215))</f>
        <v/>
      </c>
      <c r="N215" s="24">
        <f>IF(J215="","",J215-TODAY())</f>
        <v/>
      </c>
      <c r="O215" s="9">
        <f>IF(E215="","",IF(J215="","No date",IF(N215&lt;0,"Expired",IF(N215&lt;=30,"Urgent",IF(N215&lt;=90,"Due soon","OK")))))</f>
        <v/>
      </c>
      <c r="P215" s="22" t="n"/>
      <c r="Q215" s="25" t="n"/>
      <c r="R215" s="22" t="n"/>
      <c r="S215" s="22" t="n"/>
      <c r="T215" s="23" t="n"/>
      <c r="U215" s="22">
        <f>IF(E215="","",IF(J215="","",N215+ROW()/100000))</f>
        <v/>
      </c>
    </row>
    <row r="216">
      <c r="A216" s="9">
        <f>IF(E216="","",COUNTA($E$5:E216))</f>
        <v/>
      </c>
      <c r="B216" s="22" t="inlineStr">
        <is>
          <t>SP</t>
        </is>
      </c>
      <c r="C216" s="22" t="inlineStr">
        <is>
          <t>AMH Pattaya Co., Ltd.</t>
        </is>
      </c>
      <c r="D216" s="22" t="inlineStr">
        <is>
          <t>Contract - Service</t>
        </is>
      </c>
      <c r="E216" s="23" t="inlineStr">
        <is>
          <t>Lift maintenance</t>
        </is>
      </c>
      <c r="F216" s="23" t="inlineStr">
        <is>
          <t>สัญญาบำรุงรักษาลิฟต์</t>
        </is>
      </c>
      <c r="G216" s="23" t="n"/>
      <c r="H216" s="22" t="n"/>
      <c r="I216" s="15" t="n"/>
      <c r="J216" s="15" t="n"/>
      <c r="K216" s="22" t="inlineStr">
        <is>
          <t>Annual</t>
        </is>
      </c>
      <c r="L216" s="22" t="n">
        <v>60</v>
      </c>
      <c r="M216" s="15">
        <f>IF(J216="","",J216-IF(L216="",0,L216))</f>
        <v/>
      </c>
      <c r="N216" s="24">
        <f>IF(J216="","",J216-TODAY())</f>
        <v/>
      </c>
      <c r="O216" s="9">
        <f>IF(E216="","",IF(J216="","No date",IF(N216&lt;0,"Expired",IF(N216&lt;=30,"Urgent",IF(N216&lt;=90,"Due soon","OK")))))</f>
        <v/>
      </c>
      <c r="P216" s="22" t="n"/>
      <c r="Q216" s="25" t="n"/>
      <c r="R216" s="22" t="n"/>
      <c r="S216" s="22" t="n"/>
      <c r="T216" s="23" t="n"/>
      <c r="U216" s="22">
        <f>IF(E216="","",IF(J216="","",N216+ROW()/100000))</f>
        <v/>
      </c>
    </row>
    <row r="217">
      <c r="A217" s="9">
        <f>IF(E217="","",COUNTA($E$5:E217))</f>
        <v/>
      </c>
      <c r="B217" s="22" t="inlineStr">
        <is>
          <t>SP</t>
        </is>
      </c>
      <c r="C217" s="22" t="inlineStr">
        <is>
          <t>AMH Pattaya Co., Ltd.</t>
        </is>
      </c>
      <c r="D217" s="22" t="inlineStr">
        <is>
          <t>Contract - Service</t>
        </is>
      </c>
      <c r="E217" s="23" t="inlineStr">
        <is>
          <t>HVAC / chiller maintenance</t>
        </is>
      </c>
      <c r="F217" s="23" t="inlineStr">
        <is>
          <t>สัญญาบำรุงรักษาระบบปรับอากาศ</t>
        </is>
      </c>
      <c r="G217" s="23" t="n"/>
      <c r="H217" s="22" t="n"/>
      <c r="I217" s="15" t="n"/>
      <c r="J217" s="15" t="n"/>
      <c r="K217" s="22" t="inlineStr">
        <is>
          <t>Annual</t>
        </is>
      </c>
      <c r="L217" s="22" t="n">
        <v>60</v>
      </c>
      <c r="M217" s="15">
        <f>IF(J217="","",J217-IF(L217="",0,L217))</f>
        <v/>
      </c>
      <c r="N217" s="24">
        <f>IF(J217="","",J217-TODAY())</f>
        <v/>
      </c>
      <c r="O217" s="9">
        <f>IF(E217="","",IF(J217="","No date",IF(N217&lt;0,"Expired",IF(N217&lt;=30,"Urgent",IF(N217&lt;=90,"Due soon","OK")))))</f>
        <v/>
      </c>
      <c r="P217" s="22" t="n"/>
      <c r="Q217" s="25" t="n"/>
      <c r="R217" s="22" t="n"/>
      <c r="S217" s="22" t="n"/>
      <c r="T217" s="23" t="n"/>
      <c r="U217" s="22">
        <f>IF(E217="","",IF(J217="","",N217+ROW()/100000))</f>
        <v/>
      </c>
    </row>
    <row r="218">
      <c r="A218" s="9">
        <f>IF(E218="","",COUNTA($E$5:E218))</f>
        <v/>
      </c>
      <c r="B218" s="22" t="inlineStr">
        <is>
          <t>SP</t>
        </is>
      </c>
      <c r="C218" s="22" t="inlineStr">
        <is>
          <t>AMH Pattaya Co., Ltd.</t>
        </is>
      </c>
      <c r="D218" s="22" t="inlineStr">
        <is>
          <t>Contract - Service</t>
        </is>
      </c>
      <c r="E218" s="23" t="inlineStr">
        <is>
          <t>Fire system maintenance</t>
        </is>
      </c>
      <c r="F218" s="23" t="inlineStr">
        <is>
          <t>สัญญาบำรุงรักษาระบบดับเพลิง</t>
        </is>
      </c>
      <c r="G218" s="23" t="n"/>
      <c r="H218" s="22" t="n"/>
      <c r="I218" s="15" t="n"/>
      <c r="J218" s="15" t="n"/>
      <c r="K218" s="22" t="inlineStr">
        <is>
          <t>Annual</t>
        </is>
      </c>
      <c r="L218" s="22" t="n">
        <v>60</v>
      </c>
      <c r="M218" s="15">
        <f>IF(J218="","",J218-IF(L218="",0,L218))</f>
        <v/>
      </c>
      <c r="N218" s="24">
        <f>IF(J218="","",J218-TODAY())</f>
        <v/>
      </c>
      <c r="O218" s="9">
        <f>IF(E218="","",IF(J218="","No date",IF(N218&lt;0,"Expired",IF(N218&lt;=30,"Urgent",IF(N218&lt;=90,"Due soon","OK")))))</f>
        <v/>
      </c>
      <c r="P218" s="22" t="n"/>
      <c r="Q218" s="25" t="n"/>
      <c r="R218" s="22" t="n"/>
      <c r="S218" s="22" t="n"/>
      <c r="T218" s="23" t="n"/>
      <c r="U218" s="22">
        <f>IF(E218="","",IF(J218="","",N218+ROW()/100000))</f>
        <v/>
      </c>
    </row>
    <row r="219">
      <c r="A219" s="9">
        <f>IF(E219="","",COUNTA($E$5:E219))</f>
        <v/>
      </c>
      <c r="B219" s="22" t="inlineStr">
        <is>
          <t>SP</t>
        </is>
      </c>
      <c r="C219" s="22" t="inlineStr">
        <is>
          <t>AMH Pattaya Co., Ltd.</t>
        </is>
      </c>
      <c r="D219" s="22" t="inlineStr">
        <is>
          <t>Contract - Service</t>
        </is>
      </c>
      <c r="E219" s="23" t="inlineStr">
        <is>
          <t>Waste collection</t>
        </is>
      </c>
      <c r="F219" s="23" t="inlineStr">
        <is>
          <t>สัญญาเก็บขนขยะ</t>
        </is>
      </c>
      <c r="G219" s="23" t="n"/>
      <c r="H219" s="22" t="n"/>
      <c r="I219" s="15" t="n"/>
      <c r="J219" s="15" t="n"/>
      <c r="K219" s="22" t="inlineStr">
        <is>
          <t>Annual</t>
        </is>
      </c>
      <c r="L219" s="22" t="n">
        <v>60</v>
      </c>
      <c r="M219" s="15">
        <f>IF(J219="","",J219-IF(L219="",0,L219))</f>
        <v/>
      </c>
      <c r="N219" s="24">
        <f>IF(J219="","",J219-TODAY())</f>
        <v/>
      </c>
      <c r="O219" s="9">
        <f>IF(E219="","",IF(J219="","No date",IF(N219&lt;0,"Expired",IF(N219&lt;=30,"Urgent",IF(N219&lt;=90,"Due soon","OK")))))</f>
        <v/>
      </c>
      <c r="P219" s="22" t="n"/>
      <c r="Q219" s="25" t="n"/>
      <c r="R219" s="22" t="n"/>
      <c r="S219" s="22" t="n"/>
      <c r="T219" s="23" t="n"/>
      <c r="U219" s="22">
        <f>IF(E219="","",IF(J219="","",N219+ROW()/100000))</f>
        <v/>
      </c>
    </row>
    <row r="220">
      <c r="A220" s="9">
        <f>IF(E220="","",COUNTA($E$5:E220))</f>
        <v/>
      </c>
      <c r="B220" s="22" t="inlineStr">
        <is>
          <t>SP</t>
        </is>
      </c>
      <c r="C220" s="22" t="inlineStr">
        <is>
          <t>AMH Pattaya Co., Ltd.</t>
        </is>
      </c>
      <c r="D220" s="22" t="inlineStr">
        <is>
          <t>Contract - Service</t>
        </is>
      </c>
      <c r="E220" s="23" t="inlineStr">
        <is>
          <t>PMS / property management system licence</t>
        </is>
      </c>
      <c r="F220" s="23" t="inlineStr">
        <is>
          <t>สัญญาระบบบริหารโรงแรม (PMS)</t>
        </is>
      </c>
      <c r="G220" s="23" t="n"/>
      <c r="H220" s="22" t="n"/>
      <c r="I220" s="15" t="n"/>
      <c r="J220" s="15" t="n"/>
      <c r="K220" s="22" t="inlineStr">
        <is>
          <t>Annual</t>
        </is>
      </c>
      <c r="L220" s="22" t="n">
        <v>60</v>
      </c>
      <c r="M220" s="15">
        <f>IF(J220="","",J220-IF(L220="",0,L220))</f>
        <v/>
      </c>
      <c r="N220" s="24">
        <f>IF(J220="","",J220-TODAY())</f>
        <v/>
      </c>
      <c r="O220" s="9">
        <f>IF(E220="","",IF(J220="","No date",IF(N220&lt;0,"Expired",IF(N220&lt;=30,"Urgent",IF(N220&lt;=90,"Due soon","OK")))))</f>
        <v/>
      </c>
      <c r="P220" s="22" t="n"/>
      <c r="Q220" s="25" t="n"/>
      <c r="R220" s="22" t="n"/>
      <c r="S220" s="22" t="n"/>
      <c r="T220" s="23" t="n"/>
      <c r="U220" s="22">
        <f>IF(E220="","",IF(J220="","",N220+ROW()/100000))</f>
        <v/>
      </c>
    </row>
    <row r="221">
      <c r="A221" s="9">
        <f>IF(E221="","",COUNTA($E$5:E221))</f>
        <v/>
      </c>
      <c r="B221" s="22" t="inlineStr">
        <is>
          <t>SP</t>
        </is>
      </c>
      <c r="C221" s="22" t="inlineStr">
        <is>
          <t>AMH Pattaya Co., Ltd.</t>
        </is>
      </c>
      <c r="D221" s="22" t="inlineStr">
        <is>
          <t>Contract - Service</t>
        </is>
      </c>
      <c r="E221" s="23" t="inlineStr">
        <is>
          <t>Internet / IPTV / telephone</t>
        </is>
      </c>
      <c r="F221" s="23" t="inlineStr">
        <is>
          <t>สัญญาอินเทอร์เน็ต / IPTV / โทรศัพท์</t>
        </is>
      </c>
      <c r="G221" s="23" t="n"/>
      <c r="H221" s="22" t="n"/>
      <c r="I221" s="15" t="n"/>
      <c r="J221" s="15" t="n"/>
      <c r="K221" s="22" t="inlineStr">
        <is>
          <t>Annual</t>
        </is>
      </c>
      <c r="L221" s="22" t="n">
        <v>60</v>
      </c>
      <c r="M221" s="15">
        <f>IF(J221="","",J221-IF(L221="",0,L221))</f>
        <v/>
      </c>
      <c r="N221" s="24">
        <f>IF(J221="","",J221-TODAY())</f>
        <v/>
      </c>
      <c r="O221" s="9">
        <f>IF(E221="","",IF(J221="","No date",IF(N221&lt;0,"Expired",IF(N221&lt;=30,"Urgent",IF(N221&lt;=90,"Due soon","OK")))))</f>
        <v/>
      </c>
      <c r="P221" s="22" t="n"/>
      <c r="Q221" s="25" t="n"/>
      <c r="R221" s="22" t="n"/>
      <c r="S221" s="22" t="n"/>
      <c r="T221" s="23" t="n"/>
      <c r="U221" s="22">
        <f>IF(E221="","",IF(J221="","",N221+ROW()/100000))</f>
        <v/>
      </c>
    </row>
    <row r="222">
      <c r="A222" s="9">
        <f>IF(E222="","",COUNTA($E$5:E222))</f>
        <v/>
      </c>
      <c r="B222" s="22" t="inlineStr">
        <is>
          <t>SP</t>
        </is>
      </c>
      <c r="C222" s="22" t="inlineStr">
        <is>
          <t>AMH Pattaya Co., Ltd.</t>
        </is>
      </c>
      <c r="D222" s="22" t="inlineStr">
        <is>
          <t>Contract - Service</t>
        </is>
      </c>
      <c r="E222" s="23" t="inlineStr">
        <is>
          <t>External audit &amp; tax agent</t>
        </is>
      </c>
      <c r="F222" s="23" t="inlineStr">
        <is>
          <t>สัญญาผู้สอบบัญชีและที่ปรึกษาภาษี</t>
        </is>
      </c>
      <c r="G222" s="23" t="n"/>
      <c r="H222" s="22" t="n"/>
      <c r="I222" s="15" t="n"/>
      <c r="J222" s="15" t="n"/>
      <c r="K222" s="22" t="inlineStr">
        <is>
          <t>Annual</t>
        </is>
      </c>
      <c r="L222" s="22" t="n">
        <v>60</v>
      </c>
      <c r="M222" s="15">
        <f>IF(J222="","",J222-IF(L222="",0,L222))</f>
        <v/>
      </c>
      <c r="N222" s="24">
        <f>IF(J222="","",J222-TODAY())</f>
        <v/>
      </c>
      <c r="O222" s="9">
        <f>IF(E222="","",IF(J222="","No date",IF(N222&lt;0,"Expired",IF(N222&lt;=30,"Urgent",IF(N222&lt;=90,"Due soon","OK")))))</f>
        <v/>
      </c>
      <c r="P222" s="22" t="n"/>
      <c r="Q222" s="25" t="n"/>
      <c r="R222" s="22" t="n"/>
      <c r="S222" s="22" t="n"/>
      <c r="T222" s="23" t="n"/>
      <c r="U222" s="22">
        <f>IF(E222="","",IF(J222="","",N222+ROW()/100000))</f>
        <v/>
      </c>
    </row>
    <row r="223">
      <c r="A223" s="9">
        <f>IF(E223="","",COUNTA($E$5:E223))</f>
        <v/>
      </c>
      <c r="B223" s="22" t="inlineStr">
        <is>
          <t>SP</t>
        </is>
      </c>
      <c r="C223" s="22" t="inlineStr">
        <is>
          <t>AMH Pattaya Co., Ltd.</t>
        </is>
      </c>
      <c r="D223" s="22" t="inlineStr">
        <is>
          <t>Contract - Utility</t>
        </is>
      </c>
      <c r="E223" s="23" t="inlineStr">
        <is>
          <t>Electricity supply</t>
        </is>
      </c>
      <c r="F223" s="23" t="inlineStr">
        <is>
          <t>สัญญาไฟฟ้า</t>
        </is>
      </c>
      <c r="G223" s="23" t="inlineStr">
        <is>
          <t>Provincial Electricity Authority (PEA)</t>
        </is>
      </c>
      <c r="H223" s="22" t="n"/>
      <c r="I223" s="15" t="n"/>
      <c r="J223" s="15" t="n"/>
      <c r="K223" s="22" t="inlineStr">
        <is>
          <t>Rolling / evergreen</t>
        </is>
      </c>
      <c r="L223" s="22" t="n">
        <v>60</v>
      </c>
      <c r="M223" s="15">
        <f>IF(J223="","",J223-IF(L223="",0,L223))</f>
        <v/>
      </c>
      <c r="N223" s="24">
        <f>IF(J223="","",J223-TODAY())</f>
        <v/>
      </c>
      <c r="O223" s="9">
        <f>IF(E223="","",IF(J223="","No date",IF(N223&lt;0,"Expired",IF(N223&lt;=30,"Urgent",IF(N223&lt;=90,"Due soon","OK")))))</f>
        <v/>
      </c>
      <c r="P223" s="22" t="n"/>
      <c r="Q223" s="25" t="n"/>
      <c r="R223" s="22" t="n"/>
      <c r="S223" s="22" t="n"/>
      <c r="T223" s="23" t="n"/>
      <c r="U223" s="22">
        <f>IF(E223="","",IF(J223="","",N223+ROW()/100000))</f>
        <v/>
      </c>
    </row>
    <row r="224">
      <c r="A224" s="9">
        <f>IF(E224="","",COUNTA($E$5:E224))</f>
        <v/>
      </c>
      <c r="B224" s="22" t="inlineStr">
        <is>
          <t>SP</t>
        </is>
      </c>
      <c r="C224" s="22" t="inlineStr">
        <is>
          <t>AMH Pattaya Co., Ltd.</t>
        </is>
      </c>
      <c r="D224" s="22" t="inlineStr">
        <is>
          <t>Contract - Utility</t>
        </is>
      </c>
      <c r="E224" s="23" t="inlineStr">
        <is>
          <t>Water supply</t>
        </is>
      </c>
      <c r="F224" s="23" t="inlineStr">
        <is>
          <t>สัญญาน้ำประปา</t>
        </is>
      </c>
      <c r="G224" s="23" t="n"/>
      <c r="H224" s="22" t="n"/>
      <c r="I224" s="15" t="n"/>
      <c r="J224" s="15" t="n"/>
      <c r="K224" s="22" t="inlineStr">
        <is>
          <t>Rolling / evergreen</t>
        </is>
      </c>
      <c r="L224" s="22" t="n">
        <v>60</v>
      </c>
      <c r="M224" s="15">
        <f>IF(J224="","",J224-IF(L224="",0,L224))</f>
        <v/>
      </c>
      <c r="N224" s="24">
        <f>IF(J224="","",J224-TODAY())</f>
        <v/>
      </c>
      <c r="O224" s="9">
        <f>IF(E224="","",IF(J224="","No date",IF(N224&lt;0,"Expired",IF(N224&lt;=30,"Urgent",IF(N224&lt;=90,"Due soon","OK")))))</f>
        <v/>
      </c>
      <c r="P224" s="22" t="n"/>
      <c r="Q224" s="25" t="n"/>
      <c r="R224" s="22" t="n"/>
      <c r="S224" s="22" t="n"/>
      <c r="T224" s="23" t="n"/>
      <c r="U224" s="22">
        <f>IF(E224="","",IF(J224="","",N224+ROW()/100000))</f>
        <v/>
      </c>
    </row>
    <row r="225">
      <c r="A225" s="9">
        <f>IF(E225="","",COUNTA($E$5:E225))</f>
        <v/>
      </c>
      <c r="B225" s="22" t="inlineStr">
        <is>
          <t>SP</t>
        </is>
      </c>
      <c r="C225" s="22" t="inlineStr">
        <is>
          <t>AMH Pattaya Co., Ltd.</t>
        </is>
      </c>
      <c r="D225" s="22" t="inlineStr">
        <is>
          <t>Contract - Lease / Finance</t>
        </is>
      </c>
      <c r="E225" s="23" t="inlineStr">
        <is>
          <t>Land / building lease</t>
        </is>
      </c>
      <c r="F225" s="23" t="inlineStr">
        <is>
          <t>สัญญาเช่าที่ดิน / อาคาร</t>
        </is>
      </c>
      <c r="G225" s="23" t="n"/>
      <c r="H225" s="22" t="n"/>
      <c r="I225" s="15" t="n"/>
      <c r="J225" s="15" t="n"/>
      <c r="K225" s="22" t="inlineStr">
        <is>
          <t>Other</t>
        </is>
      </c>
      <c r="L225" s="22" t="n">
        <v>60</v>
      </c>
      <c r="M225" s="15">
        <f>IF(J225="","",J225-IF(L225="",0,L225))</f>
        <v/>
      </c>
      <c r="N225" s="24">
        <f>IF(J225="","",J225-TODAY())</f>
        <v/>
      </c>
      <c r="O225" s="9">
        <f>IF(E225="","",IF(J225="","No date",IF(N225&lt;0,"Expired",IF(N225&lt;=30,"Urgent",IF(N225&lt;=90,"Due soon","OK")))))</f>
        <v/>
      </c>
      <c r="P225" s="22" t="n"/>
      <c r="Q225" s="25" t="n"/>
      <c r="R225" s="22" t="n"/>
      <c r="S225" s="22" t="n"/>
      <c r="T225" s="23" t="n"/>
      <c r="U225" s="22">
        <f>IF(E225="","",IF(J225="","",N225+ROW()/100000))</f>
        <v/>
      </c>
    </row>
    <row r="226">
      <c r="A226" s="9">
        <f>IF(E226="","",COUNTA($E$5:E226))</f>
        <v/>
      </c>
      <c r="B226" s="22" t="inlineStr">
        <is>
          <t>SP</t>
        </is>
      </c>
      <c r="C226" s="22" t="inlineStr">
        <is>
          <t>AMH Pattaya Co., Ltd.</t>
        </is>
      </c>
      <c r="D226" s="22" t="inlineStr">
        <is>
          <t>Contract - Lease / Finance</t>
        </is>
      </c>
      <c r="E226" s="23" t="inlineStr">
        <is>
          <t>Bank facility / loan agreement</t>
        </is>
      </c>
      <c r="F226" s="23" t="inlineStr">
        <is>
          <t>สัญญาสินเชื่อธนาคาร</t>
        </is>
      </c>
      <c r="G226" s="23" t="n"/>
      <c r="H226" s="22" t="n"/>
      <c r="I226" s="15" t="n"/>
      <c r="J226" s="15" t="n"/>
      <c r="K226" s="22" t="inlineStr">
        <is>
          <t>Other</t>
        </is>
      </c>
      <c r="L226" s="22" t="n">
        <v>60</v>
      </c>
      <c r="M226" s="15">
        <f>IF(J226="","",J226-IF(L226="",0,L226))</f>
        <v/>
      </c>
      <c r="N226" s="24">
        <f>IF(J226="","",J226-TODAY())</f>
        <v/>
      </c>
      <c r="O226" s="9">
        <f>IF(E226="","",IF(J226="","No date",IF(N226&lt;0,"Expired",IF(N226&lt;=30,"Urgent",IF(N226&lt;=90,"Due soon","OK")))))</f>
        <v/>
      </c>
      <c r="P226" s="22" t="n"/>
      <c r="Q226" s="25" t="n"/>
      <c r="R226" s="22" t="n"/>
      <c r="S226" s="22" t="n"/>
      <c r="T226" s="23" t="n"/>
      <c r="U226" s="22">
        <f>IF(E226="","",IF(J226="","",N226+ROW()/100000))</f>
        <v/>
      </c>
    </row>
    <row r="227">
      <c r="A227" s="9">
        <f>IF(E227="","",COUNTA($E$5:E227))</f>
        <v/>
      </c>
      <c r="B227" s="22" t="n"/>
      <c r="C227" s="22" t="n"/>
      <c r="D227" s="22" t="n"/>
      <c r="E227" s="23" t="n"/>
      <c r="F227" s="23" t="n"/>
      <c r="G227" s="23" t="n"/>
      <c r="H227" s="22" t="n"/>
      <c r="I227" s="15" t="n"/>
      <c r="J227" s="15" t="n"/>
      <c r="K227" s="22" t="n"/>
      <c r="L227" s="22" t="n"/>
      <c r="M227" s="15">
        <f>IF(J227="","",J227-IF(L227="",0,L227))</f>
        <v/>
      </c>
      <c r="N227" s="24">
        <f>IF(J227="","",J227-TODAY())</f>
        <v/>
      </c>
      <c r="O227" s="9">
        <f>IF(E227="","",IF(J227="","No date",IF(N227&lt;0,"Expired",IF(N227&lt;=30,"Urgent",IF(N227&lt;=90,"Due soon","OK")))))</f>
        <v/>
      </c>
      <c r="P227" s="22" t="n"/>
      <c r="Q227" s="25" t="n"/>
      <c r="R227" s="22" t="n"/>
      <c r="S227" s="22" t="n"/>
      <c r="T227" s="23" t="n"/>
      <c r="U227" s="22">
        <f>IF(E227="","",IF(J227="","",N227+ROW()/100000))</f>
        <v/>
      </c>
    </row>
    <row r="228">
      <c r="A228" s="9">
        <f>IF(E228="","",COUNTA($E$5:E228))</f>
        <v/>
      </c>
      <c r="B228" s="22" t="n"/>
      <c r="C228" s="22" t="n"/>
      <c r="D228" s="22" t="n"/>
      <c r="E228" s="23" t="n"/>
      <c r="F228" s="23" t="n"/>
      <c r="G228" s="23" t="n"/>
      <c r="H228" s="22" t="n"/>
      <c r="I228" s="15" t="n"/>
      <c r="J228" s="15" t="n"/>
      <c r="K228" s="22" t="n"/>
      <c r="L228" s="22" t="n"/>
      <c r="M228" s="15">
        <f>IF(J228="","",J228-IF(L228="",0,L228))</f>
        <v/>
      </c>
      <c r="N228" s="24">
        <f>IF(J228="","",J228-TODAY())</f>
        <v/>
      </c>
      <c r="O228" s="9">
        <f>IF(E228="","",IF(J228="","No date",IF(N228&lt;0,"Expired",IF(N228&lt;=30,"Urgent",IF(N228&lt;=90,"Due soon","OK")))))</f>
        <v/>
      </c>
      <c r="P228" s="22" t="n"/>
      <c r="Q228" s="25" t="n"/>
      <c r="R228" s="22" t="n"/>
      <c r="S228" s="22" t="n"/>
      <c r="T228" s="23" t="n"/>
      <c r="U228" s="22">
        <f>IF(E228="","",IF(J228="","",N228+ROW()/100000))</f>
        <v/>
      </c>
    </row>
    <row r="229">
      <c r="A229" s="9">
        <f>IF(E229="","",COUNTA($E$5:E229))</f>
        <v/>
      </c>
      <c r="B229" s="22" t="n"/>
      <c r="C229" s="22" t="n"/>
      <c r="D229" s="22" t="n"/>
      <c r="E229" s="23" t="n"/>
      <c r="F229" s="23" t="n"/>
      <c r="G229" s="23" t="n"/>
      <c r="H229" s="22" t="n"/>
      <c r="I229" s="15" t="n"/>
      <c r="J229" s="15" t="n"/>
      <c r="K229" s="22" t="n"/>
      <c r="L229" s="22" t="n"/>
      <c r="M229" s="15">
        <f>IF(J229="","",J229-IF(L229="",0,L229))</f>
        <v/>
      </c>
      <c r="N229" s="24">
        <f>IF(J229="","",J229-TODAY())</f>
        <v/>
      </c>
      <c r="O229" s="9">
        <f>IF(E229="","",IF(J229="","No date",IF(N229&lt;0,"Expired",IF(N229&lt;=30,"Urgent",IF(N229&lt;=90,"Due soon","OK")))))</f>
        <v/>
      </c>
      <c r="P229" s="22" t="n"/>
      <c r="Q229" s="25" t="n"/>
      <c r="R229" s="22" t="n"/>
      <c r="S229" s="22" t="n"/>
      <c r="T229" s="23" t="n"/>
      <c r="U229" s="22">
        <f>IF(E229="","",IF(J229="","",N229+ROW()/100000))</f>
        <v/>
      </c>
    </row>
    <row r="230">
      <c r="A230" s="9">
        <f>IF(E230="","",COUNTA($E$5:E230))</f>
        <v/>
      </c>
      <c r="B230" s="22" t="n"/>
      <c r="C230" s="22" t="n"/>
      <c r="D230" s="22" t="n"/>
      <c r="E230" s="23" t="n"/>
      <c r="F230" s="23" t="n"/>
      <c r="G230" s="23" t="n"/>
      <c r="H230" s="22" t="n"/>
      <c r="I230" s="15" t="n"/>
      <c r="J230" s="15" t="n"/>
      <c r="K230" s="22" t="n"/>
      <c r="L230" s="22" t="n"/>
      <c r="M230" s="15">
        <f>IF(J230="","",J230-IF(L230="",0,L230))</f>
        <v/>
      </c>
      <c r="N230" s="24">
        <f>IF(J230="","",J230-TODAY())</f>
        <v/>
      </c>
      <c r="O230" s="9">
        <f>IF(E230="","",IF(J230="","No date",IF(N230&lt;0,"Expired",IF(N230&lt;=30,"Urgent",IF(N230&lt;=90,"Due soon","OK")))))</f>
        <v/>
      </c>
      <c r="P230" s="22" t="n"/>
      <c r="Q230" s="25" t="n"/>
      <c r="R230" s="22" t="n"/>
      <c r="S230" s="22" t="n"/>
      <c r="T230" s="23" t="n"/>
      <c r="U230" s="22">
        <f>IF(E230="","",IF(J230="","",N230+ROW()/100000))</f>
        <v/>
      </c>
    </row>
    <row r="231">
      <c r="A231" s="9">
        <f>IF(E231="","",COUNTA($E$5:E231))</f>
        <v/>
      </c>
      <c r="B231" s="22" t="n"/>
      <c r="C231" s="22" t="n"/>
      <c r="D231" s="22" t="n"/>
      <c r="E231" s="23" t="n"/>
      <c r="F231" s="23" t="n"/>
      <c r="G231" s="23" t="n"/>
      <c r="H231" s="22" t="n"/>
      <c r="I231" s="15" t="n"/>
      <c r="J231" s="15" t="n"/>
      <c r="K231" s="22" t="n"/>
      <c r="L231" s="22" t="n"/>
      <c r="M231" s="15">
        <f>IF(J231="","",J231-IF(L231="",0,L231))</f>
        <v/>
      </c>
      <c r="N231" s="24">
        <f>IF(J231="","",J231-TODAY())</f>
        <v/>
      </c>
      <c r="O231" s="9">
        <f>IF(E231="","",IF(J231="","No date",IF(N231&lt;0,"Expired",IF(N231&lt;=30,"Urgent",IF(N231&lt;=90,"Due soon","OK")))))</f>
        <v/>
      </c>
      <c r="P231" s="22" t="n"/>
      <c r="Q231" s="25" t="n"/>
      <c r="R231" s="22" t="n"/>
      <c r="S231" s="22" t="n"/>
      <c r="T231" s="23" t="n"/>
      <c r="U231" s="22">
        <f>IF(E231="","",IF(J231="","",N231+ROW()/100000))</f>
        <v/>
      </c>
    </row>
    <row r="232">
      <c r="A232" s="9">
        <f>IF(E232="","",COUNTA($E$5:E232))</f>
        <v/>
      </c>
      <c r="B232" s="22" t="n"/>
      <c r="C232" s="22" t="n"/>
      <c r="D232" s="22" t="n"/>
      <c r="E232" s="23" t="n"/>
      <c r="F232" s="23" t="n"/>
      <c r="G232" s="23" t="n"/>
      <c r="H232" s="22" t="n"/>
      <c r="I232" s="15" t="n"/>
      <c r="J232" s="15" t="n"/>
      <c r="K232" s="22" t="n"/>
      <c r="L232" s="22" t="n"/>
      <c r="M232" s="15">
        <f>IF(J232="","",J232-IF(L232="",0,L232))</f>
        <v/>
      </c>
      <c r="N232" s="24">
        <f>IF(J232="","",J232-TODAY())</f>
        <v/>
      </c>
      <c r="O232" s="9">
        <f>IF(E232="","",IF(J232="","No date",IF(N232&lt;0,"Expired",IF(N232&lt;=30,"Urgent",IF(N232&lt;=90,"Due soon","OK")))))</f>
        <v/>
      </c>
      <c r="P232" s="22" t="n"/>
      <c r="Q232" s="25" t="n"/>
      <c r="R232" s="22" t="n"/>
      <c r="S232" s="22" t="n"/>
      <c r="T232" s="23" t="n"/>
      <c r="U232" s="22">
        <f>IF(E232="","",IF(J232="","",N232+ROW()/100000))</f>
        <v/>
      </c>
    </row>
    <row r="233">
      <c r="A233" s="9">
        <f>IF(E233="","",COUNTA($E$5:E233))</f>
        <v/>
      </c>
      <c r="B233" s="22" t="n"/>
      <c r="C233" s="22" t="n"/>
      <c r="D233" s="22" t="n"/>
      <c r="E233" s="23" t="n"/>
      <c r="F233" s="23" t="n"/>
      <c r="G233" s="23" t="n"/>
      <c r="H233" s="22" t="n"/>
      <c r="I233" s="15" t="n"/>
      <c r="J233" s="15" t="n"/>
      <c r="K233" s="22" t="n"/>
      <c r="L233" s="22" t="n"/>
      <c r="M233" s="15">
        <f>IF(J233="","",J233-IF(L233="",0,L233))</f>
        <v/>
      </c>
      <c r="N233" s="24">
        <f>IF(J233="","",J233-TODAY())</f>
        <v/>
      </c>
      <c r="O233" s="9">
        <f>IF(E233="","",IF(J233="","No date",IF(N233&lt;0,"Expired",IF(N233&lt;=30,"Urgent",IF(N233&lt;=90,"Due soon","OK")))))</f>
        <v/>
      </c>
      <c r="P233" s="22" t="n"/>
      <c r="Q233" s="25" t="n"/>
      <c r="R233" s="22" t="n"/>
      <c r="S233" s="22" t="n"/>
      <c r="T233" s="23" t="n"/>
      <c r="U233" s="22">
        <f>IF(E233="","",IF(J233="","",N233+ROW()/100000))</f>
        <v/>
      </c>
    </row>
    <row r="234">
      <c r="A234" s="9">
        <f>IF(E234="","",COUNTA($E$5:E234))</f>
        <v/>
      </c>
      <c r="B234" s="22" t="n"/>
      <c r="C234" s="22" t="n"/>
      <c r="D234" s="22" t="n"/>
      <c r="E234" s="23" t="n"/>
      <c r="F234" s="23" t="n"/>
      <c r="G234" s="23" t="n"/>
      <c r="H234" s="22" t="n"/>
      <c r="I234" s="15" t="n"/>
      <c r="J234" s="15" t="n"/>
      <c r="K234" s="22" t="n"/>
      <c r="L234" s="22" t="n"/>
      <c r="M234" s="15">
        <f>IF(J234="","",J234-IF(L234="",0,L234))</f>
        <v/>
      </c>
      <c r="N234" s="24">
        <f>IF(J234="","",J234-TODAY())</f>
        <v/>
      </c>
      <c r="O234" s="9">
        <f>IF(E234="","",IF(J234="","No date",IF(N234&lt;0,"Expired",IF(N234&lt;=30,"Urgent",IF(N234&lt;=90,"Due soon","OK")))))</f>
        <v/>
      </c>
      <c r="P234" s="22" t="n"/>
      <c r="Q234" s="25" t="n"/>
      <c r="R234" s="22" t="n"/>
      <c r="S234" s="22" t="n"/>
      <c r="T234" s="23" t="n"/>
      <c r="U234" s="22">
        <f>IF(E234="","",IF(J234="","",N234+ROW()/100000))</f>
        <v/>
      </c>
    </row>
    <row r="235">
      <c r="A235" s="9">
        <f>IF(E235="","",COUNTA($E$5:E235))</f>
        <v/>
      </c>
      <c r="B235" s="22" t="n"/>
      <c r="C235" s="22" t="n"/>
      <c r="D235" s="22" t="n"/>
      <c r="E235" s="23" t="n"/>
      <c r="F235" s="23" t="n"/>
      <c r="G235" s="23" t="n"/>
      <c r="H235" s="22" t="n"/>
      <c r="I235" s="15" t="n"/>
      <c r="J235" s="15" t="n"/>
      <c r="K235" s="22" t="n"/>
      <c r="L235" s="22" t="n"/>
      <c r="M235" s="15">
        <f>IF(J235="","",J235-IF(L235="",0,L235))</f>
        <v/>
      </c>
      <c r="N235" s="24">
        <f>IF(J235="","",J235-TODAY())</f>
        <v/>
      </c>
      <c r="O235" s="9">
        <f>IF(E235="","",IF(J235="","No date",IF(N235&lt;0,"Expired",IF(N235&lt;=30,"Urgent",IF(N235&lt;=90,"Due soon","OK")))))</f>
        <v/>
      </c>
      <c r="P235" s="22" t="n"/>
      <c r="Q235" s="25" t="n"/>
      <c r="R235" s="22" t="n"/>
      <c r="S235" s="22" t="n"/>
      <c r="T235" s="23" t="n"/>
      <c r="U235" s="22">
        <f>IF(E235="","",IF(J235="","",N235+ROW()/100000))</f>
        <v/>
      </c>
    </row>
    <row r="236">
      <c r="A236" s="9">
        <f>IF(E236="","",COUNTA($E$5:E236))</f>
        <v/>
      </c>
      <c r="B236" s="22" t="n"/>
      <c r="C236" s="22" t="n"/>
      <c r="D236" s="22" t="n"/>
      <c r="E236" s="23" t="n"/>
      <c r="F236" s="23" t="n"/>
      <c r="G236" s="23" t="n"/>
      <c r="H236" s="22" t="n"/>
      <c r="I236" s="15" t="n"/>
      <c r="J236" s="15" t="n"/>
      <c r="K236" s="22" t="n"/>
      <c r="L236" s="22" t="n"/>
      <c r="M236" s="15">
        <f>IF(J236="","",J236-IF(L236="",0,L236))</f>
        <v/>
      </c>
      <c r="N236" s="24">
        <f>IF(J236="","",J236-TODAY())</f>
        <v/>
      </c>
      <c r="O236" s="9">
        <f>IF(E236="","",IF(J236="","No date",IF(N236&lt;0,"Expired",IF(N236&lt;=30,"Urgent",IF(N236&lt;=90,"Due soon","OK")))))</f>
        <v/>
      </c>
      <c r="P236" s="22" t="n"/>
      <c r="Q236" s="25" t="n"/>
      <c r="R236" s="22" t="n"/>
      <c r="S236" s="22" t="n"/>
      <c r="T236" s="23" t="n"/>
      <c r="U236" s="22">
        <f>IF(E236="","",IF(J236="","",N236+ROW()/100000))</f>
        <v/>
      </c>
    </row>
    <row r="237">
      <c r="A237" s="9">
        <f>IF(E237="","",COUNTA($E$5:E237))</f>
        <v/>
      </c>
      <c r="B237" s="22" t="n"/>
      <c r="C237" s="22" t="n"/>
      <c r="D237" s="22" t="n"/>
      <c r="E237" s="23" t="n"/>
      <c r="F237" s="23" t="n"/>
      <c r="G237" s="23" t="n"/>
      <c r="H237" s="22" t="n"/>
      <c r="I237" s="15" t="n"/>
      <c r="J237" s="15" t="n"/>
      <c r="K237" s="22" t="n"/>
      <c r="L237" s="22" t="n"/>
      <c r="M237" s="15">
        <f>IF(J237="","",J237-IF(L237="",0,L237))</f>
        <v/>
      </c>
      <c r="N237" s="24">
        <f>IF(J237="","",J237-TODAY())</f>
        <v/>
      </c>
      <c r="O237" s="9">
        <f>IF(E237="","",IF(J237="","No date",IF(N237&lt;0,"Expired",IF(N237&lt;=30,"Urgent",IF(N237&lt;=90,"Due soon","OK")))))</f>
        <v/>
      </c>
      <c r="P237" s="22" t="n"/>
      <c r="Q237" s="25" t="n"/>
      <c r="R237" s="22" t="n"/>
      <c r="S237" s="22" t="n"/>
      <c r="T237" s="23" t="n"/>
      <c r="U237" s="22">
        <f>IF(E237="","",IF(J237="","",N237+ROW()/100000))</f>
        <v/>
      </c>
    </row>
    <row r="238">
      <c r="A238" s="9">
        <f>IF(E238="","",COUNTA($E$5:E238))</f>
        <v/>
      </c>
      <c r="B238" s="22" t="n"/>
      <c r="C238" s="22" t="n"/>
      <c r="D238" s="22" t="n"/>
      <c r="E238" s="23" t="n"/>
      <c r="F238" s="23" t="n"/>
      <c r="G238" s="23" t="n"/>
      <c r="H238" s="22" t="n"/>
      <c r="I238" s="15" t="n"/>
      <c r="J238" s="15" t="n"/>
      <c r="K238" s="22" t="n"/>
      <c r="L238" s="22" t="n"/>
      <c r="M238" s="15">
        <f>IF(J238="","",J238-IF(L238="",0,L238))</f>
        <v/>
      </c>
      <c r="N238" s="24">
        <f>IF(J238="","",J238-TODAY())</f>
        <v/>
      </c>
      <c r="O238" s="9">
        <f>IF(E238="","",IF(J238="","No date",IF(N238&lt;0,"Expired",IF(N238&lt;=30,"Urgent",IF(N238&lt;=90,"Due soon","OK")))))</f>
        <v/>
      </c>
      <c r="P238" s="22" t="n"/>
      <c r="Q238" s="25" t="n"/>
      <c r="R238" s="22" t="n"/>
      <c r="S238" s="22" t="n"/>
      <c r="T238" s="23" t="n"/>
      <c r="U238" s="22">
        <f>IF(E238="","",IF(J238="","",N238+ROW()/100000))</f>
        <v/>
      </c>
    </row>
    <row r="239">
      <c r="A239" s="9">
        <f>IF(E239="","",COUNTA($E$5:E239))</f>
        <v/>
      </c>
      <c r="B239" s="22" t="n"/>
      <c r="C239" s="22" t="n"/>
      <c r="D239" s="22" t="n"/>
      <c r="E239" s="23" t="n"/>
      <c r="F239" s="23" t="n"/>
      <c r="G239" s="23" t="n"/>
      <c r="H239" s="22" t="n"/>
      <c r="I239" s="15" t="n"/>
      <c r="J239" s="15" t="n"/>
      <c r="K239" s="22" t="n"/>
      <c r="L239" s="22" t="n"/>
      <c r="M239" s="15">
        <f>IF(J239="","",J239-IF(L239="",0,L239))</f>
        <v/>
      </c>
      <c r="N239" s="24">
        <f>IF(J239="","",J239-TODAY())</f>
        <v/>
      </c>
      <c r="O239" s="9">
        <f>IF(E239="","",IF(J239="","No date",IF(N239&lt;0,"Expired",IF(N239&lt;=30,"Urgent",IF(N239&lt;=90,"Due soon","OK")))))</f>
        <v/>
      </c>
      <c r="P239" s="22" t="n"/>
      <c r="Q239" s="25" t="n"/>
      <c r="R239" s="22" t="n"/>
      <c r="S239" s="22" t="n"/>
      <c r="T239" s="23" t="n"/>
      <c r="U239" s="22">
        <f>IF(E239="","",IF(J239="","",N239+ROW()/100000))</f>
        <v/>
      </c>
    </row>
    <row r="240">
      <c r="A240" s="9">
        <f>IF(E240="","",COUNTA($E$5:E240))</f>
        <v/>
      </c>
      <c r="B240" s="22" t="n"/>
      <c r="C240" s="22" t="n"/>
      <c r="D240" s="22" t="n"/>
      <c r="E240" s="23" t="n"/>
      <c r="F240" s="23" t="n"/>
      <c r="G240" s="23" t="n"/>
      <c r="H240" s="22" t="n"/>
      <c r="I240" s="15" t="n"/>
      <c r="J240" s="15" t="n"/>
      <c r="K240" s="22" t="n"/>
      <c r="L240" s="22" t="n"/>
      <c r="M240" s="15">
        <f>IF(J240="","",J240-IF(L240="",0,L240))</f>
        <v/>
      </c>
      <c r="N240" s="24">
        <f>IF(J240="","",J240-TODAY())</f>
        <v/>
      </c>
      <c r="O240" s="9">
        <f>IF(E240="","",IF(J240="","No date",IF(N240&lt;0,"Expired",IF(N240&lt;=30,"Urgent",IF(N240&lt;=90,"Due soon","OK")))))</f>
        <v/>
      </c>
      <c r="P240" s="22" t="n"/>
      <c r="Q240" s="25" t="n"/>
      <c r="R240" s="22" t="n"/>
      <c r="S240" s="22" t="n"/>
      <c r="T240" s="23" t="n"/>
      <c r="U240" s="22">
        <f>IF(E240="","",IF(J240="","",N240+ROW()/100000))</f>
        <v/>
      </c>
    </row>
    <row r="241">
      <c r="A241" s="9">
        <f>IF(E241="","",COUNTA($E$5:E241))</f>
        <v/>
      </c>
      <c r="B241" s="22" t="n"/>
      <c r="C241" s="22" t="n"/>
      <c r="D241" s="22" t="n"/>
      <c r="E241" s="23" t="n"/>
      <c r="F241" s="23" t="n"/>
      <c r="G241" s="23" t="n"/>
      <c r="H241" s="22" t="n"/>
      <c r="I241" s="15" t="n"/>
      <c r="J241" s="15" t="n"/>
      <c r="K241" s="22" t="n"/>
      <c r="L241" s="22" t="n"/>
      <c r="M241" s="15">
        <f>IF(J241="","",J241-IF(L241="",0,L241))</f>
        <v/>
      </c>
      <c r="N241" s="24">
        <f>IF(J241="","",J241-TODAY())</f>
        <v/>
      </c>
      <c r="O241" s="9">
        <f>IF(E241="","",IF(J241="","No date",IF(N241&lt;0,"Expired",IF(N241&lt;=30,"Urgent",IF(N241&lt;=90,"Due soon","OK")))))</f>
        <v/>
      </c>
      <c r="P241" s="22" t="n"/>
      <c r="Q241" s="25" t="n"/>
      <c r="R241" s="22" t="n"/>
      <c r="S241" s="22" t="n"/>
      <c r="T241" s="23" t="n"/>
      <c r="U241" s="22">
        <f>IF(E241="","",IF(J241="","",N241+ROW()/100000))</f>
        <v/>
      </c>
    </row>
    <row r="242">
      <c r="A242" s="9">
        <f>IF(E242="","",COUNTA($E$5:E242))</f>
        <v/>
      </c>
      <c r="B242" s="22" t="n"/>
      <c r="C242" s="22" t="n"/>
      <c r="D242" s="22" t="n"/>
      <c r="E242" s="23" t="n"/>
      <c r="F242" s="23" t="n"/>
      <c r="G242" s="23" t="n"/>
      <c r="H242" s="22" t="n"/>
      <c r="I242" s="15" t="n"/>
      <c r="J242" s="15" t="n"/>
      <c r="K242" s="22" t="n"/>
      <c r="L242" s="22" t="n"/>
      <c r="M242" s="15">
        <f>IF(J242="","",J242-IF(L242="",0,L242))</f>
        <v/>
      </c>
      <c r="N242" s="24">
        <f>IF(J242="","",J242-TODAY())</f>
        <v/>
      </c>
      <c r="O242" s="9">
        <f>IF(E242="","",IF(J242="","No date",IF(N242&lt;0,"Expired",IF(N242&lt;=30,"Urgent",IF(N242&lt;=90,"Due soon","OK")))))</f>
        <v/>
      </c>
      <c r="P242" s="22" t="n"/>
      <c r="Q242" s="25" t="n"/>
      <c r="R242" s="22" t="n"/>
      <c r="S242" s="22" t="n"/>
      <c r="T242" s="23" t="n"/>
      <c r="U242" s="22">
        <f>IF(E242="","",IF(J242="","",N242+ROW()/100000))</f>
        <v/>
      </c>
    </row>
    <row r="243">
      <c r="A243" s="9">
        <f>IF(E243="","",COUNTA($E$5:E243))</f>
        <v/>
      </c>
      <c r="B243" s="22" t="n"/>
      <c r="C243" s="22" t="n"/>
      <c r="D243" s="22" t="n"/>
      <c r="E243" s="23" t="n"/>
      <c r="F243" s="23" t="n"/>
      <c r="G243" s="23" t="n"/>
      <c r="H243" s="22" t="n"/>
      <c r="I243" s="15" t="n"/>
      <c r="J243" s="15" t="n"/>
      <c r="K243" s="22" t="n"/>
      <c r="L243" s="22" t="n"/>
      <c r="M243" s="15">
        <f>IF(J243="","",J243-IF(L243="",0,L243))</f>
        <v/>
      </c>
      <c r="N243" s="24">
        <f>IF(J243="","",J243-TODAY())</f>
        <v/>
      </c>
      <c r="O243" s="9">
        <f>IF(E243="","",IF(J243="","No date",IF(N243&lt;0,"Expired",IF(N243&lt;=30,"Urgent",IF(N243&lt;=90,"Due soon","OK")))))</f>
        <v/>
      </c>
      <c r="P243" s="22" t="n"/>
      <c r="Q243" s="25" t="n"/>
      <c r="R243" s="22" t="n"/>
      <c r="S243" s="22" t="n"/>
      <c r="T243" s="23" t="n"/>
      <c r="U243" s="22">
        <f>IF(E243="","",IF(J243="","",N243+ROW()/100000))</f>
        <v/>
      </c>
    </row>
    <row r="244">
      <c r="A244" s="9">
        <f>IF(E244="","",COUNTA($E$5:E244))</f>
        <v/>
      </c>
      <c r="B244" s="22" t="n"/>
      <c r="C244" s="22" t="n"/>
      <c r="D244" s="22" t="n"/>
      <c r="E244" s="23" t="n"/>
      <c r="F244" s="23" t="n"/>
      <c r="G244" s="23" t="n"/>
      <c r="H244" s="22" t="n"/>
      <c r="I244" s="15" t="n"/>
      <c r="J244" s="15" t="n"/>
      <c r="K244" s="22" t="n"/>
      <c r="L244" s="22" t="n"/>
      <c r="M244" s="15">
        <f>IF(J244="","",J244-IF(L244="",0,L244))</f>
        <v/>
      </c>
      <c r="N244" s="24">
        <f>IF(J244="","",J244-TODAY())</f>
        <v/>
      </c>
      <c r="O244" s="9">
        <f>IF(E244="","",IF(J244="","No date",IF(N244&lt;0,"Expired",IF(N244&lt;=30,"Urgent",IF(N244&lt;=90,"Due soon","OK")))))</f>
        <v/>
      </c>
      <c r="P244" s="22" t="n"/>
      <c r="Q244" s="25" t="n"/>
      <c r="R244" s="22" t="n"/>
      <c r="S244" s="22" t="n"/>
      <c r="T244" s="23" t="n"/>
      <c r="U244" s="22">
        <f>IF(E244="","",IF(J244="","",N244+ROW()/100000))</f>
        <v/>
      </c>
    </row>
    <row r="245">
      <c r="A245" s="9">
        <f>IF(E245="","",COUNTA($E$5:E245))</f>
        <v/>
      </c>
      <c r="B245" s="22" t="n"/>
      <c r="C245" s="22" t="n"/>
      <c r="D245" s="22" t="n"/>
      <c r="E245" s="23" t="n"/>
      <c r="F245" s="23" t="n"/>
      <c r="G245" s="23" t="n"/>
      <c r="H245" s="22" t="n"/>
      <c r="I245" s="15" t="n"/>
      <c r="J245" s="15" t="n"/>
      <c r="K245" s="22" t="n"/>
      <c r="L245" s="22" t="n"/>
      <c r="M245" s="15">
        <f>IF(J245="","",J245-IF(L245="",0,L245))</f>
        <v/>
      </c>
      <c r="N245" s="24">
        <f>IF(J245="","",J245-TODAY())</f>
        <v/>
      </c>
      <c r="O245" s="9">
        <f>IF(E245="","",IF(J245="","No date",IF(N245&lt;0,"Expired",IF(N245&lt;=30,"Urgent",IF(N245&lt;=90,"Due soon","OK")))))</f>
        <v/>
      </c>
      <c r="P245" s="22" t="n"/>
      <c r="Q245" s="25" t="n"/>
      <c r="R245" s="22" t="n"/>
      <c r="S245" s="22" t="n"/>
      <c r="T245" s="23" t="n"/>
      <c r="U245" s="22">
        <f>IF(E245="","",IF(J245="","",N245+ROW()/100000))</f>
        <v/>
      </c>
    </row>
    <row r="246">
      <c r="A246" s="9">
        <f>IF(E246="","",COUNTA($E$5:E246))</f>
        <v/>
      </c>
      <c r="B246" s="22" t="n"/>
      <c r="C246" s="22" t="n"/>
      <c r="D246" s="22" t="n"/>
      <c r="E246" s="23" t="n"/>
      <c r="F246" s="23" t="n"/>
      <c r="G246" s="23" t="n"/>
      <c r="H246" s="22" t="n"/>
      <c r="I246" s="15" t="n"/>
      <c r="J246" s="15" t="n"/>
      <c r="K246" s="22" t="n"/>
      <c r="L246" s="22" t="n"/>
      <c r="M246" s="15">
        <f>IF(J246="","",J246-IF(L246="",0,L246))</f>
        <v/>
      </c>
      <c r="N246" s="24">
        <f>IF(J246="","",J246-TODAY())</f>
        <v/>
      </c>
      <c r="O246" s="9">
        <f>IF(E246="","",IF(J246="","No date",IF(N246&lt;0,"Expired",IF(N246&lt;=30,"Urgent",IF(N246&lt;=90,"Due soon","OK")))))</f>
        <v/>
      </c>
      <c r="P246" s="22" t="n"/>
      <c r="Q246" s="25" t="n"/>
      <c r="R246" s="22" t="n"/>
      <c r="S246" s="22" t="n"/>
      <c r="T246" s="23" t="n"/>
      <c r="U246" s="22">
        <f>IF(E246="","",IF(J246="","",N246+ROW()/100000))</f>
        <v/>
      </c>
    </row>
    <row r="247">
      <c r="A247" s="9">
        <f>IF(E247="","",COUNTA($E$5:E247))</f>
        <v/>
      </c>
      <c r="B247" s="22" t="n"/>
      <c r="C247" s="22" t="n"/>
      <c r="D247" s="22" t="n"/>
      <c r="E247" s="23" t="n"/>
      <c r="F247" s="23" t="n"/>
      <c r="G247" s="23" t="n"/>
      <c r="H247" s="22" t="n"/>
      <c r="I247" s="15" t="n"/>
      <c r="J247" s="15" t="n"/>
      <c r="K247" s="22" t="n"/>
      <c r="L247" s="22" t="n"/>
      <c r="M247" s="15">
        <f>IF(J247="","",J247-IF(L247="",0,L247))</f>
        <v/>
      </c>
      <c r="N247" s="24">
        <f>IF(J247="","",J247-TODAY())</f>
        <v/>
      </c>
      <c r="O247" s="9">
        <f>IF(E247="","",IF(J247="","No date",IF(N247&lt;0,"Expired",IF(N247&lt;=30,"Urgent",IF(N247&lt;=90,"Due soon","OK")))))</f>
        <v/>
      </c>
      <c r="P247" s="22" t="n"/>
      <c r="Q247" s="25" t="n"/>
      <c r="R247" s="22" t="n"/>
      <c r="S247" s="22" t="n"/>
      <c r="T247" s="23" t="n"/>
      <c r="U247" s="22">
        <f>IF(E247="","",IF(J247="","",N247+ROW()/100000))</f>
        <v/>
      </c>
    </row>
    <row r="248">
      <c r="A248" s="9">
        <f>IF(E248="","",COUNTA($E$5:E248))</f>
        <v/>
      </c>
      <c r="B248" s="22" t="n"/>
      <c r="C248" s="22" t="n"/>
      <c r="D248" s="22" t="n"/>
      <c r="E248" s="23" t="n"/>
      <c r="F248" s="23" t="n"/>
      <c r="G248" s="23" t="n"/>
      <c r="H248" s="22" t="n"/>
      <c r="I248" s="15" t="n"/>
      <c r="J248" s="15" t="n"/>
      <c r="K248" s="22" t="n"/>
      <c r="L248" s="22" t="n"/>
      <c r="M248" s="15">
        <f>IF(J248="","",J248-IF(L248="",0,L248))</f>
        <v/>
      </c>
      <c r="N248" s="24">
        <f>IF(J248="","",J248-TODAY())</f>
        <v/>
      </c>
      <c r="O248" s="9">
        <f>IF(E248="","",IF(J248="","No date",IF(N248&lt;0,"Expired",IF(N248&lt;=30,"Urgent",IF(N248&lt;=90,"Due soon","OK")))))</f>
        <v/>
      </c>
      <c r="P248" s="22" t="n"/>
      <c r="Q248" s="25" t="n"/>
      <c r="R248" s="22" t="n"/>
      <c r="S248" s="22" t="n"/>
      <c r="T248" s="23" t="n"/>
      <c r="U248" s="22">
        <f>IF(E248="","",IF(J248="","",N248+ROW()/100000))</f>
        <v/>
      </c>
    </row>
    <row r="249">
      <c r="A249" s="9">
        <f>IF(E249="","",COUNTA($E$5:E249))</f>
        <v/>
      </c>
      <c r="B249" s="22" t="n"/>
      <c r="C249" s="22" t="n"/>
      <c r="D249" s="22" t="n"/>
      <c r="E249" s="23" t="n"/>
      <c r="F249" s="23" t="n"/>
      <c r="G249" s="23" t="n"/>
      <c r="H249" s="22" t="n"/>
      <c r="I249" s="15" t="n"/>
      <c r="J249" s="15" t="n"/>
      <c r="K249" s="22" t="n"/>
      <c r="L249" s="22" t="n"/>
      <c r="M249" s="15">
        <f>IF(J249="","",J249-IF(L249="",0,L249))</f>
        <v/>
      </c>
      <c r="N249" s="24">
        <f>IF(J249="","",J249-TODAY())</f>
        <v/>
      </c>
      <c r="O249" s="9">
        <f>IF(E249="","",IF(J249="","No date",IF(N249&lt;0,"Expired",IF(N249&lt;=30,"Urgent",IF(N249&lt;=90,"Due soon","OK")))))</f>
        <v/>
      </c>
      <c r="P249" s="22" t="n"/>
      <c r="Q249" s="25" t="n"/>
      <c r="R249" s="22" t="n"/>
      <c r="S249" s="22" t="n"/>
      <c r="T249" s="23" t="n"/>
      <c r="U249" s="22">
        <f>IF(E249="","",IF(J249="","",N249+ROW()/100000))</f>
        <v/>
      </c>
    </row>
    <row r="250">
      <c r="A250" s="9">
        <f>IF(E250="","",COUNTA($E$5:E250))</f>
        <v/>
      </c>
      <c r="B250" s="22" t="n"/>
      <c r="C250" s="22" t="n"/>
      <c r="D250" s="22" t="n"/>
      <c r="E250" s="23" t="n"/>
      <c r="F250" s="23" t="n"/>
      <c r="G250" s="23" t="n"/>
      <c r="H250" s="22" t="n"/>
      <c r="I250" s="15" t="n"/>
      <c r="J250" s="15" t="n"/>
      <c r="K250" s="22" t="n"/>
      <c r="L250" s="22" t="n"/>
      <c r="M250" s="15">
        <f>IF(J250="","",J250-IF(L250="",0,L250))</f>
        <v/>
      </c>
      <c r="N250" s="24">
        <f>IF(J250="","",J250-TODAY())</f>
        <v/>
      </c>
      <c r="O250" s="9">
        <f>IF(E250="","",IF(J250="","No date",IF(N250&lt;0,"Expired",IF(N250&lt;=30,"Urgent",IF(N250&lt;=90,"Due soon","OK")))))</f>
        <v/>
      </c>
      <c r="P250" s="22" t="n"/>
      <c r="Q250" s="25" t="n"/>
      <c r="R250" s="22" t="n"/>
      <c r="S250" s="22" t="n"/>
      <c r="T250" s="23" t="n"/>
      <c r="U250" s="22">
        <f>IF(E250="","",IF(J250="","",N250+ROW()/100000))</f>
        <v/>
      </c>
    </row>
    <row r="251">
      <c r="A251" s="9">
        <f>IF(E251="","",COUNTA($E$5:E251))</f>
        <v/>
      </c>
      <c r="B251" s="22" t="n"/>
      <c r="C251" s="22" t="n"/>
      <c r="D251" s="22" t="n"/>
      <c r="E251" s="23" t="n"/>
      <c r="F251" s="23" t="n"/>
      <c r="G251" s="23" t="n"/>
      <c r="H251" s="22" t="n"/>
      <c r="I251" s="15" t="n"/>
      <c r="J251" s="15" t="n"/>
      <c r="K251" s="22" t="n"/>
      <c r="L251" s="22" t="n"/>
      <c r="M251" s="15">
        <f>IF(J251="","",J251-IF(L251="",0,L251))</f>
        <v/>
      </c>
      <c r="N251" s="24">
        <f>IF(J251="","",J251-TODAY())</f>
        <v/>
      </c>
      <c r="O251" s="9">
        <f>IF(E251="","",IF(J251="","No date",IF(N251&lt;0,"Expired",IF(N251&lt;=30,"Urgent",IF(N251&lt;=90,"Due soon","OK")))))</f>
        <v/>
      </c>
      <c r="P251" s="22" t="n"/>
      <c r="Q251" s="25" t="n"/>
      <c r="R251" s="22" t="n"/>
      <c r="S251" s="22" t="n"/>
      <c r="T251" s="23" t="n"/>
      <c r="U251" s="22">
        <f>IF(E251="","",IF(J251="","",N251+ROW()/100000))</f>
        <v/>
      </c>
    </row>
    <row r="252">
      <c r="A252" s="9">
        <f>IF(E252="","",COUNTA($E$5:E252))</f>
        <v/>
      </c>
      <c r="B252" s="22" t="n"/>
      <c r="C252" s="22" t="n"/>
      <c r="D252" s="22" t="n"/>
      <c r="E252" s="23" t="n"/>
      <c r="F252" s="23" t="n"/>
      <c r="G252" s="23" t="n"/>
      <c r="H252" s="22" t="n"/>
      <c r="I252" s="15" t="n"/>
      <c r="J252" s="15" t="n"/>
      <c r="K252" s="22" t="n"/>
      <c r="L252" s="22" t="n"/>
      <c r="M252" s="15">
        <f>IF(J252="","",J252-IF(L252="",0,L252))</f>
        <v/>
      </c>
      <c r="N252" s="24">
        <f>IF(J252="","",J252-TODAY())</f>
        <v/>
      </c>
      <c r="O252" s="9">
        <f>IF(E252="","",IF(J252="","No date",IF(N252&lt;0,"Expired",IF(N252&lt;=30,"Urgent",IF(N252&lt;=90,"Due soon","OK")))))</f>
        <v/>
      </c>
      <c r="P252" s="22" t="n"/>
      <c r="Q252" s="25" t="n"/>
      <c r="R252" s="22" t="n"/>
      <c r="S252" s="22" t="n"/>
      <c r="T252" s="23" t="n"/>
      <c r="U252" s="22">
        <f>IF(E252="","",IF(J252="","",N252+ROW()/100000))</f>
        <v/>
      </c>
    </row>
    <row r="253">
      <c r="A253" s="9">
        <f>IF(E253="","",COUNTA($E$5:E253))</f>
        <v/>
      </c>
      <c r="B253" s="22" t="n"/>
      <c r="C253" s="22" t="n"/>
      <c r="D253" s="22" t="n"/>
      <c r="E253" s="23" t="n"/>
      <c r="F253" s="23" t="n"/>
      <c r="G253" s="23" t="n"/>
      <c r="H253" s="22" t="n"/>
      <c r="I253" s="15" t="n"/>
      <c r="J253" s="15" t="n"/>
      <c r="K253" s="22" t="n"/>
      <c r="L253" s="22" t="n"/>
      <c r="M253" s="15">
        <f>IF(J253="","",J253-IF(L253="",0,L253))</f>
        <v/>
      </c>
      <c r="N253" s="24">
        <f>IF(J253="","",J253-TODAY())</f>
        <v/>
      </c>
      <c r="O253" s="9">
        <f>IF(E253="","",IF(J253="","No date",IF(N253&lt;0,"Expired",IF(N253&lt;=30,"Urgent",IF(N253&lt;=90,"Due soon","OK")))))</f>
        <v/>
      </c>
      <c r="P253" s="22" t="n"/>
      <c r="Q253" s="25" t="n"/>
      <c r="R253" s="22" t="n"/>
      <c r="S253" s="22" t="n"/>
      <c r="T253" s="23" t="n"/>
      <c r="U253" s="22">
        <f>IF(E253="","",IF(J253="","",N253+ROW()/100000))</f>
        <v/>
      </c>
    </row>
    <row r="254">
      <c r="A254" s="9">
        <f>IF(E254="","",COUNTA($E$5:E254))</f>
        <v/>
      </c>
      <c r="B254" s="22" t="n"/>
      <c r="C254" s="22" t="n"/>
      <c r="D254" s="22" t="n"/>
      <c r="E254" s="23" t="n"/>
      <c r="F254" s="23" t="n"/>
      <c r="G254" s="23" t="n"/>
      <c r="H254" s="22" t="n"/>
      <c r="I254" s="15" t="n"/>
      <c r="J254" s="15" t="n"/>
      <c r="K254" s="22" t="n"/>
      <c r="L254" s="22" t="n"/>
      <c r="M254" s="15">
        <f>IF(J254="","",J254-IF(L254="",0,L254))</f>
        <v/>
      </c>
      <c r="N254" s="24">
        <f>IF(J254="","",J254-TODAY())</f>
        <v/>
      </c>
      <c r="O254" s="9">
        <f>IF(E254="","",IF(J254="","No date",IF(N254&lt;0,"Expired",IF(N254&lt;=30,"Urgent",IF(N254&lt;=90,"Due soon","OK")))))</f>
        <v/>
      </c>
      <c r="P254" s="22" t="n"/>
      <c r="Q254" s="25" t="n"/>
      <c r="R254" s="22" t="n"/>
      <c r="S254" s="22" t="n"/>
      <c r="T254" s="23" t="n"/>
      <c r="U254" s="22">
        <f>IF(E254="","",IF(J254="","",N254+ROW()/100000))</f>
        <v/>
      </c>
    </row>
    <row r="255">
      <c r="A255" s="9">
        <f>IF(E255="","",COUNTA($E$5:E255))</f>
        <v/>
      </c>
      <c r="B255" s="22" t="n"/>
      <c r="C255" s="22" t="n"/>
      <c r="D255" s="22" t="n"/>
      <c r="E255" s="23" t="n"/>
      <c r="F255" s="23" t="n"/>
      <c r="G255" s="23" t="n"/>
      <c r="H255" s="22" t="n"/>
      <c r="I255" s="15" t="n"/>
      <c r="J255" s="15" t="n"/>
      <c r="K255" s="22" t="n"/>
      <c r="L255" s="22" t="n"/>
      <c r="M255" s="15">
        <f>IF(J255="","",J255-IF(L255="",0,L255))</f>
        <v/>
      </c>
      <c r="N255" s="24">
        <f>IF(J255="","",J255-TODAY())</f>
        <v/>
      </c>
      <c r="O255" s="9">
        <f>IF(E255="","",IF(J255="","No date",IF(N255&lt;0,"Expired",IF(N255&lt;=30,"Urgent",IF(N255&lt;=90,"Due soon","OK")))))</f>
        <v/>
      </c>
      <c r="P255" s="22" t="n"/>
      <c r="Q255" s="25" t="n"/>
      <c r="R255" s="22" t="n"/>
      <c r="S255" s="22" t="n"/>
      <c r="T255" s="23" t="n"/>
      <c r="U255" s="22">
        <f>IF(E255="","",IF(J255="","",N255+ROW()/100000))</f>
        <v/>
      </c>
    </row>
    <row r="256">
      <c r="A256" s="9">
        <f>IF(E256="","",COUNTA($E$5:E256))</f>
        <v/>
      </c>
      <c r="B256" s="22" t="n"/>
      <c r="C256" s="22" t="n"/>
      <c r="D256" s="22" t="n"/>
      <c r="E256" s="23" t="n"/>
      <c r="F256" s="23" t="n"/>
      <c r="G256" s="23" t="n"/>
      <c r="H256" s="22" t="n"/>
      <c r="I256" s="15" t="n"/>
      <c r="J256" s="15" t="n"/>
      <c r="K256" s="22" t="n"/>
      <c r="L256" s="22" t="n"/>
      <c r="M256" s="15">
        <f>IF(J256="","",J256-IF(L256="",0,L256))</f>
        <v/>
      </c>
      <c r="N256" s="24">
        <f>IF(J256="","",J256-TODAY())</f>
        <v/>
      </c>
      <c r="O256" s="9">
        <f>IF(E256="","",IF(J256="","No date",IF(N256&lt;0,"Expired",IF(N256&lt;=30,"Urgent",IF(N256&lt;=90,"Due soon","OK")))))</f>
        <v/>
      </c>
      <c r="P256" s="22" t="n"/>
      <c r="Q256" s="25" t="n"/>
      <c r="R256" s="22" t="n"/>
      <c r="S256" s="22" t="n"/>
      <c r="T256" s="23" t="n"/>
      <c r="U256" s="22">
        <f>IF(E256="","",IF(J256="","",N256+ROW()/100000))</f>
        <v/>
      </c>
    </row>
    <row r="257">
      <c r="A257" s="9">
        <f>IF(E257="","",COUNTA($E$5:E257))</f>
        <v/>
      </c>
      <c r="B257" s="22" t="n"/>
      <c r="C257" s="22" t="n"/>
      <c r="D257" s="22" t="n"/>
      <c r="E257" s="23" t="n"/>
      <c r="F257" s="23" t="n"/>
      <c r="G257" s="23" t="n"/>
      <c r="H257" s="22" t="n"/>
      <c r="I257" s="15" t="n"/>
      <c r="J257" s="15" t="n"/>
      <c r="K257" s="22" t="n"/>
      <c r="L257" s="22" t="n"/>
      <c r="M257" s="15">
        <f>IF(J257="","",J257-IF(L257="",0,L257))</f>
        <v/>
      </c>
      <c r="N257" s="24">
        <f>IF(J257="","",J257-TODAY())</f>
        <v/>
      </c>
      <c r="O257" s="9">
        <f>IF(E257="","",IF(J257="","No date",IF(N257&lt;0,"Expired",IF(N257&lt;=30,"Urgent",IF(N257&lt;=90,"Due soon","OK")))))</f>
        <v/>
      </c>
      <c r="P257" s="22" t="n"/>
      <c r="Q257" s="25" t="n"/>
      <c r="R257" s="22" t="n"/>
      <c r="S257" s="22" t="n"/>
      <c r="T257" s="23" t="n"/>
      <c r="U257" s="22">
        <f>IF(E257="","",IF(J257="","",N257+ROW()/100000))</f>
        <v/>
      </c>
    </row>
    <row r="258">
      <c r="A258" s="9">
        <f>IF(E258="","",COUNTA($E$5:E258))</f>
        <v/>
      </c>
      <c r="B258" s="22" t="n"/>
      <c r="C258" s="22" t="n"/>
      <c r="D258" s="22" t="n"/>
      <c r="E258" s="23" t="n"/>
      <c r="F258" s="23" t="n"/>
      <c r="G258" s="23" t="n"/>
      <c r="H258" s="22" t="n"/>
      <c r="I258" s="15" t="n"/>
      <c r="J258" s="15" t="n"/>
      <c r="K258" s="22" t="n"/>
      <c r="L258" s="22" t="n"/>
      <c r="M258" s="15">
        <f>IF(J258="","",J258-IF(L258="",0,L258))</f>
        <v/>
      </c>
      <c r="N258" s="24">
        <f>IF(J258="","",J258-TODAY())</f>
        <v/>
      </c>
      <c r="O258" s="9">
        <f>IF(E258="","",IF(J258="","No date",IF(N258&lt;0,"Expired",IF(N258&lt;=30,"Urgent",IF(N258&lt;=90,"Due soon","OK")))))</f>
        <v/>
      </c>
      <c r="P258" s="22" t="n"/>
      <c r="Q258" s="25" t="n"/>
      <c r="R258" s="22" t="n"/>
      <c r="S258" s="22" t="n"/>
      <c r="T258" s="23" t="n"/>
      <c r="U258" s="22">
        <f>IF(E258="","",IF(J258="","",N258+ROW()/100000))</f>
        <v/>
      </c>
    </row>
    <row r="259">
      <c r="A259" s="9">
        <f>IF(E259="","",COUNTA($E$5:E259))</f>
        <v/>
      </c>
      <c r="B259" s="22" t="n"/>
      <c r="C259" s="22" t="n"/>
      <c r="D259" s="22" t="n"/>
      <c r="E259" s="23" t="n"/>
      <c r="F259" s="23" t="n"/>
      <c r="G259" s="23" t="n"/>
      <c r="H259" s="22" t="n"/>
      <c r="I259" s="15" t="n"/>
      <c r="J259" s="15" t="n"/>
      <c r="K259" s="22" t="n"/>
      <c r="L259" s="22" t="n"/>
      <c r="M259" s="15">
        <f>IF(J259="","",J259-IF(L259="",0,L259))</f>
        <v/>
      </c>
      <c r="N259" s="24">
        <f>IF(J259="","",J259-TODAY())</f>
        <v/>
      </c>
      <c r="O259" s="9">
        <f>IF(E259="","",IF(J259="","No date",IF(N259&lt;0,"Expired",IF(N259&lt;=30,"Urgent",IF(N259&lt;=90,"Due soon","OK")))))</f>
        <v/>
      </c>
      <c r="P259" s="22" t="n"/>
      <c r="Q259" s="25" t="n"/>
      <c r="R259" s="22" t="n"/>
      <c r="S259" s="22" t="n"/>
      <c r="T259" s="23" t="n"/>
      <c r="U259" s="22">
        <f>IF(E259="","",IF(J259="","",N259+ROW()/100000))</f>
        <v/>
      </c>
    </row>
    <row r="260">
      <c r="A260" s="9">
        <f>IF(E260="","",COUNTA($E$5:E260))</f>
        <v/>
      </c>
      <c r="B260" s="22" t="n"/>
      <c r="C260" s="22" t="n"/>
      <c r="D260" s="22" t="n"/>
      <c r="E260" s="23" t="n"/>
      <c r="F260" s="23" t="n"/>
      <c r="G260" s="23" t="n"/>
      <c r="H260" s="22" t="n"/>
      <c r="I260" s="15" t="n"/>
      <c r="J260" s="15" t="n"/>
      <c r="K260" s="22" t="n"/>
      <c r="L260" s="22" t="n"/>
      <c r="M260" s="15">
        <f>IF(J260="","",J260-IF(L260="",0,L260))</f>
        <v/>
      </c>
      <c r="N260" s="24">
        <f>IF(J260="","",J260-TODAY())</f>
        <v/>
      </c>
      <c r="O260" s="9">
        <f>IF(E260="","",IF(J260="","No date",IF(N260&lt;0,"Expired",IF(N260&lt;=30,"Urgent",IF(N260&lt;=90,"Due soon","OK")))))</f>
        <v/>
      </c>
      <c r="P260" s="22" t="n"/>
      <c r="Q260" s="25" t="n"/>
      <c r="R260" s="22" t="n"/>
      <c r="S260" s="22" t="n"/>
      <c r="T260" s="23" t="n"/>
      <c r="U260" s="22">
        <f>IF(E260="","",IF(J260="","",N260+ROW()/100000))</f>
        <v/>
      </c>
    </row>
    <row r="261">
      <c r="A261" s="9">
        <f>IF(E261="","",COUNTA($E$5:E261))</f>
        <v/>
      </c>
      <c r="B261" s="22" t="n"/>
      <c r="C261" s="22" t="n"/>
      <c r="D261" s="22" t="n"/>
      <c r="E261" s="23" t="n"/>
      <c r="F261" s="23" t="n"/>
      <c r="G261" s="23" t="n"/>
      <c r="H261" s="22" t="n"/>
      <c r="I261" s="15" t="n"/>
      <c r="J261" s="15" t="n"/>
      <c r="K261" s="22" t="n"/>
      <c r="L261" s="22" t="n"/>
      <c r="M261" s="15">
        <f>IF(J261="","",J261-IF(L261="",0,L261))</f>
        <v/>
      </c>
      <c r="N261" s="24">
        <f>IF(J261="","",J261-TODAY())</f>
        <v/>
      </c>
      <c r="O261" s="9">
        <f>IF(E261="","",IF(J261="","No date",IF(N261&lt;0,"Expired",IF(N261&lt;=30,"Urgent",IF(N261&lt;=90,"Due soon","OK")))))</f>
        <v/>
      </c>
      <c r="P261" s="22" t="n"/>
      <c r="Q261" s="25" t="n"/>
      <c r="R261" s="22" t="n"/>
      <c r="S261" s="22" t="n"/>
      <c r="T261" s="23" t="n"/>
      <c r="U261" s="22">
        <f>IF(E261="","",IF(J261="","",N261+ROW()/100000))</f>
        <v/>
      </c>
    </row>
    <row r="262">
      <c r="A262" s="9">
        <f>IF(E262="","",COUNTA($E$5:E262))</f>
        <v/>
      </c>
      <c r="B262" s="22" t="n"/>
      <c r="C262" s="22" t="n"/>
      <c r="D262" s="22" t="n"/>
      <c r="E262" s="23" t="n"/>
      <c r="F262" s="23" t="n"/>
      <c r="G262" s="23" t="n"/>
      <c r="H262" s="22" t="n"/>
      <c r="I262" s="15" t="n"/>
      <c r="J262" s="15" t="n"/>
      <c r="K262" s="22" t="n"/>
      <c r="L262" s="22" t="n"/>
      <c r="M262" s="15">
        <f>IF(J262="","",J262-IF(L262="",0,L262))</f>
        <v/>
      </c>
      <c r="N262" s="24">
        <f>IF(J262="","",J262-TODAY())</f>
        <v/>
      </c>
      <c r="O262" s="9">
        <f>IF(E262="","",IF(J262="","No date",IF(N262&lt;0,"Expired",IF(N262&lt;=30,"Urgent",IF(N262&lt;=90,"Due soon","OK")))))</f>
        <v/>
      </c>
      <c r="P262" s="22" t="n"/>
      <c r="Q262" s="25" t="n"/>
      <c r="R262" s="22" t="n"/>
      <c r="S262" s="22" t="n"/>
      <c r="T262" s="23" t="n"/>
      <c r="U262" s="22">
        <f>IF(E262="","",IF(J262="","",N262+ROW()/100000))</f>
        <v/>
      </c>
    </row>
    <row r="263">
      <c r="A263" s="9">
        <f>IF(E263="","",COUNTA($E$5:E263))</f>
        <v/>
      </c>
      <c r="B263" s="22" t="n"/>
      <c r="C263" s="22" t="n"/>
      <c r="D263" s="22" t="n"/>
      <c r="E263" s="23" t="n"/>
      <c r="F263" s="23" t="n"/>
      <c r="G263" s="23" t="n"/>
      <c r="H263" s="22" t="n"/>
      <c r="I263" s="15" t="n"/>
      <c r="J263" s="15" t="n"/>
      <c r="K263" s="22" t="n"/>
      <c r="L263" s="22" t="n"/>
      <c r="M263" s="15">
        <f>IF(J263="","",J263-IF(L263="",0,L263))</f>
        <v/>
      </c>
      <c r="N263" s="24">
        <f>IF(J263="","",J263-TODAY())</f>
        <v/>
      </c>
      <c r="O263" s="9">
        <f>IF(E263="","",IF(J263="","No date",IF(N263&lt;0,"Expired",IF(N263&lt;=30,"Urgent",IF(N263&lt;=90,"Due soon","OK")))))</f>
        <v/>
      </c>
      <c r="P263" s="22" t="n"/>
      <c r="Q263" s="25" t="n"/>
      <c r="R263" s="22" t="n"/>
      <c r="S263" s="22" t="n"/>
      <c r="T263" s="23" t="n"/>
      <c r="U263" s="22">
        <f>IF(E263="","",IF(J263="","",N263+ROW()/100000))</f>
        <v/>
      </c>
    </row>
    <row r="264">
      <c r="A264" s="9">
        <f>IF(E264="","",COUNTA($E$5:E264))</f>
        <v/>
      </c>
      <c r="B264" s="22" t="n"/>
      <c r="C264" s="22" t="n"/>
      <c r="D264" s="22" t="n"/>
      <c r="E264" s="23" t="n"/>
      <c r="F264" s="23" t="n"/>
      <c r="G264" s="23" t="n"/>
      <c r="H264" s="22" t="n"/>
      <c r="I264" s="15" t="n"/>
      <c r="J264" s="15" t="n"/>
      <c r="K264" s="22" t="n"/>
      <c r="L264" s="22" t="n"/>
      <c r="M264" s="15">
        <f>IF(J264="","",J264-IF(L264="",0,L264))</f>
        <v/>
      </c>
      <c r="N264" s="24">
        <f>IF(J264="","",J264-TODAY())</f>
        <v/>
      </c>
      <c r="O264" s="9">
        <f>IF(E264="","",IF(J264="","No date",IF(N264&lt;0,"Expired",IF(N264&lt;=30,"Urgent",IF(N264&lt;=90,"Due soon","OK")))))</f>
        <v/>
      </c>
      <c r="P264" s="22" t="n"/>
      <c r="Q264" s="25" t="n"/>
      <c r="R264" s="22" t="n"/>
      <c r="S264" s="22" t="n"/>
      <c r="T264" s="23" t="n"/>
      <c r="U264" s="22">
        <f>IF(E264="","",IF(J264="","",N264+ROW()/100000))</f>
        <v/>
      </c>
    </row>
    <row r="265">
      <c r="A265" s="9">
        <f>IF(E265="","",COUNTA($E$5:E265))</f>
        <v/>
      </c>
      <c r="B265" s="22" t="n"/>
      <c r="C265" s="22" t="n"/>
      <c r="D265" s="22" t="n"/>
      <c r="E265" s="23" t="n"/>
      <c r="F265" s="23" t="n"/>
      <c r="G265" s="23" t="n"/>
      <c r="H265" s="22" t="n"/>
      <c r="I265" s="15" t="n"/>
      <c r="J265" s="15" t="n"/>
      <c r="K265" s="22" t="n"/>
      <c r="L265" s="22" t="n"/>
      <c r="M265" s="15">
        <f>IF(J265="","",J265-IF(L265="",0,L265))</f>
        <v/>
      </c>
      <c r="N265" s="24">
        <f>IF(J265="","",J265-TODAY())</f>
        <v/>
      </c>
      <c r="O265" s="9">
        <f>IF(E265="","",IF(J265="","No date",IF(N265&lt;0,"Expired",IF(N265&lt;=30,"Urgent",IF(N265&lt;=90,"Due soon","OK")))))</f>
        <v/>
      </c>
      <c r="P265" s="22" t="n"/>
      <c r="Q265" s="25" t="n"/>
      <c r="R265" s="22" t="n"/>
      <c r="S265" s="22" t="n"/>
      <c r="T265" s="23" t="n"/>
      <c r="U265" s="22">
        <f>IF(E265="","",IF(J265="","",N265+ROW()/100000))</f>
        <v/>
      </c>
    </row>
    <row r="266">
      <c r="A266" s="9">
        <f>IF(E266="","",COUNTA($E$5:E266))</f>
        <v/>
      </c>
      <c r="B266" s="22" t="n"/>
      <c r="C266" s="22" t="n"/>
      <c r="D266" s="22" t="n"/>
      <c r="E266" s="23" t="n"/>
      <c r="F266" s="23" t="n"/>
      <c r="G266" s="23" t="n"/>
      <c r="H266" s="22" t="n"/>
      <c r="I266" s="15" t="n"/>
      <c r="J266" s="15" t="n"/>
      <c r="K266" s="22" t="n"/>
      <c r="L266" s="22" t="n"/>
      <c r="M266" s="15">
        <f>IF(J266="","",J266-IF(L266="",0,L266))</f>
        <v/>
      </c>
      <c r="N266" s="24">
        <f>IF(J266="","",J266-TODAY())</f>
        <v/>
      </c>
      <c r="O266" s="9">
        <f>IF(E266="","",IF(J266="","No date",IF(N266&lt;0,"Expired",IF(N266&lt;=30,"Urgent",IF(N266&lt;=90,"Due soon","OK")))))</f>
        <v/>
      </c>
      <c r="P266" s="22" t="n"/>
      <c r="Q266" s="25" t="n"/>
      <c r="R266" s="22" t="n"/>
      <c r="S266" s="22" t="n"/>
      <c r="T266" s="23" t="n"/>
      <c r="U266" s="22">
        <f>IF(E266="","",IF(J266="","",N266+ROW()/100000))</f>
        <v/>
      </c>
    </row>
    <row r="267">
      <c r="A267" s="9">
        <f>IF(E267="","",COUNTA($E$5:E267))</f>
        <v/>
      </c>
      <c r="B267" s="22" t="n"/>
      <c r="C267" s="22" t="n"/>
      <c r="D267" s="22" t="n"/>
      <c r="E267" s="23" t="n"/>
      <c r="F267" s="23" t="n"/>
      <c r="G267" s="23" t="n"/>
      <c r="H267" s="22" t="n"/>
      <c r="I267" s="15" t="n"/>
      <c r="J267" s="15" t="n"/>
      <c r="K267" s="22" t="n"/>
      <c r="L267" s="22" t="n"/>
      <c r="M267" s="15">
        <f>IF(J267="","",J267-IF(L267="",0,L267))</f>
        <v/>
      </c>
      <c r="N267" s="24">
        <f>IF(J267="","",J267-TODAY())</f>
        <v/>
      </c>
      <c r="O267" s="9">
        <f>IF(E267="","",IF(J267="","No date",IF(N267&lt;0,"Expired",IF(N267&lt;=30,"Urgent",IF(N267&lt;=90,"Due soon","OK")))))</f>
        <v/>
      </c>
      <c r="P267" s="22" t="n"/>
      <c r="Q267" s="25" t="n"/>
      <c r="R267" s="22" t="n"/>
      <c r="S267" s="22" t="n"/>
      <c r="T267" s="23" t="n"/>
      <c r="U267" s="22">
        <f>IF(E267="","",IF(J267="","",N267+ROW()/100000))</f>
        <v/>
      </c>
    </row>
    <row r="268">
      <c r="A268" s="9">
        <f>IF(E268="","",COUNTA($E$5:E268))</f>
        <v/>
      </c>
      <c r="B268" s="22" t="n"/>
      <c r="C268" s="22" t="n"/>
      <c r="D268" s="22" t="n"/>
      <c r="E268" s="23" t="n"/>
      <c r="F268" s="23" t="n"/>
      <c r="G268" s="23" t="n"/>
      <c r="H268" s="22" t="n"/>
      <c r="I268" s="15" t="n"/>
      <c r="J268" s="15" t="n"/>
      <c r="K268" s="22" t="n"/>
      <c r="L268" s="22" t="n"/>
      <c r="M268" s="15">
        <f>IF(J268="","",J268-IF(L268="",0,L268))</f>
        <v/>
      </c>
      <c r="N268" s="24">
        <f>IF(J268="","",J268-TODAY())</f>
        <v/>
      </c>
      <c r="O268" s="9">
        <f>IF(E268="","",IF(J268="","No date",IF(N268&lt;0,"Expired",IF(N268&lt;=30,"Urgent",IF(N268&lt;=90,"Due soon","OK")))))</f>
        <v/>
      </c>
      <c r="P268" s="22" t="n"/>
      <c r="Q268" s="25" t="n"/>
      <c r="R268" s="22" t="n"/>
      <c r="S268" s="22" t="n"/>
      <c r="T268" s="23" t="n"/>
      <c r="U268" s="22">
        <f>IF(E268="","",IF(J268="","",N268+ROW()/100000))</f>
        <v/>
      </c>
    </row>
    <row r="269">
      <c r="A269" s="9">
        <f>IF(E269="","",COUNTA($E$5:E269))</f>
        <v/>
      </c>
      <c r="B269" s="22" t="n"/>
      <c r="C269" s="22" t="n"/>
      <c r="D269" s="22" t="n"/>
      <c r="E269" s="23" t="n"/>
      <c r="F269" s="23" t="n"/>
      <c r="G269" s="23" t="n"/>
      <c r="H269" s="22" t="n"/>
      <c r="I269" s="15" t="n"/>
      <c r="J269" s="15" t="n"/>
      <c r="K269" s="22" t="n"/>
      <c r="L269" s="22" t="n"/>
      <c r="M269" s="15">
        <f>IF(J269="","",J269-IF(L269="",0,L269))</f>
        <v/>
      </c>
      <c r="N269" s="24">
        <f>IF(J269="","",J269-TODAY())</f>
        <v/>
      </c>
      <c r="O269" s="9">
        <f>IF(E269="","",IF(J269="","No date",IF(N269&lt;0,"Expired",IF(N269&lt;=30,"Urgent",IF(N269&lt;=90,"Due soon","OK")))))</f>
        <v/>
      </c>
      <c r="P269" s="22" t="n"/>
      <c r="Q269" s="25" t="n"/>
      <c r="R269" s="22" t="n"/>
      <c r="S269" s="22" t="n"/>
      <c r="T269" s="23" t="n"/>
      <c r="U269" s="22">
        <f>IF(E269="","",IF(J269="","",N269+ROW()/100000))</f>
        <v/>
      </c>
    </row>
    <row r="270">
      <c r="A270" s="9">
        <f>IF(E270="","",COUNTA($E$5:E270))</f>
        <v/>
      </c>
      <c r="B270" s="22" t="n"/>
      <c r="C270" s="22" t="n"/>
      <c r="D270" s="22" t="n"/>
      <c r="E270" s="23" t="n"/>
      <c r="F270" s="23" t="n"/>
      <c r="G270" s="23" t="n"/>
      <c r="H270" s="22" t="n"/>
      <c r="I270" s="15" t="n"/>
      <c r="J270" s="15" t="n"/>
      <c r="K270" s="22" t="n"/>
      <c r="L270" s="22" t="n"/>
      <c r="M270" s="15">
        <f>IF(J270="","",J270-IF(L270="",0,L270))</f>
        <v/>
      </c>
      <c r="N270" s="24">
        <f>IF(J270="","",J270-TODAY())</f>
        <v/>
      </c>
      <c r="O270" s="9">
        <f>IF(E270="","",IF(J270="","No date",IF(N270&lt;0,"Expired",IF(N270&lt;=30,"Urgent",IF(N270&lt;=90,"Due soon","OK")))))</f>
        <v/>
      </c>
      <c r="P270" s="22" t="n"/>
      <c r="Q270" s="25" t="n"/>
      <c r="R270" s="22" t="n"/>
      <c r="S270" s="22" t="n"/>
      <c r="T270" s="23" t="n"/>
      <c r="U270" s="22">
        <f>IF(E270="","",IF(J270="","",N270+ROW()/100000))</f>
        <v/>
      </c>
    </row>
    <row r="271">
      <c r="A271" s="9">
        <f>IF(E271="","",COUNTA($E$5:E271))</f>
        <v/>
      </c>
      <c r="B271" s="22" t="n"/>
      <c r="C271" s="22" t="n"/>
      <c r="D271" s="22" t="n"/>
      <c r="E271" s="23" t="n"/>
      <c r="F271" s="23" t="n"/>
      <c r="G271" s="23" t="n"/>
      <c r="H271" s="22" t="n"/>
      <c r="I271" s="15" t="n"/>
      <c r="J271" s="15" t="n"/>
      <c r="K271" s="22" t="n"/>
      <c r="L271" s="22" t="n"/>
      <c r="M271" s="15">
        <f>IF(J271="","",J271-IF(L271="",0,L271))</f>
        <v/>
      </c>
      <c r="N271" s="24">
        <f>IF(J271="","",J271-TODAY())</f>
        <v/>
      </c>
      <c r="O271" s="9">
        <f>IF(E271="","",IF(J271="","No date",IF(N271&lt;0,"Expired",IF(N271&lt;=30,"Urgent",IF(N271&lt;=90,"Due soon","OK")))))</f>
        <v/>
      </c>
      <c r="P271" s="22" t="n"/>
      <c r="Q271" s="25" t="n"/>
      <c r="R271" s="22" t="n"/>
      <c r="S271" s="22" t="n"/>
      <c r="T271" s="23" t="n"/>
      <c r="U271" s="22">
        <f>IF(E271="","",IF(J271="","",N271+ROW()/100000))</f>
        <v/>
      </c>
    </row>
    <row r="272">
      <c r="A272" s="9">
        <f>IF(E272="","",COUNTA($E$5:E272))</f>
        <v/>
      </c>
      <c r="B272" s="22" t="n"/>
      <c r="C272" s="22" t="n"/>
      <c r="D272" s="22" t="n"/>
      <c r="E272" s="23" t="n"/>
      <c r="F272" s="23" t="n"/>
      <c r="G272" s="23" t="n"/>
      <c r="H272" s="22" t="n"/>
      <c r="I272" s="15" t="n"/>
      <c r="J272" s="15" t="n"/>
      <c r="K272" s="22" t="n"/>
      <c r="L272" s="22" t="n"/>
      <c r="M272" s="15">
        <f>IF(J272="","",J272-IF(L272="",0,L272))</f>
        <v/>
      </c>
      <c r="N272" s="24">
        <f>IF(J272="","",J272-TODAY())</f>
        <v/>
      </c>
      <c r="O272" s="9">
        <f>IF(E272="","",IF(J272="","No date",IF(N272&lt;0,"Expired",IF(N272&lt;=30,"Urgent",IF(N272&lt;=90,"Due soon","OK")))))</f>
        <v/>
      </c>
      <c r="P272" s="22" t="n"/>
      <c r="Q272" s="25" t="n"/>
      <c r="R272" s="22" t="n"/>
      <c r="S272" s="22" t="n"/>
      <c r="T272" s="23" t="n"/>
      <c r="U272" s="22">
        <f>IF(E272="","",IF(J272="","",N272+ROW()/100000))</f>
        <v/>
      </c>
    </row>
    <row r="273">
      <c r="A273" s="9">
        <f>IF(E273="","",COUNTA($E$5:E273))</f>
        <v/>
      </c>
      <c r="B273" s="22" t="n"/>
      <c r="C273" s="22" t="n"/>
      <c r="D273" s="22" t="n"/>
      <c r="E273" s="23" t="n"/>
      <c r="F273" s="23" t="n"/>
      <c r="G273" s="23" t="n"/>
      <c r="H273" s="22" t="n"/>
      <c r="I273" s="15" t="n"/>
      <c r="J273" s="15" t="n"/>
      <c r="K273" s="22" t="n"/>
      <c r="L273" s="22" t="n"/>
      <c r="M273" s="15">
        <f>IF(J273="","",J273-IF(L273="",0,L273))</f>
        <v/>
      </c>
      <c r="N273" s="24">
        <f>IF(J273="","",J273-TODAY())</f>
        <v/>
      </c>
      <c r="O273" s="9">
        <f>IF(E273="","",IF(J273="","No date",IF(N273&lt;0,"Expired",IF(N273&lt;=30,"Urgent",IF(N273&lt;=90,"Due soon","OK")))))</f>
        <v/>
      </c>
      <c r="P273" s="22" t="n"/>
      <c r="Q273" s="25" t="n"/>
      <c r="R273" s="22" t="n"/>
      <c r="S273" s="22" t="n"/>
      <c r="T273" s="23" t="n"/>
      <c r="U273" s="22">
        <f>IF(E273="","",IF(J273="","",N273+ROW()/100000))</f>
        <v/>
      </c>
    </row>
    <row r="274">
      <c r="A274" s="9">
        <f>IF(E274="","",COUNTA($E$5:E274))</f>
        <v/>
      </c>
      <c r="B274" s="22" t="n"/>
      <c r="C274" s="22" t="n"/>
      <c r="D274" s="22" t="n"/>
      <c r="E274" s="23" t="n"/>
      <c r="F274" s="23" t="n"/>
      <c r="G274" s="23" t="n"/>
      <c r="H274" s="22" t="n"/>
      <c r="I274" s="15" t="n"/>
      <c r="J274" s="15" t="n"/>
      <c r="K274" s="22" t="n"/>
      <c r="L274" s="22" t="n"/>
      <c r="M274" s="15">
        <f>IF(J274="","",J274-IF(L274="",0,L274))</f>
        <v/>
      </c>
      <c r="N274" s="24">
        <f>IF(J274="","",J274-TODAY())</f>
        <v/>
      </c>
      <c r="O274" s="9">
        <f>IF(E274="","",IF(J274="","No date",IF(N274&lt;0,"Expired",IF(N274&lt;=30,"Urgent",IF(N274&lt;=90,"Due soon","OK")))))</f>
        <v/>
      </c>
      <c r="P274" s="22" t="n"/>
      <c r="Q274" s="25" t="n"/>
      <c r="R274" s="22" t="n"/>
      <c r="S274" s="22" t="n"/>
      <c r="T274" s="23" t="n"/>
      <c r="U274" s="22">
        <f>IF(E274="","",IF(J274="","",N274+ROW()/100000))</f>
        <v/>
      </c>
    </row>
    <row r="275">
      <c r="A275" s="9">
        <f>IF(E275="","",COUNTA($E$5:E275))</f>
        <v/>
      </c>
      <c r="B275" s="22" t="n"/>
      <c r="C275" s="22" t="n"/>
      <c r="D275" s="22" t="n"/>
      <c r="E275" s="23" t="n"/>
      <c r="F275" s="23" t="n"/>
      <c r="G275" s="23" t="n"/>
      <c r="H275" s="22" t="n"/>
      <c r="I275" s="15" t="n"/>
      <c r="J275" s="15" t="n"/>
      <c r="K275" s="22" t="n"/>
      <c r="L275" s="22" t="n"/>
      <c r="M275" s="15">
        <f>IF(J275="","",J275-IF(L275="",0,L275))</f>
        <v/>
      </c>
      <c r="N275" s="24">
        <f>IF(J275="","",J275-TODAY())</f>
        <v/>
      </c>
      <c r="O275" s="9">
        <f>IF(E275="","",IF(J275="","No date",IF(N275&lt;0,"Expired",IF(N275&lt;=30,"Urgent",IF(N275&lt;=90,"Due soon","OK")))))</f>
        <v/>
      </c>
      <c r="P275" s="22" t="n"/>
      <c r="Q275" s="25" t="n"/>
      <c r="R275" s="22" t="n"/>
      <c r="S275" s="22" t="n"/>
      <c r="T275" s="23" t="n"/>
      <c r="U275" s="22">
        <f>IF(E275="","",IF(J275="","",N275+ROW()/100000))</f>
        <v/>
      </c>
    </row>
    <row r="276">
      <c r="A276" s="9">
        <f>IF(E276="","",COUNTA($E$5:E276))</f>
        <v/>
      </c>
      <c r="B276" s="22" t="n"/>
      <c r="C276" s="22" t="n"/>
      <c r="D276" s="22" t="n"/>
      <c r="E276" s="23" t="n"/>
      <c r="F276" s="23" t="n"/>
      <c r="G276" s="23" t="n"/>
      <c r="H276" s="22" t="n"/>
      <c r="I276" s="15" t="n"/>
      <c r="J276" s="15" t="n"/>
      <c r="K276" s="22" t="n"/>
      <c r="L276" s="22" t="n"/>
      <c r="M276" s="15">
        <f>IF(J276="","",J276-IF(L276="",0,L276))</f>
        <v/>
      </c>
      <c r="N276" s="24">
        <f>IF(J276="","",J276-TODAY())</f>
        <v/>
      </c>
      <c r="O276" s="9">
        <f>IF(E276="","",IF(J276="","No date",IF(N276&lt;0,"Expired",IF(N276&lt;=30,"Urgent",IF(N276&lt;=90,"Due soon","OK")))))</f>
        <v/>
      </c>
      <c r="P276" s="22" t="n"/>
      <c r="Q276" s="25" t="n"/>
      <c r="R276" s="22" t="n"/>
      <c r="S276" s="22" t="n"/>
      <c r="T276" s="23" t="n"/>
      <c r="U276" s="22">
        <f>IF(E276="","",IF(J276="","",N276+ROW()/100000))</f>
        <v/>
      </c>
    </row>
    <row r="277">
      <c r="A277" s="9">
        <f>IF(E277="","",COUNTA($E$5:E277))</f>
        <v/>
      </c>
      <c r="B277" s="22" t="n"/>
      <c r="C277" s="22" t="n"/>
      <c r="D277" s="22" t="n"/>
      <c r="E277" s="23" t="n"/>
      <c r="F277" s="23" t="n"/>
      <c r="G277" s="23" t="n"/>
      <c r="H277" s="22" t="n"/>
      <c r="I277" s="15" t="n"/>
      <c r="J277" s="15" t="n"/>
      <c r="K277" s="22" t="n"/>
      <c r="L277" s="22" t="n"/>
      <c r="M277" s="15">
        <f>IF(J277="","",J277-IF(L277="",0,L277))</f>
        <v/>
      </c>
      <c r="N277" s="24">
        <f>IF(J277="","",J277-TODAY())</f>
        <v/>
      </c>
      <c r="O277" s="9">
        <f>IF(E277="","",IF(J277="","No date",IF(N277&lt;0,"Expired",IF(N277&lt;=30,"Urgent",IF(N277&lt;=90,"Due soon","OK")))))</f>
        <v/>
      </c>
      <c r="P277" s="22" t="n"/>
      <c r="Q277" s="25" t="n"/>
      <c r="R277" s="22" t="n"/>
      <c r="S277" s="22" t="n"/>
      <c r="T277" s="23" t="n"/>
      <c r="U277" s="22">
        <f>IF(E277="","",IF(J277="","",N277+ROW()/100000))</f>
        <v/>
      </c>
    </row>
    <row r="278">
      <c r="A278" s="9">
        <f>IF(E278="","",COUNTA($E$5:E278))</f>
        <v/>
      </c>
      <c r="B278" s="22" t="n"/>
      <c r="C278" s="22" t="n"/>
      <c r="D278" s="22" t="n"/>
      <c r="E278" s="23" t="n"/>
      <c r="F278" s="23" t="n"/>
      <c r="G278" s="23" t="n"/>
      <c r="H278" s="22" t="n"/>
      <c r="I278" s="15" t="n"/>
      <c r="J278" s="15" t="n"/>
      <c r="K278" s="22" t="n"/>
      <c r="L278" s="22" t="n"/>
      <c r="M278" s="15">
        <f>IF(J278="","",J278-IF(L278="",0,L278))</f>
        <v/>
      </c>
      <c r="N278" s="24">
        <f>IF(J278="","",J278-TODAY())</f>
        <v/>
      </c>
      <c r="O278" s="9">
        <f>IF(E278="","",IF(J278="","No date",IF(N278&lt;0,"Expired",IF(N278&lt;=30,"Urgent",IF(N278&lt;=90,"Due soon","OK")))))</f>
        <v/>
      </c>
      <c r="P278" s="22" t="n"/>
      <c r="Q278" s="25" t="n"/>
      <c r="R278" s="22" t="n"/>
      <c r="S278" s="22" t="n"/>
      <c r="T278" s="23" t="n"/>
      <c r="U278" s="22">
        <f>IF(E278="","",IF(J278="","",N278+ROW()/100000))</f>
        <v/>
      </c>
    </row>
    <row r="279">
      <c r="A279" s="9">
        <f>IF(E279="","",COUNTA($E$5:E279))</f>
        <v/>
      </c>
      <c r="B279" s="22" t="n"/>
      <c r="C279" s="22" t="n"/>
      <c r="D279" s="22" t="n"/>
      <c r="E279" s="23" t="n"/>
      <c r="F279" s="23" t="n"/>
      <c r="G279" s="23" t="n"/>
      <c r="H279" s="22" t="n"/>
      <c r="I279" s="15" t="n"/>
      <c r="J279" s="15" t="n"/>
      <c r="K279" s="22" t="n"/>
      <c r="L279" s="22" t="n"/>
      <c r="M279" s="15">
        <f>IF(J279="","",J279-IF(L279="",0,L279))</f>
        <v/>
      </c>
      <c r="N279" s="24">
        <f>IF(J279="","",J279-TODAY())</f>
        <v/>
      </c>
      <c r="O279" s="9">
        <f>IF(E279="","",IF(J279="","No date",IF(N279&lt;0,"Expired",IF(N279&lt;=30,"Urgent",IF(N279&lt;=90,"Due soon","OK")))))</f>
        <v/>
      </c>
      <c r="P279" s="22" t="n"/>
      <c r="Q279" s="25" t="n"/>
      <c r="R279" s="22" t="n"/>
      <c r="S279" s="22" t="n"/>
      <c r="T279" s="23" t="n"/>
      <c r="U279" s="22">
        <f>IF(E279="","",IF(J279="","",N279+ROW()/100000))</f>
        <v/>
      </c>
    </row>
    <row r="280">
      <c r="A280" s="9">
        <f>IF(E280="","",COUNTA($E$5:E280))</f>
        <v/>
      </c>
      <c r="B280" s="22" t="n"/>
      <c r="C280" s="22" t="n"/>
      <c r="D280" s="22" t="n"/>
      <c r="E280" s="23" t="n"/>
      <c r="F280" s="23" t="n"/>
      <c r="G280" s="23" t="n"/>
      <c r="H280" s="22" t="n"/>
      <c r="I280" s="15" t="n"/>
      <c r="J280" s="15" t="n"/>
      <c r="K280" s="22" t="n"/>
      <c r="L280" s="22" t="n"/>
      <c r="M280" s="15">
        <f>IF(J280="","",J280-IF(L280="",0,L280))</f>
        <v/>
      </c>
      <c r="N280" s="24">
        <f>IF(J280="","",J280-TODAY())</f>
        <v/>
      </c>
      <c r="O280" s="9">
        <f>IF(E280="","",IF(J280="","No date",IF(N280&lt;0,"Expired",IF(N280&lt;=30,"Urgent",IF(N280&lt;=90,"Due soon","OK")))))</f>
        <v/>
      </c>
      <c r="P280" s="22" t="n"/>
      <c r="Q280" s="25" t="n"/>
      <c r="R280" s="22" t="n"/>
      <c r="S280" s="22" t="n"/>
      <c r="T280" s="23" t="n"/>
      <c r="U280" s="22">
        <f>IF(E280="","",IF(J280="","",N280+ROW()/100000))</f>
        <v/>
      </c>
    </row>
    <row r="281">
      <c r="A281" s="9">
        <f>IF(E281="","",COUNTA($E$5:E281))</f>
        <v/>
      </c>
      <c r="B281" s="22" t="n"/>
      <c r="C281" s="22" t="n"/>
      <c r="D281" s="22" t="n"/>
      <c r="E281" s="23" t="n"/>
      <c r="F281" s="23" t="n"/>
      <c r="G281" s="23" t="n"/>
      <c r="H281" s="22" t="n"/>
      <c r="I281" s="15" t="n"/>
      <c r="J281" s="15" t="n"/>
      <c r="K281" s="22" t="n"/>
      <c r="L281" s="22" t="n"/>
      <c r="M281" s="15">
        <f>IF(J281="","",J281-IF(L281="",0,L281))</f>
        <v/>
      </c>
      <c r="N281" s="24">
        <f>IF(J281="","",J281-TODAY())</f>
        <v/>
      </c>
      <c r="O281" s="9">
        <f>IF(E281="","",IF(J281="","No date",IF(N281&lt;0,"Expired",IF(N281&lt;=30,"Urgent",IF(N281&lt;=90,"Due soon","OK")))))</f>
        <v/>
      </c>
      <c r="P281" s="22" t="n"/>
      <c r="Q281" s="25" t="n"/>
      <c r="R281" s="22" t="n"/>
      <c r="S281" s="22" t="n"/>
      <c r="T281" s="23" t="n"/>
      <c r="U281" s="22">
        <f>IF(E281="","",IF(J281="","",N281+ROW()/100000))</f>
        <v/>
      </c>
    </row>
    <row r="282">
      <c r="A282" s="9">
        <f>IF(E282="","",COUNTA($E$5:E282))</f>
        <v/>
      </c>
      <c r="B282" s="22" t="n"/>
      <c r="C282" s="22" t="n"/>
      <c r="D282" s="22" t="n"/>
      <c r="E282" s="23" t="n"/>
      <c r="F282" s="23" t="n"/>
      <c r="G282" s="23" t="n"/>
      <c r="H282" s="22" t="n"/>
      <c r="I282" s="15" t="n"/>
      <c r="J282" s="15" t="n"/>
      <c r="K282" s="22" t="n"/>
      <c r="L282" s="22" t="n"/>
      <c r="M282" s="15">
        <f>IF(J282="","",J282-IF(L282="",0,L282))</f>
        <v/>
      </c>
      <c r="N282" s="24">
        <f>IF(J282="","",J282-TODAY())</f>
        <v/>
      </c>
      <c r="O282" s="9">
        <f>IF(E282="","",IF(J282="","No date",IF(N282&lt;0,"Expired",IF(N282&lt;=30,"Urgent",IF(N282&lt;=90,"Due soon","OK")))))</f>
        <v/>
      </c>
      <c r="P282" s="22" t="n"/>
      <c r="Q282" s="25" t="n"/>
      <c r="R282" s="22" t="n"/>
      <c r="S282" s="22" t="n"/>
      <c r="T282" s="23" t="n"/>
      <c r="U282" s="22">
        <f>IF(E282="","",IF(J282="","",N282+ROW()/100000))</f>
        <v/>
      </c>
    </row>
    <row r="283">
      <c r="A283" s="9">
        <f>IF(E283="","",COUNTA($E$5:E283))</f>
        <v/>
      </c>
      <c r="B283" s="22" t="n"/>
      <c r="C283" s="22" t="n"/>
      <c r="D283" s="22" t="n"/>
      <c r="E283" s="23" t="n"/>
      <c r="F283" s="23" t="n"/>
      <c r="G283" s="23" t="n"/>
      <c r="H283" s="22" t="n"/>
      <c r="I283" s="15" t="n"/>
      <c r="J283" s="15" t="n"/>
      <c r="K283" s="22" t="n"/>
      <c r="L283" s="22" t="n"/>
      <c r="M283" s="15">
        <f>IF(J283="","",J283-IF(L283="",0,L283))</f>
        <v/>
      </c>
      <c r="N283" s="24">
        <f>IF(J283="","",J283-TODAY())</f>
        <v/>
      </c>
      <c r="O283" s="9">
        <f>IF(E283="","",IF(J283="","No date",IF(N283&lt;0,"Expired",IF(N283&lt;=30,"Urgent",IF(N283&lt;=90,"Due soon","OK")))))</f>
        <v/>
      </c>
      <c r="P283" s="22" t="n"/>
      <c r="Q283" s="25" t="n"/>
      <c r="R283" s="22" t="n"/>
      <c r="S283" s="22" t="n"/>
      <c r="T283" s="23" t="n"/>
      <c r="U283" s="22">
        <f>IF(E283="","",IF(J283="","",N283+ROW()/100000))</f>
        <v/>
      </c>
    </row>
    <row r="284">
      <c r="A284" s="9">
        <f>IF(E284="","",COUNTA($E$5:E284))</f>
        <v/>
      </c>
      <c r="B284" s="22" t="n"/>
      <c r="C284" s="22" t="n"/>
      <c r="D284" s="22" t="n"/>
      <c r="E284" s="23" t="n"/>
      <c r="F284" s="23" t="n"/>
      <c r="G284" s="23" t="n"/>
      <c r="H284" s="22" t="n"/>
      <c r="I284" s="15" t="n"/>
      <c r="J284" s="15" t="n"/>
      <c r="K284" s="22" t="n"/>
      <c r="L284" s="22" t="n"/>
      <c r="M284" s="15">
        <f>IF(J284="","",J284-IF(L284="",0,L284))</f>
        <v/>
      </c>
      <c r="N284" s="24">
        <f>IF(J284="","",J284-TODAY())</f>
        <v/>
      </c>
      <c r="O284" s="9">
        <f>IF(E284="","",IF(J284="","No date",IF(N284&lt;0,"Expired",IF(N284&lt;=30,"Urgent",IF(N284&lt;=90,"Due soon","OK")))))</f>
        <v/>
      </c>
      <c r="P284" s="22" t="n"/>
      <c r="Q284" s="25" t="n"/>
      <c r="R284" s="22" t="n"/>
      <c r="S284" s="22" t="n"/>
      <c r="T284" s="23" t="n"/>
      <c r="U284" s="22">
        <f>IF(E284="","",IF(J284="","",N284+ROW()/100000))</f>
        <v/>
      </c>
    </row>
    <row r="285">
      <c r="A285" s="9">
        <f>IF(E285="","",COUNTA($E$5:E285))</f>
        <v/>
      </c>
      <c r="B285" s="22" t="n"/>
      <c r="C285" s="22" t="n"/>
      <c r="D285" s="22" t="n"/>
      <c r="E285" s="23" t="n"/>
      <c r="F285" s="23" t="n"/>
      <c r="G285" s="23" t="n"/>
      <c r="H285" s="22" t="n"/>
      <c r="I285" s="15" t="n"/>
      <c r="J285" s="15" t="n"/>
      <c r="K285" s="22" t="n"/>
      <c r="L285" s="22" t="n"/>
      <c r="M285" s="15">
        <f>IF(J285="","",J285-IF(L285="",0,L285))</f>
        <v/>
      </c>
      <c r="N285" s="24">
        <f>IF(J285="","",J285-TODAY())</f>
        <v/>
      </c>
      <c r="O285" s="9">
        <f>IF(E285="","",IF(J285="","No date",IF(N285&lt;0,"Expired",IF(N285&lt;=30,"Urgent",IF(N285&lt;=90,"Due soon","OK")))))</f>
        <v/>
      </c>
      <c r="P285" s="22" t="n"/>
      <c r="Q285" s="25" t="n"/>
      <c r="R285" s="22" t="n"/>
      <c r="S285" s="22" t="n"/>
      <c r="T285" s="23" t="n"/>
      <c r="U285" s="22">
        <f>IF(E285="","",IF(J285="","",N285+ROW()/100000))</f>
        <v/>
      </c>
    </row>
    <row r="286">
      <c r="A286" s="9">
        <f>IF(E286="","",COUNTA($E$5:E286))</f>
        <v/>
      </c>
      <c r="B286" s="22" t="n"/>
      <c r="C286" s="22" t="n"/>
      <c r="D286" s="22" t="n"/>
      <c r="E286" s="23" t="n"/>
      <c r="F286" s="23" t="n"/>
      <c r="G286" s="23" t="n"/>
      <c r="H286" s="22" t="n"/>
      <c r="I286" s="15" t="n"/>
      <c r="J286" s="15" t="n"/>
      <c r="K286" s="22" t="n"/>
      <c r="L286" s="22" t="n"/>
      <c r="M286" s="15">
        <f>IF(J286="","",J286-IF(L286="",0,L286))</f>
        <v/>
      </c>
      <c r="N286" s="24">
        <f>IF(J286="","",J286-TODAY())</f>
        <v/>
      </c>
      <c r="O286" s="9">
        <f>IF(E286="","",IF(J286="","No date",IF(N286&lt;0,"Expired",IF(N286&lt;=30,"Urgent",IF(N286&lt;=90,"Due soon","OK")))))</f>
        <v/>
      </c>
      <c r="P286" s="22" t="n"/>
      <c r="Q286" s="25" t="n"/>
      <c r="R286" s="22" t="n"/>
      <c r="S286" s="22" t="n"/>
      <c r="T286" s="23" t="n"/>
      <c r="U286" s="22">
        <f>IF(E286="","",IF(J286="","",N286+ROW()/100000))</f>
        <v/>
      </c>
    </row>
    <row r="287">
      <c r="A287" s="9">
        <f>IF(E287="","",COUNTA($E$5:E287))</f>
        <v/>
      </c>
      <c r="B287" s="22" t="n"/>
      <c r="C287" s="22" t="n"/>
      <c r="D287" s="22" t="n"/>
      <c r="E287" s="23" t="n"/>
      <c r="F287" s="23" t="n"/>
      <c r="G287" s="23" t="n"/>
      <c r="H287" s="22" t="n"/>
      <c r="I287" s="15" t="n"/>
      <c r="J287" s="15" t="n"/>
      <c r="K287" s="22" t="n"/>
      <c r="L287" s="22" t="n"/>
      <c r="M287" s="15">
        <f>IF(J287="","",J287-IF(L287="",0,L287))</f>
        <v/>
      </c>
      <c r="N287" s="24">
        <f>IF(J287="","",J287-TODAY())</f>
        <v/>
      </c>
      <c r="O287" s="9">
        <f>IF(E287="","",IF(J287="","No date",IF(N287&lt;0,"Expired",IF(N287&lt;=30,"Urgent",IF(N287&lt;=90,"Due soon","OK")))))</f>
        <v/>
      </c>
      <c r="P287" s="22" t="n"/>
      <c r="Q287" s="25" t="n"/>
      <c r="R287" s="22" t="n"/>
      <c r="S287" s="22" t="n"/>
      <c r="T287" s="23" t="n"/>
      <c r="U287" s="22">
        <f>IF(E287="","",IF(J287="","",N287+ROW()/100000))</f>
        <v/>
      </c>
    </row>
    <row r="288">
      <c r="A288" s="9">
        <f>IF(E288="","",COUNTA($E$5:E288))</f>
        <v/>
      </c>
      <c r="B288" s="22" t="n"/>
      <c r="C288" s="22" t="n"/>
      <c r="D288" s="22" t="n"/>
      <c r="E288" s="23" t="n"/>
      <c r="F288" s="23" t="n"/>
      <c r="G288" s="23" t="n"/>
      <c r="H288" s="22" t="n"/>
      <c r="I288" s="15" t="n"/>
      <c r="J288" s="15" t="n"/>
      <c r="K288" s="22" t="n"/>
      <c r="L288" s="22" t="n"/>
      <c r="M288" s="15">
        <f>IF(J288="","",J288-IF(L288="",0,L288))</f>
        <v/>
      </c>
      <c r="N288" s="24">
        <f>IF(J288="","",J288-TODAY())</f>
        <v/>
      </c>
      <c r="O288" s="9">
        <f>IF(E288="","",IF(J288="","No date",IF(N288&lt;0,"Expired",IF(N288&lt;=30,"Urgent",IF(N288&lt;=90,"Due soon","OK")))))</f>
        <v/>
      </c>
      <c r="P288" s="22" t="n"/>
      <c r="Q288" s="25" t="n"/>
      <c r="R288" s="22" t="n"/>
      <c r="S288" s="22" t="n"/>
      <c r="T288" s="23" t="n"/>
      <c r="U288" s="22">
        <f>IF(E288="","",IF(J288="","",N288+ROW()/100000))</f>
        <v/>
      </c>
    </row>
    <row r="289">
      <c r="A289" s="9">
        <f>IF(E289="","",COUNTA($E$5:E289))</f>
        <v/>
      </c>
      <c r="B289" s="22" t="n"/>
      <c r="C289" s="22" t="n"/>
      <c r="D289" s="22" t="n"/>
      <c r="E289" s="23" t="n"/>
      <c r="F289" s="23" t="n"/>
      <c r="G289" s="23" t="n"/>
      <c r="H289" s="22" t="n"/>
      <c r="I289" s="15" t="n"/>
      <c r="J289" s="15" t="n"/>
      <c r="K289" s="22" t="n"/>
      <c r="L289" s="22" t="n"/>
      <c r="M289" s="15">
        <f>IF(J289="","",J289-IF(L289="",0,L289))</f>
        <v/>
      </c>
      <c r="N289" s="24">
        <f>IF(J289="","",J289-TODAY())</f>
        <v/>
      </c>
      <c r="O289" s="9">
        <f>IF(E289="","",IF(J289="","No date",IF(N289&lt;0,"Expired",IF(N289&lt;=30,"Urgent",IF(N289&lt;=90,"Due soon","OK")))))</f>
        <v/>
      </c>
      <c r="P289" s="22" t="n"/>
      <c r="Q289" s="25" t="n"/>
      <c r="R289" s="22" t="n"/>
      <c r="S289" s="22" t="n"/>
      <c r="T289" s="23" t="n"/>
      <c r="U289" s="22">
        <f>IF(E289="","",IF(J289="","",N289+ROW()/100000))</f>
        <v/>
      </c>
    </row>
    <row r="290">
      <c r="A290" s="9">
        <f>IF(E290="","",COUNTA($E$5:E290))</f>
        <v/>
      </c>
      <c r="B290" s="22" t="n"/>
      <c r="C290" s="22" t="n"/>
      <c r="D290" s="22" t="n"/>
      <c r="E290" s="23" t="n"/>
      <c r="F290" s="23" t="n"/>
      <c r="G290" s="23" t="n"/>
      <c r="H290" s="22" t="n"/>
      <c r="I290" s="15" t="n"/>
      <c r="J290" s="15" t="n"/>
      <c r="K290" s="22" t="n"/>
      <c r="L290" s="22" t="n"/>
      <c r="M290" s="15">
        <f>IF(J290="","",J290-IF(L290="",0,L290))</f>
        <v/>
      </c>
      <c r="N290" s="24">
        <f>IF(J290="","",J290-TODAY())</f>
        <v/>
      </c>
      <c r="O290" s="9">
        <f>IF(E290="","",IF(J290="","No date",IF(N290&lt;0,"Expired",IF(N290&lt;=30,"Urgent",IF(N290&lt;=90,"Due soon","OK")))))</f>
        <v/>
      </c>
      <c r="P290" s="22" t="n"/>
      <c r="Q290" s="25" t="n"/>
      <c r="R290" s="22" t="n"/>
      <c r="S290" s="22" t="n"/>
      <c r="T290" s="23" t="n"/>
      <c r="U290" s="22">
        <f>IF(E290="","",IF(J290="","",N290+ROW()/100000))</f>
        <v/>
      </c>
    </row>
    <row r="291">
      <c r="A291" s="9">
        <f>IF(E291="","",COUNTA($E$5:E291))</f>
        <v/>
      </c>
      <c r="B291" s="22" t="n"/>
      <c r="C291" s="22" t="n"/>
      <c r="D291" s="22" t="n"/>
      <c r="E291" s="23" t="n"/>
      <c r="F291" s="23" t="n"/>
      <c r="G291" s="23" t="n"/>
      <c r="H291" s="22" t="n"/>
      <c r="I291" s="15" t="n"/>
      <c r="J291" s="15" t="n"/>
      <c r="K291" s="22" t="n"/>
      <c r="L291" s="22" t="n"/>
      <c r="M291" s="15">
        <f>IF(J291="","",J291-IF(L291="",0,L291))</f>
        <v/>
      </c>
      <c r="N291" s="24">
        <f>IF(J291="","",J291-TODAY())</f>
        <v/>
      </c>
      <c r="O291" s="9">
        <f>IF(E291="","",IF(J291="","No date",IF(N291&lt;0,"Expired",IF(N291&lt;=30,"Urgent",IF(N291&lt;=90,"Due soon","OK")))))</f>
        <v/>
      </c>
      <c r="P291" s="22" t="n"/>
      <c r="Q291" s="25" t="n"/>
      <c r="R291" s="22" t="n"/>
      <c r="S291" s="22" t="n"/>
      <c r="T291" s="23" t="n"/>
      <c r="U291" s="22">
        <f>IF(E291="","",IF(J291="","",N291+ROW()/100000))</f>
        <v/>
      </c>
    </row>
    <row r="292">
      <c r="A292" s="9">
        <f>IF(E292="","",COUNTA($E$5:E292))</f>
        <v/>
      </c>
      <c r="B292" s="22" t="n"/>
      <c r="C292" s="22" t="n"/>
      <c r="D292" s="22" t="n"/>
      <c r="E292" s="23" t="n"/>
      <c r="F292" s="23" t="n"/>
      <c r="G292" s="23" t="n"/>
      <c r="H292" s="22" t="n"/>
      <c r="I292" s="15" t="n"/>
      <c r="J292" s="15" t="n"/>
      <c r="K292" s="22" t="n"/>
      <c r="L292" s="22" t="n"/>
      <c r="M292" s="15">
        <f>IF(J292="","",J292-IF(L292="",0,L292))</f>
        <v/>
      </c>
      <c r="N292" s="24">
        <f>IF(J292="","",J292-TODAY())</f>
        <v/>
      </c>
      <c r="O292" s="9">
        <f>IF(E292="","",IF(J292="","No date",IF(N292&lt;0,"Expired",IF(N292&lt;=30,"Urgent",IF(N292&lt;=90,"Due soon","OK")))))</f>
        <v/>
      </c>
      <c r="P292" s="22" t="n"/>
      <c r="Q292" s="25" t="n"/>
      <c r="R292" s="22" t="n"/>
      <c r="S292" s="22" t="n"/>
      <c r="T292" s="23" t="n"/>
      <c r="U292" s="22">
        <f>IF(E292="","",IF(J292="","",N292+ROW()/100000))</f>
        <v/>
      </c>
    </row>
    <row r="293">
      <c r="A293" s="9">
        <f>IF(E293="","",COUNTA($E$5:E293))</f>
        <v/>
      </c>
      <c r="B293" s="22" t="n"/>
      <c r="C293" s="22" t="n"/>
      <c r="D293" s="22" t="n"/>
      <c r="E293" s="23" t="n"/>
      <c r="F293" s="23" t="n"/>
      <c r="G293" s="23" t="n"/>
      <c r="H293" s="22" t="n"/>
      <c r="I293" s="15" t="n"/>
      <c r="J293" s="15" t="n"/>
      <c r="K293" s="22" t="n"/>
      <c r="L293" s="22" t="n"/>
      <c r="M293" s="15">
        <f>IF(J293="","",J293-IF(L293="",0,L293))</f>
        <v/>
      </c>
      <c r="N293" s="24">
        <f>IF(J293="","",J293-TODAY())</f>
        <v/>
      </c>
      <c r="O293" s="9">
        <f>IF(E293="","",IF(J293="","No date",IF(N293&lt;0,"Expired",IF(N293&lt;=30,"Urgent",IF(N293&lt;=90,"Due soon","OK")))))</f>
        <v/>
      </c>
      <c r="P293" s="22" t="n"/>
      <c r="Q293" s="25" t="n"/>
      <c r="R293" s="22" t="n"/>
      <c r="S293" s="22" t="n"/>
      <c r="T293" s="23" t="n"/>
      <c r="U293" s="22">
        <f>IF(E293="","",IF(J293="","",N293+ROW()/100000))</f>
        <v/>
      </c>
    </row>
    <row r="294">
      <c r="A294" s="9">
        <f>IF(E294="","",COUNTA($E$5:E294))</f>
        <v/>
      </c>
      <c r="B294" s="22" t="n"/>
      <c r="C294" s="22" t="n"/>
      <c r="D294" s="22" t="n"/>
      <c r="E294" s="23" t="n"/>
      <c r="F294" s="23" t="n"/>
      <c r="G294" s="23" t="n"/>
      <c r="H294" s="22" t="n"/>
      <c r="I294" s="15" t="n"/>
      <c r="J294" s="15" t="n"/>
      <c r="K294" s="22" t="n"/>
      <c r="L294" s="22" t="n"/>
      <c r="M294" s="15">
        <f>IF(J294="","",J294-IF(L294="",0,L294))</f>
        <v/>
      </c>
      <c r="N294" s="24">
        <f>IF(J294="","",J294-TODAY())</f>
        <v/>
      </c>
      <c r="O294" s="9">
        <f>IF(E294="","",IF(J294="","No date",IF(N294&lt;0,"Expired",IF(N294&lt;=30,"Urgent",IF(N294&lt;=90,"Due soon","OK")))))</f>
        <v/>
      </c>
      <c r="P294" s="22" t="n"/>
      <c r="Q294" s="25" t="n"/>
      <c r="R294" s="22" t="n"/>
      <c r="S294" s="22" t="n"/>
      <c r="T294" s="23" t="n"/>
      <c r="U294" s="22">
        <f>IF(E294="","",IF(J294="","",N294+ROW()/100000))</f>
        <v/>
      </c>
    </row>
    <row r="295">
      <c r="A295" s="9">
        <f>IF(E295="","",COUNTA($E$5:E295))</f>
        <v/>
      </c>
      <c r="B295" s="22" t="n"/>
      <c r="C295" s="22" t="n"/>
      <c r="D295" s="22" t="n"/>
      <c r="E295" s="23" t="n"/>
      <c r="F295" s="23" t="n"/>
      <c r="G295" s="23" t="n"/>
      <c r="H295" s="22" t="n"/>
      <c r="I295" s="15" t="n"/>
      <c r="J295" s="15" t="n"/>
      <c r="K295" s="22" t="n"/>
      <c r="L295" s="22" t="n"/>
      <c r="M295" s="15">
        <f>IF(J295="","",J295-IF(L295="",0,L295))</f>
        <v/>
      </c>
      <c r="N295" s="24">
        <f>IF(J295="","",J295-TODAY())</f>
        <v/>
      </c>
      <c r="O295" s="9">
        <f>IF(E295="","",IF(J295="","No date",IF(N295&lt;0,"Expired",IF(N295&lt;=30,"Urgent",IF(N295&lt;=90,"Due soon","OK")))))</f>
        <v/>
      </c>
      <c r="P295" s="22" t="n"/>
      <c r="Q295" s="25" t="n"/>
      <c r="R295" s="22" t="n"/>
      <c r="S295" s="22" t="n"/>
      <c r="T295" s="23" t="n"/>
      <c r="U295" s="22">
        <f>IF(E295="","",IF(J295="","",N295+ROW()/100000))</f>
        <v/>
      </c>
    </row>
    <row r="296">
      <c r="A296" s="9">
        <f>IF(E296="","",COUNTA($E$5:E296))</f>
        <v/>
      </c>
      <c r="B296" s="22" t="n"/>
      <c r="C296" s="22" t="n"/>
      <c r="D296" s="22" t="n"/>
      <c r="E296" s="23" t="n"/>
      <c r="F296" s="23" t="n"/>
      <c r="G296" s="23" t="n"/>
      <c r="H296" s="22" t="n"/>
      <c r="I296" s="15" t="n"/>
      <c r="J296" s="15" t="n"/>
      <c r="K296" s="22" t="n"/>
      <c r="L296" s="22" t="n"/>
      <c r="M296" s="15">
        <f>IF(J296="","",J296-IF(L296="",0,L296))</f>
        <v/>
      </c>
      <c r="N296" s="24">
        <f>IF(J296="","",J296-TODAY())</f>
        <v/>
      </c>
      <c r="O296" s="9">
        <f>IF(E296="","",IF(J296="","No date",IF(N296&lt;0,"Expired",IF(N296&lt;=30,"Urgent",IF(N296&lt;=90,"Due soon","OK")))))</f>
        <v/>
      </c>
      <c r="P296" s="22" t="n"/>
      <c r="Q296" s="25" t="n"/>
      <c r="R296" s="22" t="n"/>
      <c r="S296" s="22" t="n"/>
      <c r="T296" s="23" t="n"/>
      <c r="U296" s="22">
        <f>IF(E296="","",IF(J296="","",N296+ROW()/100000))</f>
        <v/>
      </c>
    </row>
    <row r="297">
      <c r="A297" s="9">
        <f>IF(E297="","",COUNTA($E$5:E297))</f>
        <v/>
      </c>
      <c r="B297" s="22" t="n"/>
      <c r="C297" s="22" t="n"/>
      <c r="D297" s="22" t="n"/>
      <c r="E297" s="23" t="n"/>
      <c r="F297" s="23" t="n"/>
      <c r="G297" s="23" t="n"/>
      <c r="H297" s="22" t="n"/>
      <c r="I297" s="15" t="n"/>
      <c r="J297" s="15" t="n"/>
      <c r="K297" s="22" t="n"/>
      <c r="L297" s="22" t="n"/>
      <c r="M297" s="15">
        <f>IF(J297="","",J297-IF(L297="",0,L297))</f>
        <v/>
      </c>
      <c r="N297" s="24">
        <f>IF(J297="","",J297-TODAY())</f>
        <v/>
      </c>
      <c r="O297" s="9">
        <f>IF(E297="","",IF(J297="","No date",IF(N297&lt;0,"Expired",IF(N297&lt;=30,"Urgent",IF(N297&lt;=90,"Due soon","OK")))))</f>
        <v/>
      </c>
      <c r="P297" s="22" t="n"/>
      <c r="Q297" s="25" t="n"/>
      <c r="R297" s="22" t="n"/>
      <c r="S297" s="22" t="n"/>
      <c r="T297" s="23" t="n"/>
      <c r="U297" s="22">
        <f>IF(E297="","",IF(J297="","",N297+ROW()/100000))</f>
        <v/>
      </c>
    </row>
    <row r="298">
      <c r="A298" s="9">
        <f>IF(E298="","",COUNTA($E$5:E298))</f>
        <v/>
      </c>
      <c r="B298" s="22" t="n"/>
      <c r="C298" s="22" t="n"/>
      <c r="D298" s="22" t="n"/>
      <c r="E298" s="23" t="n"/>
      <c r="F298" s="23" t="n"/>
      <c r="G298" s="23" t="n"/>
      <c r="H298" s="22" t="n"/>
      <c r="I298" s="15" t="n"/>
      <c r="J298" s="15" t="n"/>
      <c r="K298" s="22" t="n"/>
      <c r="L298" s="22" t="n"/>
      <c r="M298" s="15">
        <f>IF(J298="","",J298-IF(L298="",0,L298))</f>
        <v/>
      </c>
      <c r="N298" s="24">
        <f>IF(J298="","",J298-TODAY())</f>
        <v/>
      </c>
      <c r="O298" s="9">
        <f>IF(E298="","",IF(J298="","No date",IF(N298&lt;0,"Expired",IF(N298&lt;=30,"Urgent",IF(N298&lt;=90,"Due soon","OK")))))</f>
        <v/>
      </c>
      <c r="P298" s="22" t="n"/>
      <c r="Q298" s="25" t="n"/>
      <c r="R298" s="22" t="n"/>
      <c r="S298" s="22" t="n"/>
      <c r="T298" s="23" t="n"/>
      <c r="U298" s="22">
        <f>IF(E298="","",IF(J298="","",N298+ROW()/100000))</f>
        <v/>
      </c>
    </row>
    <row r="299">
      <c r="A299" s="9">
        <f>IF(E299="","",COUNTA($E$5:E299))</f>
        <v/>
      </c>
      <c r="B299" s="22" t="n"/>
      <c r="C299" s="22" t="n"/>
      <c r="D299" s="22" t="n"/>
      <c r="E299" s="23" t="n"/>
      <c r="F299" s="23" t="n"/>
      <c r="G299" s="23" t="n"/>
      <c r="H299" s="22" t="n"/>
      <c r="I299" s="15" t="n"/>
      <c r="J299" s="15" t="n"/>
      <c r="K299" s="22" t="n"/>
      <c r="L299" s="22" t="n"/>
      <c r="M299" s="15">
        <f>IF(J299="","",J299-IF(L299="",0,L299))</f>
        <v/>
      </c>
      <c r="N299" s="24">
        <f>IF(J299="","",J299-TODAY())</f>
        <v/>
      </c>
      <c r="O299" s="9">
        <f>IF(E299="","",IF(J299="","No date",IF(N299&lt;0,"Expired",IF(N299&lt;=30,"Urgent",IF(N299&lt;=90,"Due soon","OK")))))</f>
        <v/>
      </c>
      <c r="P299" s="22" t="n"/>
      <c r="Q299" s="25" t="n"/>
      <c r="R299" s="22" t="n"/>
      <c r="S299" s="22" t="n"/>
      <c r="T299" s="23" t="n"/>
      <c r="U299" s="22">
        <f>IF(E299="","",IF(J299="","",N299+ROW()/100000))</f>
        <v/>
      </c>
    </row>
    <row r="300">
      <c r="A300" s="9">
        <f>IF(E300="","",COUNTA($E$5:E300))</f>
        <v/>
      </c>
      <c r="B300" s="22" t="n"/>
      <c r="C300" s="22" t="n"/>
      <c r="D300" s="22" t="n"/>
      <c r="E300" s="23" t="n"/>
      <c r="F300" s="23" t="n"/>
      <c r="G300" s="23" t="n"/>
      <c r="H300" s="22" t="n"/>
      <c r="I300" s="15" t="n"/>
      <c r="J300" s="15" t="n"/>
      <c r="K300" s="22" t="n"/>
      <c r="L300" s="22" t="n"/>
      <c r="M300" s="15">
        <f>IF(J300="","",J300-IF(L300="",0,L300))</f>
        <v/>
      </c>
      <c r="N300" s="24">
        <f>IF(J300="","",J300-TODAY())</f>
        <v/>
      </c>
      <c r="O300" s="9">
        <f>IF(E300="","",IF(J300="","No date",IF(N300&lt;0,"Expired",IF(N300&lt;=30,"Urgent",IF(N300&lt;=90,"Due soon","OK")))))</f>
        <v/>
      </c>
      <c r="P300" s="22" t="n"/>
      <c r="Q300" s="25" t="n"/>
      <c r="R300" s="22" t="n"/>
      <c r="S300" s="22" t="n"/>
      <c r="T300" s="23" t="n"/>
      <c r="U300" s="22">
        <f>IF(E300="","",IF(J300="","",N300+ROW()/100000))</f>
        <v/>
      </c>
    </row>
    <row r="301">
      <c r="A301" s="9">
        <f>IF(E301="","",COUNTA($E$5:E301))</f>
        <v/>
      </c>
      <c r="B301" s="22" t="n"/>
      <c r="C301" s="22" t="n"/>
      <c r="D301" s="22" t="n"/>
      <c r="E301" s="23" t="n"/>
      <c r="F301" s="23" t="n"/>
      <c r="G301" s="23" t="n"/>
      <c r="H301" s="22" t="n"/>
      <c r="I301" s="15" t="n"/>
      <c r="J301" s="15" t="n"/>
      <c r="K301" s="22" t="n"/>
      <c r="L301" s="22" t="n"/>
      <c r="M301" s="15">
        <f>IF(J301="","",J301-IF(L301="",0,L301))</f>
        <v/>
      </c>
      <c r="N301" s="24">
        <f>IF(J301="","",J301-TODAY())</f>
        <v/>
      </c>
      <c r="O301" s="9">
        <f>IF(E301="","",IF(J301="","No date",IF(N301&lt;0,"Expired",IF(N301&lt;=30,"Urgent",IF(N301&lt;=90,"Due soon","OK")))))</f>
        <v/>
      </c>
      <c r="P301" s="22" t="n"/>
      <c r="Q301" s="25" t="n"/>
      <c r="R301" s="22" t="n"/>
      <c r="S301" s="22" t="n"/>
      <c r="T301" s="23" t="n"/>
      <c r="U301" s="22">
        <f>IF(E301="","",IF(J301="","",N301+ROW()/100000))</f>
        <v/>
      </c>
    </row>
    <row r="302">
      <c r="A302" s="9">
        <f>IF(E302="","",COUNTA($E$5:E302))</f>
        <v/>
      </c>
      <c r="B302" s="22" t="n"/>
      <c r="C302" s="22" t="n"/>
      <c r="D302" s="22" t="n"/>
      <c r="E302" s="23" t="n"/>
      <c r="F302" s="23" t="n"/>
      <c r="G302" s="23" t="n"/>
      <c r="H302" s="22" t="n"/>
      <c r="I302" s="15" t="n"/>
      <c r="J302" s="15" t="n"/>
      <c r="K302" s="22" t="n"/>
      <c r="L302" s="22" t="n"/>
      <c r="M302" s="15">
        <f>IF(J302="","",J302-IF(L302="",0,L302))</f>
        <v/>
      </c>
      <c r="N302" s="24">
        <f>IF(J302="","",J302-TODAY())</f>
        <v/>
      </c>
      <c r="O302" s="9">
        <f>IF(E302="","",IF(J302="","No date",IF(N302&lt;0,"Expired",IF(N302&lt;=30,"Urgent",IF(N302&lt;=90,"Due soon","OK")))))</f>
        <v/>
      </c>
      <c r="P302" s="22" t="n"/>
      <c r="Q302" s="25" t="n"/>
      <c r="R302" s="22" t="n"/>
      <c r="S302" s="22" t="n"/>
      <c r="T302" s="23" t="n"/>
      <c r="U302" s="22">
        <f>IF(E302="","",IF(J302="","",N302+ROW()/100000))</f>
        <v/>
      </c>
    </row>
    <row r="303">
      <c r="A303" s="9">
        <f>IF(E303="","",COUNTA($E$5:E303))</f>
        <v/>
      </c>
      <c r="B303" s="22" t="n"/>
      <c r="C303" s="22" t="n"/>
      <c r="D303" s="22" t="n"/>
      <c r="E303" s="23" t="n"/>
      <c r="F303" s="23" t="n"/>
      <c r="G303" s="23" t="n"/>
      <c r="H303" s="22" t="n"/>
      <c r="I303" s="15" t="n"/>
      <c r="J303" s="15" t="n"/>
      <c r="K303" s="22" t="n"/>
      <c r="L303" s="22" t="n"/>
      <c r="M303" s="15">
        <f>IF(J303="","",J303-IF(L303="",0,L303))</f>
        <v/>
      </c>
      <c r="N303" s="24">
        <f>IF(J303="","",J303-TODAY())</f>
        <v/>
      </c>
      <c r="O303" s="9">
        <f>IF(E303="","",IF(J303="","No date",IF(N303&lt;0,"Expired",IF(N303&lt;=30,"Urgent",IF(N303&lt;=90,"Due soon","OK")))))</f>
        <v/>
      </c>
      <c r="P303" s="22" t="n"/>
      <c r="Q303" s="25" t="n"/>
      <c r="R303" s="22" t="n"/>
      <c r="S303" s="22" t="n"/>
      <c r="T303" s="23" t="n"/>
      <c r="U303" s="22">
        <f>IF(E303="","",IF(J303="","",N303+ROW()/100000))</f>
        <v/>
      </c>
    </row>
    <row r="304">
      <c r="A304" s="9">
        <f>IF(E304="","",COUNTA($E$5:E304))</f>
        <v/>
      </c>
      <c r="B304" s="22" t="n"/>
      <c r="C304" s="22" t="n"/>
      <c r="D304" s="22" t="n"/>
      <c r="E304" s="23" t="n"/>
      <c r="F304" s="23" t="n"/>
      <c r="G304" s="23" t="n"/>
      <c r="H304" s="22" t="n"/>
      <c r="I304" s="15" t="n"/>
      <c r="J304" s="15" t="n"/>
      <c r="K304" s="22" t="n"/>
      <c r="L304" s="22" t="n"/>
      <c r="M304" s="15">
        <f>IF(J304="","",J304-IF(L304="",0,L304))</f>
        <v/>
      </c>
      <c r="N304" s="24">
        <f>IF(J304="","",J304-TODAY())</f>
        <v/>
      </c>
      <c r="O304" s="9">
        <f>IF(E304="","",IF(J304="","No date",IF(N304&lt;0,"Expired",IF(N304&lt;=30,"Urgent",IF(N304&lt;=90,"Due soon","OK")))))</f>
        <v/>
      </c>
      <c r="P304" s="22" t="n"/>
      <c r="Q304" s="25" t="n"/>
      <c r="R304" s="22" t="n"/>
      <c r="S304" s="22" t="n"/>
      <c r="T304" s="23" t="n"/>
      <c r="U304" s="22">
        <f>IF(E304="","",IF(J304="","",N304+ROW()/100000))</f>
        <v/>
      </c>
    </row>
    <row r="305">
      <c r="A305" s="9">
        <f>IF(E305="","",COUNTA($E$5:E305))</f>
        <v/>
      </c>
      <c r="B305" s="22" t="n"/>
      <c r="C305" s="22" t="n"/>
      <c r="D305" s="22" t="n"/>
      <c r="E305" s="23" t="n"/>
      <c r="F305" s="23" t="n"/>
      <c r="G305" s="23" t="n"/>
      <c r="H305" s="22" t="n"/>
      <c r="I305" s="15" t="n"/>
      <c r="J305" s="15" t="n"/>
      <c r="K305" s="22" t="n"/>
      <c r="L305" s="22" t="n"/>
      <c r="M305" s="15">
        <f>IF(J305="","",J305-IF(L305="",0,L305))</f>
        <v/>
      </c>
      <c r="N305" s="24">
        <f>IF(J305="","",J305-TODAY())</f>
        <v/>
      </c>
      <c r="O305" s="9">
        <f>IF(E305="","",IF(J305="","No date",IF(N305&lt;0,"Expired",IF(N305&lt;=30,"Urgent",IF(N305&lt;=90,"Due soon","OK")))))</f>
        <v/>
      </c>
      <c r="P305" s="22" t="n"/>
      <c r="Q305" s="25" t="n"/>
      <c r="R305" s="22" t="n"/>
      <c r="S305" s="22" t="n"/>
      <c r="T305" s="23" t="n"/>
      <c r="U305" s="22">
        <f>IF(E305="","",IF(J305="","",N305+ROW()/100000))</f>
        <v/>
      </c>
    </row>
    <row r="306">
      <c r="A306" s="9">
        <f>IF(E306="","",COUNTA($E$5:E306))</f>
        <v/>
      </c>
      <c r="B306" s="22" t="n"/>
      <c r="C306" s="22" t="n"/>
      <c r="D306" s="22" t="n"/>
      <c r="E306" s="23" t="n"/>
      <c r="F306" s="23" t="n"/>
      <c r="G306" s="23" t="n"/>
      <c r="H306" s="22" t="n"/>
      <c r="I306" s="15" t="n"/>
      <c r="J306" s="15" t="n"/>
      <c r="K306" s="22" t="n"/>
      <c r="L306" s="22" t="n"/>
      <c r="M306" s="15">
        <f>IF(J306="","",J306-IF(L306="",0,L306))</f>
        <v/>
      </c>
      <c r="N306" s="24">
        <f>IF(J306="","",J306-TODAY())</f>
        <v/>
      </c>
      <c r="O306" s="9">
        <f>IF(E306="","",IF(J306="","No date",IF(N306&lt;0,"Expired",IF(N306&lt;=30,"Urgent",IF(N306&lt;=90,"Due soon","OK")))))</f>
        <v/>
      </c>
      <c r="P306" s="22" t="n"/>
      <c r="Q306" s="25" t="n"/>
      <c r="R306" s="22" t="n"/>
      <c r="S306" s="22" t="n"/>
      <c r="T306" s="23" t="n"/>
      <c r="U306" s="22">
        <f>IF(E306="","",IF(J306="","",N306+ROW()/100000))</f>
        <v/>
      </c>
    </row>
    <row r="307">
      <c r="A307" s="9">
        <f>IF(E307="","",COUNTA($E$5:E307))</f>
        <v/>
      </c>
      <c r="B307" s="22" t="n"/>
      <c r="C307" s="22" t="n"/>
      <c r="D307" s="22" t="n"/>
      <c r="E307" s="23" t="n"/>
      <c r="F307" s="23" t="n"/>
      <c r="G307" s="23" t="n"/>
      <c r="H307" s="22" t="n"/>
      <c r="I307" s="15" t="n"/>
      <c r="J307" s="15" t="n"/>
      <c r="K307" s="22" t="n"/>
      <c r="L307" s="22" t="n"/>
      <c r="M307" s="15">
        <f>IF(J307="","",J307-IF(L307="",0,L307))</f>
        <v/>
      </c>
      <c r="N307" s="24">
        <f>IF(J307="","",J307-TODAY())</f>
        <v/>
      </c>
      <c r="O307" s="9">
        <f>IF(E307="","",IF(J307="","No date",IF(N307&lt;0,"Expired",IF(N307&lt;=30,"Urgent",IF(N307&lt;=90,"Due soon","OK")))))</f>
        <v/>
      </c>
      <c r="P307" s="22" t="n"/>
      <c r="Q307" s="25" t="n"/>
      <c r="R307" s="22" t="n"/>
      <c r="S307" s="22" t="n"/>
      <c r="T307" s="23" t="n"/>
      <c r="U307" s="22">
        <f>IF(E307="","",IF(J307="","",N307+ROW()/100000))</f>
        <v/>
      </c>
    </row>
    <row r="308">
      <c r="A308" s="9">
        <f>IF(E308="","",COUNTA($E$5:E308))</f>
        <v/>
      </c>
      <c r="B308" s="22" t="n"/>
      <c r="C308" s="22" t="n"/>
      <c r="D308" s="22" t="n"/>
      <c r="E308" s="23" t="n"/>
      <c r="F308" s="23" t="n"/>
      <c r="G308" s="23" t="n"/>
      <c r="H308" s="22" t="n"/>
      <c r="I308" s="15" t="n"/>
      <c r="J308" s="15" t="n"/>
      <c r="K308" s="22" t="n"/>
      <c r="L308" s="22" t="n"/>
      <c r="M308" s="15">
        <f>IF(J308="","",J308-IF(L308="",0,L308))</f>
        <v/>
      </c>
      <c r="N308" s="24">
        <f>IF(J308="","",J308-TODAY())</f>
        <v/>
      </c>
      <c r="O308" s="9">
        <f>IF(E308="","",IF(J308="","No date",IF(N308&lt;0,"Expired",IF(N308&lt;=30,"Urgent",IF(N308&lt;=90,"Due soon","OK")))))</f>
        <v/>
      </c>
      <c r="P308" s="22" t="n"/>
      <c r="Q308" s="25" t="n"/>
      <c r="R308" s="22" t="n"/>
      <c r="S308" s="22" t="n"/>
      <c r="T308" s="23" t="n"/>
      <c r="U308" s="22">
        <f>IF(E308="","",IF(J308="","",N308+ROW()/100000))</f>
        <v/>
      </c>
    </row>
    <row r="309">
      <c r="A309" s="9">
        <f>IF(E309="","",COUNTA($E$5:E309))</f>
        <v/>
      </c>
      <c r="B309" s="22" t="n"/>
      <c r="C309" s="22" t="n"/>
      <c r="D309" s="22" t="n"/>
      <c r="E309" s="23" t="n"/>
      <c r="F309" s="23" t="n"/>
      <c r="G309" s="23" t="n"/>
      <c r="H309" s="22" t="n"/>
      <c r="I309" s="15" t="n"/>
      <c r="J309" s="15" t="n"/>
      <c r="K309" s="22" t="n"/>
      <c r="L309" s="22" t="n"/>
      <c r="M309" s="15">
        <f>IF(J309="","",J309-IF(L309="",0,L309))</f>
        <v/>
      </c>
      <c r="N309" s="24">
        <f>IF(J309="","",J309-TODAY())</f>
        <v/>
      </c>
      <c r="O309" s="9">
        <f>IF(E309="","",IF(J309="","No date",IF(N309&lt;0,"Expired",IF(N309&lt;=30,"Urgent",IF(N309&lt;=90,"Due soon","OK")))))</f>
        <v/>
      </c>
      <c r="P309" s="22" t="n"/>
      <c r="Q309" s="25" t="n"/>
      <c r="R309" s="22" t="n"/>
      <c r="S309" s="22" t="n"/>
      <c r="T309" s="23" t="n"/>
      <c r="U309" s="22">
        <f>IF(E309="","",IF(J309="","",N309+ROW()/100000))</f>
        <v/>
      </c>
    </row>
    <row r="310">
      <c r="A310" s="9">
        <f>IF(E310="","",COUNTA($E$5:E310))</f>
        <v/>
      </c>
      <c r="B310" s="22" t="n"/>
      <c r="C310" s="22" t="n"/>
      <c r="D310" s="22" t="n"/>
      <c r="E310" s="23" t="n"/>
      <c r="F310" s="23" t="n"/>
      <c r="G310" s="23" t="n"/>
      <c r="H310" s="22" t="n"/>
      <c r="I310" s="15" t="n"/>
      <c r="J310" s="15" t="n"/>
      <c r="K310" s="22" t="n"/>
      <c r="L310" s="22" t="n"/>
      <c r="M310" s="15">
        <f>IF(J310="","",J310-IF(L310="",0,L310))</f>
        <v/>
      </c>
      <c r="N310" s="24">
        <f>IF(J310="","",J310-TODAY())</f>
        <v/>
      </c>
      <c r="O310" s="9">
        <f>IF(E310="","",IF(J310="","No date",IF(N310&lt;0,"Expired",IF(N310&lt;=30,"Urgent",IF(N310&lt;=90,"Due soon","OK")))))</f>
        <v/>
      </c>
      <c r="P310" s="22" t="n"/>
      <c r="Q310" s="25" t="n"/>
      <c r="R310" s="22" t="n"/>
      <c r="S310" s="22" t="n"/>
      <c r="T310" s="23" t="n"/>
      <c r="U310" s="22">
        <f>IF(E310="","",IF(J310="","",N310+ROW()/100000))</f>
        <v/>
      </c>
    </row>
    <row r="311">
      <c r="A311" s="9">
        <f>IF(E311="","",COUNTA($E$5:E311))</f>
        <v/>
      </c>
      <c r="B311" s="22" t="n"/>
      <c r="C311" s="22" t="n"/>
      <c r="D311" s="22" t="n"/>
      <c r="E311" s="23" t="n"/>
      <c r="F311" s="23" t="n"/>
      <c r="G311" s="23" t="n"/>
      <c r="H311" s="22" t="n"/>
      <c r="I311" s="15" t="n"/>
      <c r="J311" s="15" t="n"/>
      <c r="K311" s="22" t="n"/>
      <c r="L311" s="22" t="n"/>
      <c r="M311" s="15">
        <f>IF(J311="","",J311-IF(L311="",0,L311))</f>
        <v/>
      </c>
      <c r="N311" s="24">
        <f>IF(J311="","",J311-TODAY())</f>
        <v/>
      </c>
      <c r="O311" s="9">
        <f>IF(E311="","",IF(J311="","No date",IF(N311&lt;0,"Expired",IF(N311&lt;=30,"Urgent",IF(N311&lt;=90,"Due soon","OK")))))</f>
        <v/>
      </c>
      <c r="P311" s="22" t="n"/>
      <c r="Q311" s="25" t="n"/>
      <c r="R311" s="22" t="n"/>
      <c r="S311" s="22" t="n"/>
      <c r="T311" s="23" t="n"/>
      <c r="U311" s="22">
        <f>IF(E311="","",IF(J311="","",N311+ROW()/100000))</f>
        <v/>
      </c>
    </row>
    <row r="312">
      <c r="A312" s="9">
        <f>IF(E312="","",COUNTA($E$5:E312))</f>
        <v/>
      </c>
      <c r="B312" s="22" t="n"/>
      <c r="C312" s="22" t="n"/>
      <c r="D312" s="22" t="n"/>
      <c r="E312" s="23" t="n"/>
      <c r="F312" s="23" t="n"/>
      <c r="G312" s="23" t="n"/>
      <c r="H312" s="22" t="n"/>
      <c r="I312" s="15" t="n"/>
      <c r="J312" s="15" t="n"/>
      <c r="K312" s="22" t="n"/>
      <c r="L312" s="22" t="n"/>
      <c r="M312" s="15">
        <f>IF(J312="","",J312-IF(L312="",0,L312))</f>
        <v/>
      </c>
      <c r="N312" s="24">
        <f>IF(J312="","",J312-TODAY())</f>
        <v/>
      </c>
      <c r="O312" s="9">
        <f>IF(E312="","",IF(J312="","No date",IF(N312&lt;0,"Expired",IF(N312&lt;=30,"Urgent",IF(N312&lt;=90,"Due soon","OK")))))</f>
        <v/>
      </c>
      <c r="P312" s="22" t="n"/>
      <c r="Q312" s="25" t="n"/>
      <c r="R312" s="22" t="n"/>
      <c r="S312" s="22" t="n"/>
      <c r="T312" s="23" t="n"/>
      <c r="U312" s="22">
        <f>IF(E312="","",IF(J312="","",N312+ROW()/100000))</f>
        <v/>
      </c>
    </row>
    <row r="313">
      <c r="A313" s="9">
        <f>IF(E313="","",COUNTA($E$5:E313))</f>
        <v/>
      </c>
      <c r="B313" s="22" t="n"/>
      <c r="C313" s="22" t="n"/>
      <c r="D313" s="22" t="n"/>
      <c r="E313" s="23" t="n"/>
      <c r="F313" s="23" t="n"/>
      <c r="G313" s="23" t="n"/>
      <c r="H313" s="22" t="n"/>
      <c r="I313" s="15" t="n"/>
      <c r="J313" s="15" t="n"/>
      <c r="K313" s="22" t="n"/>
      <c r="L313" s="22" t="n"/>
      <c r="M313" s="15">
        <f>IF(J313="","",J313-IF(L313="",0,L313))</f>
        <v/>
      </c>
      <c r="N313" s="24">
        <f>IF(J313="","",J313-TODAY())</f>
        <v/>
      </c>
      <c r="O313" s="9">
        <f>IF(E313="","",IF(J313="","No date",IF(N313&lt;0,"Expired",IF(N313&lt;=30,"Urgent",IF(N313&lt;=90,"Due soon","OK")))))</f>
        <v/>
      </c>
      <c r="P313" s="22" t="n"/>
      <c r="Q313" s="25" t="n"/>
      <c r="R313" s="22" t="n"/>
      <c r="S313" s="22" t="n"/>
      <c r="T313" s="23" t="n"/>
      <c r="U313" s="22">
        <f>IF(E313="","",IF(J313="","",N313+ROW()/100000))</f>
        <v/>
      </c>
    </row>
    <row r="314">
      <c r="A314" s="9">
        <f>IF(E314="","",COUNTA($E$5:E314))</f>
        <v/>
      </c>
      <c r="B314" s="22" t="n"/>
      <c r="C314" s="22" t="n"/>
      <c r="D314" s="22" t="n"/>
      <c r="E314" s="23" t="n"/>
      <c r="F314" s="23" t="n"/>
      <c r="G314" s="23" t="n"/>
      <c r="H314" s="22" t="n"/>
      <c r="I314" s="15" t="n"/>
      <c r="J314" s="15" t="n"/>
      <c r="K314" s="22" t="n"/>
      <c r="L314" s="22" t="n"/>
      <c r="M314" s="15">
        <f>IF(J314="","",J314-IF(L314="",0,L314))</f>
        <v/>
      </c>
      <c r="N314" s="24">
        <f>IF(J314="","",J314-TODAY())</f>
        <v/>
      </c>
      <c r="O314" s="9">
        <f>IF(E314="","",IF(J314="","No date",IF(N314&lt;0,"Expired",IF(N314&lt;=30,"Urgent",IF(N314&lt;=90,"Due soon","OK")))))</f>
        <v/>
      </c>
      <c r="P314" s="22" t="n"/>
      <c r="Q314" s="25" t="n"/>
      <c r="R314" s="22" t="n"/>
      <c r="S314" s="22" t="n"/>
      <c r="T314" s="23" t="n"/>
      <c r="U314" s="22">
        <f>IF(E314="","",IF(J314="","",N314+ROW()/100000))</f>
        <v/>
      </c>
    </row>
    <row r="315">
      <c r="A315" s="9">
        <f>IF(E315="","",COUNTA($E$5:E315))</f>
        <v/>
      </c>
      <c r="B315" s="22" t="n"/>
      <c r="C315" s="22" t="n"/>
      <c r="D315" s="22" t="n"/>
      <c r="E315" s="23" t="n"/>
      <c r="F315" s="23" t="n"/>
      <c r="G315" s="23" t="n"/>
      <c r="H315" s="22" t="n"/>
      <c r="I315" s="15" t="n"/>
      <c r="J315" s="15" t="n"/>
      <c r="K315" s="22" t="n"/>
      <c r="L315" s="22" t="n"/>
      <c r="M315" s="15">
        <f>IF(J315="","",J315-IF(L315="",0,L315))</f>
        <v/>
      </c>
      <c r="N315" s="24">
        <f>IF(J315="","",J315-TODAY())</f>
        <v/>
      </c>
      <c r="O315" s="9">
        <f>IF(E315="","",IF(J315="","No date",IF(N315&lt;0,"Expired",IF(N315&lt;=30,"Urgent",IF(N315&lt;=90,"Due soon","OK")))))</f>
        <v/>
      </c>
      <c r="P315" s="22" t="n"/>
      <c r="Q315" s="25" t="n"/>
      <c r="R315" s="22" t="n"/>
      <c r="S315" s="22" t="n"/>
      <c r="T315" s="23" t="n"/>
      <c r="U315" s="22">
        <f>IF(E315="","",IF(J315="","",N315+ROW()/100000))</f>
        <v/>
      </c>
    </row>
    <row r="316">
      <c r="A316" s="9">
        <f>IF(E316="","",COUNTA($E$5:E316))</f>
        <v/>
      </c>
      <c r="B316" s="22" t="n"/>
      <c r="C316" s="22" t="n"/>
      <c r="D316" s="22" t="n"/>
      <c r="E316" s="23" t="n"/>
      <c r="F316" s="23" t="n"/>
      <c r="G316" s="23" t="n"/>
      <c r="H316" s="22" t="n"/>
      <c r="I316" s="15" t="n"/>
      <c r="J316" s="15" t="n"/>
      <c r="K316" s="22" t="n"/>
      <c r="L316" s="22" t="n"/>
      <c r="M316" s="15">
        <f>IF(J316="","",J316-IF(L316="",0,L316))</f>
        <v/>
      </c>
      <c r="N316" s="24">
        <f>IF(J316="","",J316-TODAY())</f>
        <v/>
      </c>
      <c r="O316" s="9">
        <f>IF(E316="","",IF(J316="","No date",IF(N316&lt;0,"Expired",IF(N316&lt;=30,"Urgent",IF(N316&lt;=90,"Due soon","OK")))))</f>
        <v/>
      </c>
      <c r="P316" s="22" t="n"/>
      <c r="Q316" s="25" t="n"/>
      <c r="R316" s="22" t="n"/>
      <c r="S316" s="22" t="n"/>
      <c r="T316" s="23" t="n"/>
      <c r="U316" s="22">
        <f>IF(E316="","",IF(J316="","",N316+ROW()/100000))</f>
        <v/>
      </c>
    </row>
    <row r="317">
      <c r="A317" s="9">
        <f>IF(E317="","",COUNTA($E$5:E317))</f>
        <v/>
      </c>
      <c r="B317" s="22" t="n"/>
      <c r="C317" s="22" t="n"/>
      <c r="D317" s="22" t="n"/>
      <c r="E317" s="23" t="n"/>
      <c r="F317" s="23" t="n"/>
      <c r="G317" s="23" t="n"/>
      <c r="H317" s="22" t="n"/>
      <c r="I317" s="15" t="n"/>
      <c r="J317" s="15" t="n"/>
      <c r="K317" s="22" t="n"/>
      <c r="L317" s="22" t="n"/>
      <c r="M317" s="15">
        <f>IF(J317="","",J317-IF(L317="",0,L317))</f>
        <v/>
      </c>
      <c r="N317" s="24">
        <f>IF(J317="","",J317-TODAY())</f>
        <v/>
      </c>
      <c r="O317" s="9">
        <f>IF(E317="","",IF(J317="","No date",IF(N317&lt;0,"Expired",IF(N317&lt;=30,"Urgent",IF(N317&lt;=90,"Due soon","OK")))))</f>
        <v/>
      </c>
      <c r="P317" s="22" t="n"/>
      <c r="Q317" s="25" t="n"/>
      <c r="R317" s="22" t="n"/>
      <c r="S317" s="22" t="n"/>
      <c r="T317" s="23" t="n"/>
      <c r="U317" s="22">
        <f>IF(E317="","",IF(J317="","",N317+ROW()/100000))</f>
        <v/>
      </c>
    </row>
    <row r="318">
      <c r="A318" s="9">
        <f>IF(E318="","",COUNTA($E$5:E318))</f>
        <v/>
      </c>
      <c r="B318" s="22" t="n"/>
      <c r="C318" s="22" t="n"/>
      <c r="D318" s="22" t="n"/>
      <c r="E318" s="23" t="n"/>
      <c r="F318" s="23" t="n"/>
      <c r="G318" s="23" t="n"/>
      <c r="H318" s="22" t="n"/>
      <c r="I318" s="15" t="n"/>
      <c r="J318" s="15" t="n"/>
      <c r="K318" s="22" t="n"/>
      <c r="L318" s="22" t="n"/>
      <c r="M318" s="15">
        <f>IF(J318="","",J318-IF(L318="",0,L318))</f>
        <v/>
      </c>
      <c r="N318" s="24">
        <f>IF(J318="","",J318-TODAY())</f>
        <v/>
      </c>
      <c r="O318" s="9">
        <f>IF(E318="","",IF(J318="","No date",IF(N318&lt;0,"Expired",IF(N318&lt;=30,"Urgent",IF(N318&lt;=90,"Due soon","OK")))))</f>
        <v/>
      </c>
      <c r="P318" s="22" t="n"/>
      <c r="Q318" s="25" t="n"/>
      <c r="R318" s="22" t="n"/>
      <c r="S318" s="22" t="n"/>
      <c r="T318" s="23" t="n"/>
      <c r="U318" s="22">
        <f>IF(E318="","",IF(J318="","",N318+ROW()/100000))</f>
        <v/>
      </c>
    </row>
    <row r="319">
      <c r="A319" s="9">
        <f>IF(E319="","",COUNTA($E$5:E319))</f>
        <v/>
      </c>
      <c r="B319" s="22" t="n"/>
      <c r="C319" s="22" t="n"/>
      <c r="D319" s="22" t="n"/>
      <c r="E319" s="23" t="n"/>
      <c r="F319" s="23" t="n"/>
      <c r="G319" s="23" t="n"/>
      <c r="H319" s="22" t="n"/>
      <c r="I319" s="15" t="n"/>
      <c r="J319" s="15" t="n"/>
      <c r="K319" s="22" t="n"/>
      <c r="L319" s="22" t="n"/>
      <c r="M319" s="15">
        <f>IF(J319="","",J319-IF(L319="",0,L319))</f>
        <v/>
      </c>
      <c r="N319" s="24">
        <f>IF(J319="","",J319-TODAY())</f>
        <v/>
      </c>
      <c r="O319" s="9">
        <f>IF(E319="","",IF(J319="","No date",IF(N319&lt;0,"Expired",IF(N319&lt;=30,"Urgent",IF(N319&lt;=90,"Due soon","OK")))))</f>
        <v/>
      </c>
      <c r="P319" s="22" t="n"/>
      <c r="Q319" s="25" t="n"/>
      <c r="R319" s="22" t="n"/>
      <c r="S319" s="22" t="n"/>
      <c r="T319" s="23" t="n"/>
      <c r="U319" s="22">
        <f>IF(E319="","",IF(J319="","",N319+ROW()/100000))</f>
        <v/>
      </c>
    </row>
    <row r="320">
      <c r="A320" s="9">
        <f>IF(E320="","",COUNTA($E$5:E320))</f>
        <v/>
      </c>
      <c r="B320" s="22" t="n"/>
      <c r="C320" s="22" t="n"/>
      <c r="D320" s="22" t="n"/>
      <c r="E320" s="23" t="n"/>
      <c r="F320" s="23" t="n"/>
      <c r="G320" s="23" t="n"/>
      <c r="H320" s="22" t="n"/>
      <c r="I320" s="15" t="n"/>
      <c r="J320" s="15" t="n"/>
      <c r="K320" s="22" t="n"/>
      <c r="L320" s="22" t="n"/>
      <c r="M320" s="15">
        <f>IF(J320="","",J320-IF(L320="",0,L320))</f>
        <v/>
      </c>
      <c r="N320" s="24">
        <f>IF(J320="","",J320-TODAY())</f>
        <v/>
      </c>
      <c r="O320" s="9">
        <f>IF(E320="","",IF(J320="","No date",IF(N320&lt;0,"Expired",IF(N320&lt;=30,"Urgent",IF(N320&lt;=90,"Due soon","OK")))))</f>
        <v/>
      </c>
      <c r="P320" s="22" t="n"/>
      <c r="Q320" s="25" t="n"/>
      <c r="R320" s="22" t="n"/>
      <c r="S320" s="22" t="n"/>
      <c r="T320" s="23" t="n"/>
      <c r="U320" s="22">
        <f>IF(E320="","",IF(J320="","",N320+ROW()/100000))</f>
        <v/>
      </c>
    </row>
    <row r="321">
      <c r="A321" s="9">
        <f>IF(E321="","",COUNTA($E$5:E321))</f>
        <v/>
      </c>
      <c r="B321" s="22" t="n"/>
      <c r="C321" s="22" t="n"/>
      <c r="D321" s="22" t="n"/>
      <c r="E321" s="23" t="n"/>
      <c r="F321" s="23" t="n"/>
      <c r="G321" s="23" t="n"/>
      <c r="H321" s="22" t="n"/>
      <c r="I321" s="15" t="n"/>
      <c r="J321" s="15" t="n"/>
      <c r="K321" s="22" t="n"/>
      <c r="L321" s="22" t="n"/>
      <c r="M321" s="15">
        <f>IF(J321="","",J321-IF(L321="",0,L321))</f>
        <v/>
      </c>
      <c r="N321" s="24">
        <f>IF(J321="","",J321-TODAY())</f>
        <v/>
      </c>
      <c r="O321" s="9">
        <f>IF(E321="","",IF(J321="","No date",IF(N321&lt;0,"Expired",IF(N321&lt;=30,"Urgent",IF(N321&lt;=90,"Due soon","OK")))))</f>
        <v/>
      </c>
      <c r="P321" s="22" t="n"/>
      <c r="Q321" s="25" t="n"/>
      <c r="R321" s="22" t="n"/>
      <c r="S321" s="22" t="n"/>
      <c r="T321" s="23" t="n"/>
      <c r="U321" s="22">
        <f>IF(E321="","",IF(J321="","",N321+ROW()/100000))</f>
        <v/>
      </c>
    </row>
    <row r="322">
      <c r="A322" s="9">
        <f>IF(E322="","",COUNTA($E$5:E322))</f>
        <v/>
      </c>
      <c r="B322" s="22" t="n"/>
      <c r="C322" s="22" t="n"/>
      <c r="D322" s="22" t="n"/>
      <c r="E322" s="23" t="n"/>
      <c r="F322" s="23" t="n"/>
      <c r="G322" s="23" t="n"/>
      <c r="H322" s="22" t="n"/>
      <c r="I322" s="15" t="n"/>
      <c r="J322" s="15" t="n"/>
      <c r="K322" s="22" t="n"/>
      <c r="L322" s="22" t="n"/>
      <c r="M322" s="15">
        <f>IF(J322="","",J322-IF(L322="",0,L322))</f>
        <v/>
      </c>
      <c r="N322" s="24">
        <f>IF(J322="","",J322-TODAY())</f>
        <v/>
      </c>
      <c r="O322" s="9">
        <f>IF(E322="","",IF(J322="","No date",IF(N322&lt;0,"Expired",IF(N322&lt;=30,"Urgent",IF(N322&lt;=90,"Due soon","OK")))))</f>
        <v/>
      </c>
      <c r="P322" s="22" t="n"/>
      <c r="Q322" s="25" t="n"/>
      <c r="R322" s="22" t="n"/>
      <c r="S322" s="22" t="n"/>
      <c r="T322" s="23" t="n"/>
      <c r="U322" s="22">
        <f>IF(E322="","",IF(J322="","",N322+ROW()/100000))</f>
        <v/>
      </c>
    </row>
    <row r="323">
      <c r="A323" s="9">
        <f>IF(E323="","",COUNTA($E$5:E323))</f>
        <v/>
      </c>
      <c r="B323" s="22" t="n"/>
      <c r="C323" s="22" t="n"/>
      <c r="D323" s="22" t="n"/>
      <c r="E323" s="23" t="n"/>
      <c r="F323" s="23" t="n"/>
      <c r="G323" s="23" t="n"/>
      <c r="H323" s="22" t="n"/>
      <c r="I323" s="15" t="n"/>
      <c r="J323" s="15" t="n"/>
      <c r="K323" s="22" t="n"/>
      <c r="L323" s="22" t="n"/>
      <c r="M323" s="15">
        <f>IF(J323="","",J323-IF(L323="",0,L323))</f>
        <v/>
      </c>
      <c r="N323" s="24">
        <f>IF(J323="","",J323-TODAY())</f>
        <v/>
      </c>
      <c r="O323" s="9">
        <f>IF(E323="","",IF(J323="","No date",IF(N323&lt;0,"Expired",IF(N323&lt;=30,"Urgent",IF(N323&lt;=90,"Due soon","OK")))))</f>
        <v/>
      </c>
      <c r="P323" s="22" t="n"/>
      <c r="Q323" s="25" t="n"/>
      <c r="R323" s="22" t="n"/>
      <c r="S323" s="22" t="n"/>
      <c r="T323" s="23" t="n"/>
      <c r="U323" s="22">
        <f>IF(E323="","",IF(J323="","",N323+ROW()/100000))</f>
        <v/>
      </c>
    </row>
    <row r="324">
      <c r="A324" s="9">
        <f>IF(E324="","",COUNTA($E$5:E324))</f>
        <v/>
      </c>
      <c r="B324" s="22" t="n"/>
      <c r="C324" s="22" t="n"/>
      <c r="D324" s="22" t="n"/>
      <c r="E324" s="23" t="n"/>
      <c r="F324" s="23" t="n"/>
      <c r="G324" s="23" t="n"/>
      <c r="H324" s="22" t="n"/>
      <c r="I324" s="15" t="n"/>
      <c r="J324" s="15" t="n"/>
      <c r="K324" s="22" t="n"/>
      <c r="L324" s="22" t="n"/>
      <c r="M324" s="15">
        <f>IF(J324="","",J324-IF(L324="",0,L324))</f>
        <v/>
      </c>
      <c r="N324" s="24">
        <f>IF(J324="","",J324-TODAY())</f>
        <v/>
      </c>
      <c r="O324" s="9">
        <f>IF(E324="","",IF(J324="","No date",IF(N324&lt;0,"Expired",IF(N324&lt;=30,"Urgent",IF(N324&lt;=90,"Due soon","OK")))))</f>
        <v/>
      </c>
      <c r="P324" s="22" t="n"/>
      <c r="Q324" s="25" t="n"/>
      <c r="R324" s="22" t="n"/>
      <c r="S324" s="22" t="n"/>
      <c r="T324" s="23" t="n"/>
      <c r="U324" s="22">
        <f>IF(E324="","",IF(J324="","",N324+ROW()/100000))</f>
        <v/>
      </c>
    </row>
    <row r="325">
      <c r="A325" s="9">
        <f>IF(E325="","",COUNTA($E$5:E325))</f>
        <v/>
      </c>
      <c r="B325" s="22" t="n"/>
      <c r="C325" s="22" t="n"/>
      <c r="D325" s="22" t="n"/>
      <c r="E325" s="23" t="n"/>
      <c r="F325" s="23" t="n"/>
      <c r="G325" s="23" t="n"/>
      <c r="H325" s="22" t="n"/>
      <c r="I325" s="15" t="n"/>
      <c r="J325" s="15" t="n"/>
      <c r="K325" s="22" t="n"/>
      <c r="L325" s="22" t="n"/>
      <c r="M325" s="15">
        <f>IF(J325="","",J325-IF(L325="",0,L325))</f>
        <v/>
      </c>
      <c r="N325" s="24">
        <f>IF(J325="","",J325-TODAY())</f>
        <v/>
      </c>
      <c r="O325" s="9">
        <f>IF(E325="","",IF(J325="","No date",IF(N325&lt;0,"Expired",IF(N325&lt;=30,"Urgent",IF(N325&lt;=90,"Due soon","OK")))))</f>
        <v/>
      </c>
      <c r="P325" s="22" t="n"/>
      <c r="Q325" s="25" t="n"/>
      <c r="R325" s="22" t="n"/>
      <c r="S325" s="22" t="n"/>
      <c r="T325" s="23" t="n"/>
      <c r="U325" s="22">
        <f>IF(E325="","",IF(J325="","",N325+ROW()/100000))</f>
        <v/>
      </c>
    </row>
    <row r="326">
      <c r="A326" s="9">
        <f>IF(E326="","",COUNTA($E$5:E326))</f>
        <v/>
      </c>
      <c r="B326" s="22" t="n"/>
      <c r="C326" s="22" t="n"/>
      <c r="D326" s="22" t="n"/>
      <c r="E326" s="23" t="n"/>
      <c r="F326" s="23" t="n"/>
      <c r="G326" s="23" t="n"/>
      <c r="H326" s="22" t="n"/>
      <c r="I326" s="15" t="n"/>
      <c r="J326" s="15" t="n"/>
      <c r="K326" s="22" t="n"/>
      <c r="L326" s="22" t="n"/>
      <c r="M326" s="15">
        <f>IF(J326="","",J326-IF(L326="",0,L326))</f>
        <v/>
      </c>
      <c r="N326" s="24">
        <f>IF(J326="","",J326-TODAY())</f>
        <v/>
      </c>
      <c r="O326" s="9">
        <f>IF(E326="","",IF(J326="","No date",IF(N326&lt;0,"Expired",IF(N326&lt;=30,"Urgent",IF(N326&lt;=90,"Due soon","OK")))))</f>
        <v/>
      </c>
      <c r="P326" s="22" t="n"/>
      <c r="Q326" s="25" t="n"/>
      <c r="R326" s="22" t="n"/>
      <c r="S326" s="22" t="n"/>
      <c r="T326" s="23" t="n"/>
      <c r="U326" s="22">
        <f>IF(E326="","",IF(J326="","",N326+ROW()/100000))</f>
        <v/>
      </c>
    </row>
    <row r="327">
      <c r="A327" s="9">
        <f>IF(E327="","",COUNTA($E$5:E327))</f>
        <v/>
      </c>
      <c r="B327" s="22" t="n"/>
      <c r="C327" s="22" t="n"/>
      <c r="D327" s="22" t="n"/>
      <c r="E327" s="23" t="n"/>
      <c r="F327" s="23" t="n"/>
      <c r="G327" s="23" t="n"/>
      <c r="H327" s="22" t="n"/>
      <c r="I327" s="15" t="n"/>
      <c r="J327" s="15" t="n"/>
      <c r="K327" s="22" t="n"/>
      <c r="L327" s="22" t="n"/>
      <c r="M327" s="15">
        <f>IF(J327="","",J327-IF(L327="",0,L327))</f>
        <v/>
      </c>
      <c r="N327" s="24">
        <f>IF(J327="","",J327-TODAY())</f>
        <v/>
      </c>
      <c r="O327" s="9">
        <f>IF(E327="","",IF(J327="","No date",IF(N327&lt;0,"Expired",IF(N327&lt;=30,"Urgent",IF(N327&lt;=90,"Due soon","OK")))))</f>
        <v/>
      </c>
      <c r="P327" s="22" t="n"/>
      <c r="Q327" s="25" t="n"/>
      <c r="R327" s="22" t="n"/>
      <c r="S327" s="22" t="n"/>
      <c r="T327" s="23" t="n"/>
      <c r="U327" s="22">
        <f>IF(E327="","",IF(J327="","",N327+ROW()/100000))</f>
        <v/>
      </c>
    </row>
    <row r="328">
      <c r="A328" s="9">
        <f>IF(E328="","",COUNTA($E$5:E328))</f>
        <v/>
      </c>
      <c r="B328" s="22" t="n"/>
      <c r="C328" s="22" t="n"/>
      <c r="D328" s="22" t="n"/>
      <c r="E328" s="23" t="n"/>
      <c r="F328" s="23" t="n"/>
      <c r="G328" s="23" t="n"/>
      <c r="H328" s="22" t="n"/>
      <c r="I328" s="15" t="n"/>
      <c r="J328" s="15" t="n"/>
      <c r="K328" s="22" t="n"/>
      <c r="L328" s="22" t="n"/>
      <c r="M328" s="15">
        <f>IF(J328="","",J328-IF(L328="",0,L328))</f>
        <v/>
      </c>
      <c r="N328" s="24">
        <f>IF(J328="","",J328-TODAY())</f>
        <v/>
      </c>
      <c r="O328" s="9">
        <f>IF(E328="","",IF(J328="","No date",IF(N328&lt;0,"Expired",IF(N328&lt;=30,"Urgent",IF(N328&lt;=90,"Due soon","OK")))))</f>
        <v/>
      </c>
      <c r="P328" s="22" t="n"/>
      <c r="Q328" s="25" t="n"/>
      <c r="R328" s="22" t="n"/>
      <c r="S328" s="22" t="n"/>
      <c r="T328" s="23" t="n"/>
      <c r="U328" s="22">
        <f>IF(E328="","",IF(J328="","",N328+ROW()/100000))</f>
        <v/>
      </c>
    </row>
    <row r="329">
      <c r="A329" s="9">
        <f>IF(E329="","",COUNTA($E$5:E329))</f>
        <v/>
      </c>
      <c r="B329" s="22" t="n"/>
      <c r="C329" s="22" t="n"/>
      <c r="D329" s="22" t="n"/>
      <c r="E329" s="23" t="n"/>
      <c r="F329" s="23" t="n"/>
      <c r="G329" s="23" t="n"/>
      <c r="H329" s="22" t="n"/>
      <c r="I329" s="15" t="n"/>
      <c r="J329" s="15" t="n"/>
      <c r="K329" s="22" t="n"/>
      <c r="L329" s="22" t="n"/>
      <c r="M329" s="15">
        <f>IF(J329="","",J329-IF(L329="",0,L329))</f>
        <v/>
      </c>
      <c r="N329" s="24">
        <f>IF(J329="","",J329-TODAY())</f>
        <v/>
      </c>
      <c r="O329" s="9">
        <f>IF(E329="","",IF(J329="","No date",IF(N329&lt;0,"Expired",IF(N329&lt;=30,"Urgent",IF(N329&lt;=90,"Due soon","OK")))))</f>
        <v/>
      </c>
      <c r="P329" s="22" t="n"/>
      <c r="Q329" s="25" t="n"/>
      <c r="R329" s="22" t="n"/>
      <c r="S329" s="22" t="n"/>
      <c r="T329" s="23" t="n"/>
      <c r="U329" s="22">
        <f>IF(E329="","",IF(J329="","",N329+ROW()/100000))</f>
        <v/>
      </c>
    </row>
    <row r="330">
      <c r="A330" s="9">
        <f>IF(E330="","",COUNTA($E$5:E330))</f>
        <v/>
      </c>
      <c r="B330" s="22" t="n"/>
      <c r="C330" s="22" t="n"/>
      <c r="D330" s="22" t="n"/>
      <c r="E330" s="23" t="n"/>
      <c r="F330" s="23" t="n"/>
      <c r="G330" s="23" t="n"/>
      <c r="H330" s="22" t="n"/>
      <c r="I330" s="15" t="n"/>
      <c r="J330" s="15" t="n"/>
      <c r="K330" s="22" t="n"/>
      <c r="L330" s="22" t="n"/>
      <c r="M330" s="15">
        <f>IF(J330="","",J330-IF(L330="",0,L330))</f>
        <v/>
      </c>
      <c r="N330" s="24">
        <f>IF(J330="","",J330-TODAY())</f>
        <v/>
      </c>
      <c r="O330" s="9">
        <f>IF(E330="","",IF(J330="","No date",IF(N330&lt;0,"Expired",IF(N330&lt;=30,"Urgent",IF(N330&lt;=90,"Due soon","OK")))))</f>
        <v/>
      </c>
      <c r="P330" s="22" t="n"/>
      <c r="Q330" s="25" t="n"/>
      <c r="R330" s="22" t="n"/>
      <c r="S330" s="22" t="n"/>
      <c r="T330" s="23" t="n"/>
      <c r="U330" s="22">
        <f>IF(E330="","",IF(J330="","",N330+ROW()/100000))</f>
        <v/>
      </c>
    </row>
    <row r="331">
      <c r="A331" s="9">
        <f>IF(E331="","",COUNTA($E$5:E331))</f>
        <v/>
      </c>
      <c r="B331" s="22" t="n"/>
      <c r="C331" s="22" t="n"/>
      <c r="D331" s="22" t="n"/>
      <c r="E331" s="23" t="n"/>
      <c r="F331" s="23" t="n"/>
      <c r="G331" s="23" t="n"/>
      <c r="H331" s="22" t="n"/>
      <c r="I331" s="15" t="n"/>
      <c r="J331" s="15" t="n"/>
      <c r="K331" s="22" t="n"/>
      <c r="L331" s="22" t="n"/>
      <c r="M331" s="15">
        <f>IF(J331="","",J331-IF(L331="",0,L331))</f>
        <v/>
      </c>
      <c r="N331" s="24">
        <f>IF(J331="","",J331-TODAY())</f>
        <v/>
      </c>
      <c r="O331" s="9">
        <f>IF(E331="","",IF(J331="","No date",IF(N331&lt;0,"Expired",IF(N331&lt;=30,"Urgent",IF(N331&lt;=90,"Due soon","OK")))))</f>
        <v/>
      </c>
      <c r="P331" s="22" t="n"/>
      <c r="Q331" s="25" t="n"/>
      <c r="R331" s="22" t="n"/>
      <c r="S331" s="22" t="n"/>
      <c r="T331" s="23" t="n"/>
      <c r="U331" s="22">
        <f>IF(E331="","",IF(J331="","",N331+ROW()/100000))</f>
        <v/>
      </c>
    </row>
    <row r="332">
      <c r="A332" s="9">
        <f>IF(E332="","",COUNTA($E$5:E332))</f>
        <v/>
      </c>
      <c r="B332" s="22" t="n"/>
      <c r="C332" s="22" t="n"/>
      <c r="D332" s="22" t="n"/>
      <c r="E332" s="23" t="n"/>
      <c r="F332" s="23" t="n"/>
      <c r="G332" s="23" t="n"/>
      <c r="H332" s="22" t="n"/>
      <c r="I332" s="15" t="n"/>
      <c r="J332" s="15" t="n"/>
      <c r="K332" s="22" t="n"/>
      <c r="L332" s="22" t="n"/>
      <c r="M332" s="15">
        <f>IF(J332="","",J332-IF(L332="",0,L332))</f>
        <v/>
      </c>
      <c r="N332" s="24">
        <f>IF(J332="","",J332-TODAY())</f>
        <v/>
      </c>
      <c r="O332" s="9">
        <f>IF(E332="","",IF(J332="","No date",IF(N332&lt;0,"Expired",IF(N332&lt;=30,"Urgent",IF(N332&lt;=90,"Due soon","OK")))))</f>
        <v/>
      </c>
      <c r="P332" s="22" t="n"/>
      <c r="Q332" s="25" t="n"/>
      <c r="R332" s="22" t="n"/>
      <c r="S332" s="22" t="n"/>
      <c r="T332" s="23" t="n"/>
      <c r="U332" s="22">
        <f>IF(E332="","",IF(J332="","",N332+ROW()/100000))</f>
        <v/>
      </c>
    </row>
    <row r="333">
      <c r="A333" s="9">
        <f>IF(E333="","",COUNTA($E$5:E333))</f>
        <v/>
      </c>
      <c r="B333" s="22" t="n"/>
      <c r="C333" s="22" t="n"/>
      <c r="D333" s="22" t="n"/>
      <c r="E333" s="23" t="n"/>
      <c r="F333" s="23" t="n"/>
      <c r="G333" s="23" t="n"/>
      <c r="H333" s="22" t="n"/>
      <c r="I333" s="15" t="n"/>
      <c r="J333" s="15" t="n"/>
      <c r="K333" s="22" t="n"/>
      <c r="L333" s="22" t="n"/>
      <c r="M333" s="15">
        <f>IF(J333="","",J333-IF(L333="",0,L333))</f>
        <v/>
      </c>
      <c r="N333" s="24">
        <f>IF(J333="","",J333-TODAY())</f>
        <v/>
      </c>
      <c r="O333" s="9">
        <f>IF(E333="","",IF(J333="","No date",IF(N333&lt;0,"Expired",IF(N333&lt;=30,"Urgent",IF(N333&lt;=90,"Due soon","OK")))))</f>
        <v/>
      </c>
      <c r="P333" s="22" t="n"/>
      <c r="Q333" s="25" t="n"/>
      <c r="R333" s="22" t="n"/>
      <c r="S333" s="22" t="n"/>
      <c r="T333" s="23" t="n"/>
      <c r="U333" s="22">
        <f>IF(E333="","",IF(J333="","",N333+ROW()/100000))</f>
        <v/>
      </c>
    </row>
    <row r="334">
      <c r="A334" s="9">
        <f>IF(E334="","",COUNTA($E$5:E334))</f>
        <v/>
      </c>
      <c r="B334" s="22" t="n"/>
      <c r="C334" s="22" t="n"/>
      <c r="D334" s="22" t="n"/>
      <c r="E334" s="23" t="n"/>
      <c r="F334" s="23" t="n"/>
      <c r="G334" s="23" t="n"/>
      <c r="H334" s="22" t="n"/>
      <c r="I334" s="15" t="n"/>
      <c r="J334" s="15" t="n"/>
      <c r="K334" s="22" t="n"/>
      <c r="L334" s="22" t="n"/>
      <c r="M334" s="15">
        <f>IF(J334="","",J334-IF(L334="",0,L334))</f>
        <v/>
      </c>
      <c r="N334" s="24">
        <f>IF(J334="","",J334-TODAY())</f>
        <v/>
      </c>
      <c r="O334" s="9">
        <f>IF(E334="","",IF(J334="","No date",IF(N334&lt;0,"Expired",IF(N334&lt;=30,"Urgent",IF(N334&lt;=90,"Due soon","OK")))))</f>
        <v/>
      </c>
      <c r="P334" s="22" t="n"/>
      <c r="Q334" s="25" t="n"/>
      <c r="R334" s="22" t="n"/>
      <c r="S334" s="22" t="n"/>
      <c r="T334" s="23" t="n"/>
      <c r="U334" s="22">
        <f>IF(E334="","",IF(J334="","",N334+ROW()/100000))</f>
        <v/>
      </c>
    </row>
    <row r="335">
      <c r="A335" s="9">
        <f>IF(E335="","",COUNTA($E$5:E335))</f>
        <v/>
      </c>
      <c r="B335" s="22" t="n"/>
      <c r="C335" s="22" t="n"/>
      <c r="D335" s="22" t="n"/>
      <c r="E335" s="23" t="n"/>
      <c r="F335" s="23" t="n"/>
      <c r="G335" s="23" t="n"/>
      <c r="H335" s="22" t="n"/>
      <c r="I335" s="15" t="n"/>
      <c r="J335" s="15" t="n"/>
      <c r="K335" s="22" t="n"/>
      <c r="L335" s="22" t="n"/>
      <c r="M335" s="15">
        <f>IF(J335="","",J335-IF(L335="",0,L335))</f>
        <v/>
      </c>
      <c r="N335" s="24">
        <f>IF(J335="","",J335-TODAY())</f>
        <v/>
      </c>
      <c r="O335" s="9">
        <f>IF(E335="","",IF(J335="","No date",IF(N335&lt;0,"Expired",IF(N335&lt;=30,"Urgent",IF(N335&lt;=90,"Due soon","OK")))))</f>
        <v/>
      </c>
      <c r="P335" s="22" t="n"/>
      <c r="Q335" s="25" t="n"/>
      <c r="R335" s="22" t="n"/>
      <c r="S335" s="22" t="n"/>
      <c r="T335" s="23" t="n"/>
      <c r="U335" s="22">
        <f>IF(E335="","",IF(J335="","",N335+ROW()/100000))</f>
        <v/>
      </c>
    </row>
    <row r="336">
      <c r="A336" s="9">
        <f>IF(E336="","",COUNTA($E$5:E336))</f>
        <v/>
      </c>
      <c r="B336" s="22" t="n"/>
      <c r="C336" s="22" t="n"/>
      <c r="D336" s="22" t="n"/>
      <c r="E336" s="23" t="n"/>
      <c r="F336" s="23" t="n"/>
      <c r="G336" s="23" t="n"/>
      <c r="H336" s="22" t="n"/>
      <c r="I336" s="15" t="n"/>
      <c r="J336" s="15" t="n"/>
      <c r="K336" s="22" t="n"/>
      <c r="L336" s="22" t="n"/>
      <c r="M336" s="15">
        <f>IF(J336="","",J336-IF(L336="",0,L336))</f>
        <v/>
      </c>
      <c r="N336" s="24">
        <f>IF(J336="","",J336-TODAY())</f>
        <v/>
      </c>
      <c r="O336" s="9">
        <f>IF(E336="","",IF(J336="","No date",IF(N336&lt;0,"Expired",IF(N336&lt;=30,"Urgent",IF(N336&lt;=90,"Due soon","OK")))))</f>
        <v/>
      </c>
      <c r="P336" s="22" t="n"/>
      <c r="Q336" s="25" t="n"/>
      <c r="R336" s="22" t="n"/>
      <c r="S336" s="22" t="n"/>
      <c r="T336" s="23" t="n"/>
      <c r="U336" s="22">
        <f>IF(E336="","",IF(J336="","",N336+ROW()/100000))</f>
        <v/>
      </c>
    </row>
    <row r="337">
      <c r="A337" s="9">
        <f>IF(E337="","",COUNTA($E$5:E337))</f>
        <v/>
      </c>
      <c r="B337" s="22" t="n"/>
      <c r="C337" s="22" t="n"/>
      <c r="D337" s="22" t="n"/>
      <c r="E337" s="23" t="n"/>
      <c r="F337" s="23" t="n"/>
      <c r="G337" s="23" t="n"/>
      <c r="H337" s="22" t="n"/>
      <c r="I337" s="15" t="n"/>
      <c r="J337" s="15" t="n"/>
      <c r="K337" s="22" t="n"/>
      <c r="L337" s="22" t="n"/>
      <c r="M337" s="15">
        <f>IF(J337="","",J337-IF(L337="",0,L337))</f>
        <v/>
      </c>
      <c r="N337" s="24">
        <f>IF(J337="","",J337-TODAY())</f>
        <v/>
      </c>
      <c r="O337" s="9">
        <f>IF(E337="","",IF(J337="","No date",IF(N337&lt;0,"Expired",IF(N337&lt;=30,"Urgent",IF(N337&lt;=90,"Due soon","OK")))))</f>
        <v/>
      </c>
      <c r="P337" s="22" t="n"/>
      <c r="Q337" s="25" t="n"/>
      <c r="R337" s="22" t="n"/>
      <c r="S337" s="22" t="n"/>
      <c r="T337" s="23" t="n"/>
      <c r="U337" s="22">
        <f>IF(E337="","",IF(J337="","",N337+ROW()/100000))</f>
        <v/>
      </c>
    </row>
    <row r="338">
      <c r="A338" s="9">
        <f>IF(E338="","",COUNTA($E$5:E338))</f>
        <v/>
      </c>
      <c r="B338" s="22" t="n"/>
      <c r="C338" s="22" t="n"/>
      <c r="D338" s="22" t="n"/>
      <c r="E338" s="23" t="n"/>
      <c r="F338" s="23" t="n"/>
      <c r="G338" s="23" t="n"/>
      <c r="H338" s="22" t="n"/>
      <c r="I338" s="15" t="n"/>
      <c r="J338" s="15" t="n"/>
      <c r="K338" s="22" t="n"/>
      <c r="L338" s="22" t="n"/>
      <c r="M338" s="15">
        <f>IF(J338="","",J338-IF(L338="",0,L338))</f>
        <v/>
      </c>
      <c r="N338" s="24">
        <f>IF(J338="","",J338-TODAY())</f>
        <v/>
      </c>
      <c r="O338" s="9">
        <f>IF(E338="","",IF(J338="","No date",IF(N338&lt;0,"Expired",IF(N338&lt;=30,"Urgent",IF(N338&lt;=90,"Due soon","OK")))))</f>
        <v/>
      </c>
      <c r="P338" s="22" t="n"/>
      <c r="Q338" s="25" t="n"/>
      <c r="R338" s="22" t="n"/>
      <c r="S338" s="22" t="n"/>
      <c r="T338" s="23" t="n"/>
      <c r="U338" s="22">
        <f>IF(E338="","",IF(J338="","",N338+ROW()/100000))</f>
        <v/>
      </c>
    </row>
    <row r="339">
      <c r="A339" s="9">
        <f>IF(E339="","",COUNTA($E$5:E339))</f>
        <v/>
      </c>
      <c r="B339" s="22" t="n"/>
      <c r="C339" s="22" t="n"/>
      <c r="D339" s="22" t="n"/>
      <c r="E339" s="23" t="n"/>
      <c r="F339" s="23" t="n"/>
      <c r="G339" s="23" t="n"/>
      <c r="H339" s="22" t="n"/>
      <c r="I339" s="15" t="n"/>
      <c r="J339" s="15" t="n"/>
      <c r="K339" s="22" t="n"/>
      <c r="L339" s="22" t="n"/>
      <c r="M339" s="15">
        <f>IF(J339="","",J339-IF(L339="",0,L339))</f>
        <v/>
      </c>
      <c r="N339" s="24">
        <f>IF(J339="","",J339-TODAY())</f>
        <v/>
      </c>
      <c r="O339" s="9">
        <f>IF(E339="","",IF(J339="","No date",IF(N339&lt;0,"Expired",IF(N339&lt;=30,"Urgent",IF(N339&lt;=90,"Due soon","OK")))))</f>
        <v/>
      </c>
      <c r="P339" s="22" t="n"/>
      <c r="Q339" s="25" t="n"/>
      <c r="R339" s="22" t="n"/>
      <c r="S339" s="22" t="n"/>
      <c r="T339" s="23" t="n"/>
      <c r="U339" s="22">
        <f>IF(E339="","",IF(J339="","",N339+ROW()/100000))</f>
        <v/>
      </c>
    </row>
    <row r="340">
      <c r="A340" s="9">
        <f>IF(E340="","",COUNTA($E$5:E340))</f>
        <v/>
      </c>
      <c r="B340" s="22" t="n"/>
      <c r="C340" s="22" t="n"/>
      <c r="D340" s="22" t="n"/>
      <c r="E340" s="23" t="n"/>
      <c r="F340" s="23" t="n"/>
      <c r="G340" s="23" t="n"/>
      <c r="H340" s="22" t="n"/>
      <c r="I340" s="15" t="n"/>
      <c r="J340" s="15" t="n"/>
      <c r="K340" s="22" t="n"/>
      <c r="L340" s="22" t="n"/>
      <c r="M340" s="15">
        <f>IF(J340="","",J340-IF(L340="",0,L340))</f>
        <v/>
      </c>
      <c r="N340" s="24">
        <f>IF(J340="","",J340-TODAY())</f>
        <v/>
      </c>
      <c r="O340" s="9">
        <f>IF(E340="","",IF(J340="","No date",IF(N340&lt;0,"Expired",IF(N340&lt;=30,"Urgent",IF(N340&lt;=90,"Due soon","OK")))))</f>
        <v/>
      </c>
      <c r="P340" s="22" t="n"/>
      <c r="Q340" s="25" t="n"/>
      <c r="R340" s="22" t="n"/>
      <c r="S340" s="22" t="n"/>
      <c r="T340" s="23" t="n"/>
      <c r="U340" s="22">
        <f>IF(E340="","",IF(J340="","",N340+ROW()/100000))</f>
        <v/>
      </c>
    </row>
    <row r="341">
      <c r="A341" s="9">
        <f>IF(E341="","",COUNTA($E$5:E341))</f>
        <v/>
      </c>
      <c r="B341" s="22" t="n"/>
      <c r="C341" s="22" t="n"/>
      <c r="D341" s="22" t="n"/>
      <c r="E341" s="23" t="n"/>
      <c r="F341" s="23" t="n"/>
      <c r="G341" s="23" t="n"/>
      <c r="H341" s="22" t="n"/>
      <c r="I341" s="15" t="n"/>
      <c r="J341" s="15" t="n"/>
      <c r="K341" s="22" t="n"/>
      <c r="L341" s="22" t="n"/>
      <c r="M341" s="15">
        <f>IF(J341="","",J341-IF(L341="",0,L341))</f>
        <v/>
      </c>
      <c r="N341" s="24">
        <f>IF(J341="","",J341-TODAY())</f>
        <v/>
      </c>
      <c r="O341" s="9">
        <f>IF(E341="","",IF(J341="","No date",IF(N341&lt;0,"Expired",IF(N341&lt;=30,"Urgent",IF(N341&lt;=90,"Due soon","OK")))))</f>
        <v/>
      </c>
      <c r="P341" s="22" t="n"/>
      <c r="Q341" s="25" t="n"/>
      <c r="R341" s="22" t="n"/>
      <c r="S341" s="22" t="n"/>
      <c r="T341" s="23" t="n"/>
      <c r="U341" s="22">
        <f>IF(E341="","",IF(J341="","",N341+ROW()/100000))</f>
        <v/>
      </c>
    </row>
    <row r="342">
      <c r="A342" s="9">
        <f>IF(E342="","",COUNTA($E$5:E342))</f>
        <v/>
      </c>
      <c r="B342" s="22" t="n"/>
      <c r="C342" s="22" t="n"/>
      <c r="D342" s="22" t="n"/>
      <c r="E342" s="23" t="n"/>
      <c r="F342" s="23" t="n"/>
      <c r="G342" s="23" t="n"/>
      <c r="H342" s="22" t="n"/>
      <c r="I342" s="15" t="n"/>
      <c r="J342" s="15" t="n"/>
      <c r="K342" s="22" t="n"/>
      <c r="L342" s="22" t="n"/>
      <c r="M342" s="15">
        <f>IF(J342="","",J342-IF(L342="",0,L342))</f>
        <v/>
      </c>
      <c r="N342" s="24">
        <f>IF(J342="","",J342-TODAY())</f>
        <v/>
      </c>
      <c r="O342" s="9">
        <f>IF(E342="","",IF(J342="","No date",IF(N342&lt;0,"Expired",IF(N342&lt;=30,"Urgent",IF(N342&lt;=90,"Due soon","OK")))))</f>
        <v/>
      </c>
      <c r="P342" s="22" t="n"/>
      <c r="Q342" s="25" t="n"/>
      <c r="R342" s="22" t="n"/>
      <c r="S342" s="22" t="n"/>
      <c r="T342" s="23" t="n"/>
      <c r="U342" s="22">
        <f>IF(E342="","",IF(J342="","",N342+ROW()/100000))</f>
        <v/>
      </c>
    </row>
    <row r="343">
      <c r="A343" s="9">
        <f>IF(E343="","",COUNTA($E$5:E343))</f>
        <v/>
      </c>
      <c r="B343" s="22" t="n"/>
      <c r="C343" s="22" t="n"/>
      <c r="D343" s="22" t="n"/>
      <c r="E343" s="23" t="n"/>
      <c r="F343" s="23" t="n"/>
      <c r="G343" s="23" t="n"/>
      <c r="H343" s="22" t="n"/>
      <c r="I343" s="15" t="n"/>
      <c r="J343" s="15" t="n"/>
      <c r="K343" s="22" t="n"/>
      <c r="L343" s="22" t="n"/>
      <c r="M343" s="15">
        <f>IF(J343="","",J343-IF(L343="",0,L343))</f>
        <v/>
      </c>
      <c r="N343" s="24">
        <f>IF(J343="","",J343-TODAY())</f>
        <v/>
      </c>
      <c r="O343" s="9">
        <f>IF(E343="","",IF(J343="","No date",IF(N343&lt;0,"Expired",IF(N343&lt;=30,"Urgent",IF(N343&lt;=90,"Due soon","OK")))))</f>
        <v/>
      </c>
      <c r="P343" s="22" t="n"/>
      <c r="Q343" s="25" t="n"/>
      <c r="R343" s="22" t="n"/>
      <c r="S343" s="22" t="n"/>
      <c r="T343" s="23" t="n"/>
      <c r="U343" s="22">
        <f>IF(E343="","",IF(J343="","",N343+ROW()/100000))</f>
        <v/>
      </c>
    </row>
    <row r="344">
      <c r="A344" s="9">
        <f>IF(E344="","",COUNTA($E$5:E344))</f>
        <v/>
      </c>
      <c r="B344" s="22" t="n"/>
      <c r="C344" s="22" t="n"/>
      <c r="D344" s="22" t="n"/>
      <c r="E344" s="23" t="n"/>
      <c r="F344" s="23" t="n"/>
      <c r="G344" s="23" t="n"/>
      <c r="H344" s="22" t="n"/>
      <c r="I344" s="15" t="n"/>
      <c r="J344" s="15" t="n"/>
      <c r="K344" s="22" t="n"/>
      <c r="L344" s="22" t="n"/>
      <c r="M344" s="15">
        <f>IF(J344="","",J344-IF(L344="",0,L344))</f>
        <v/>
      </c>
      <c r="N344" s="24">
        <f>IF(J344="","",J344-TODAY())</f>
        <v/>
      </c>
      <c r="O344" s="9">
        <f>IF(E344="","",IF(J344="","No date",IF(N344&lt;0,"Expired",IF(N344&lt;=30,"Urgent",IF(N344&lt;=90,"Due soon","OK")))))</f>
        <v/>
      </c>
      <c r="P344" s="22" t="n"/>
      <c r="Q344" s="25" t="n"/>
      <c r="R344" s="22" t="n"/>
      <c r="S344" s="22" t="n"/>
      <c r="T344" s="23" t="n"/>
      <c r="U344" s="22">
        <f>IF(E344="","",IF(J344="","",N344+ROW()/100000))</f>
        <v/>
      </c>
    </row>
    <row r="345">
      <c r="A345" s="9">
        <f>IF(E345="","",COUNTA($E$5:E345))</f>
        <v/>
      </c>
      <c r="B345" s="22" t="n"/>
      <c r="C345" s="22" t="n"/>
      <c r="D345" s="22" t="n"/>
      <c r="E345" s="23" t="n"/>
      <c r="F345" s="23" t="n"/>
      <c r="G345" s="23" t="n"/>
      <c r="H345" s="22" t="n"/>
      <c r="I345" s="15" t="n"/>
      <c r="J345" s="15" t="n"/>
      <c r="K345" s="22" t="n"/>
      <c r="L345" s="22" t="n"/>
      <c r="M345" s="15">
        <f>IF(J345="","",J345-IF(L345="",0,L345))</f>
        <v/>
      </c>
      <c r="N345" s="24">
        <f>IF(J345="","",J345-TODAY())</f>
        <v/>
      </c>
      <c r="O345" s="9">
        <f>IF(E345="","",IF(J345="","No date",IF(N345&lt;0,"Expired",IF(N345&lt;=30,"Urgent",IF(N345&lt;=90,"Due soon","OK")))))</f>
        <v/>
      </c>
      <c r="P345" s="22" t="n"/>
      <c r="Q345" s="25" t="n"/>
      <c r="R345" s="22" t="n"/>
      <c r="S345" s="22" t="n"/>
      <c r="T345" s="23" t="n"/>
      <c r="U345" s="22">
        <f>IF(E345="","",IF(J345="","",N345+ROW()/100000))</f>
        <v/>
      </c>
    </row>
    <row r="346">
      <c r="A346" s="9">
        <f>IF(E346="","",COUNTA($E$5:E346))</f>
        <v/>
      </c>
      <c r="B346" s="22" t="n"/>
      <c r="C346" s="22" t="n"/>
      <c r="D346" s="22" t="n"/>
      <c r="E346" s="23" t="n"/>
      <c r="F346" s="23" t="n"/>
      <c r="G346" s="23" t="n"/>
      <c r="H346" s="22" t="n"/>
      <c r="I346" s="15" t="n"/>
      <c r="J346" s="15" t="n"/>
      <c r="K346" s="22" t="n"/>
      <c r="L346" s="22" t="n"/>
      <c r="M346" s="15">
        <f>IF(J346="","",J346-IF(L346="",0,L346))</f>
        <v/>
      </c>
      <c r="N346" s="24">
        <f>IF(J346="","",J346-TODAY())</f>
        <v/>
      </c>
      <c r="O346" s="9">
        <f>IF(E346="","",IF(J346="","No date",IF(N346&lt;0,"Expired",IF(N346&lt;=30,"Urgent",IF(N346&lt;=90,"Due soon","OK")))))</f>
        <v/>
      </c>
      <c r="P346" s="22" t="n"/>
      <c r="Q346" s="25" t="n"/>
      <c r="R346" s="22" t="n"/>
      <c r="S346" s="22" t="n"/>
      <c r="T346" s="23" t="n"/>
      <c r="U346" s="22">
        <f>IF(E346="","",IF(J346="","",N346+ROW()/100000))</f>
        <v/>
      </c>
    </row>
    <row r="347">
      <c r="A347" s="9">
        <f>IF(E347="","",COUNTA($E$5:E347))</f>
        <v/>
      </c>
      <c r="B347" s="22" t="n"/>
      <c r="C347" s="22" t="n"/>
      <c r="D347" s="22" t="n"/>
      <c r="E347" s="23" t="n"/>
      <c r="F347" s="23" t="n"/>
      <c r="G347" s="23" t="n"/>
      <c r="H347" s="22" t="n"/>
      <c r="I347" s="15" t="n"/>
      <c r="J347" s="15" t="n"/>
      <c r="K347" s="22" t="n"/>
      <c r="L347" s="22" t="n"/>
      <c r="M347" s="15">
        <f>IF(J347="","",J347-IF(L347="",0,L347))</f>
        <v/>
      </c>
      <c r="N347" s="24">
        <f>IF(J347="","",J347-TODAY())</f>
        <v/>
      </c>
      <c r="O347" s="9">
        <f>IF(E347="","",IF(J347="","No date",IF(N347&lt;0,"Expired",IF(N347&lt;=30,"Urgent",IF(N347&lt;=90,"Due soon","OK")))))</f>
        <v/>
      </c>
      <c r="P347" s="22" t="n"/>
      <c r="Q347" s="25" t="n"/>
      <c r="R347" s="22" t="n"/>
      <c r="S347" s="22" t="n"/>
      <c r="T347" s="23" t="n"/>
      <c r="U347" s="22">
        <f>IF(E347="","",IF(J347="","",N347+ROW()/100000))</f>
        <v/>
      </c>
    </row>
    <row r="348">
      <c r="A348" s="9">
        <f>IF(E348="","",COUNTA($E$5:E348))</f>
        <v/>
      </c>
      <c r="B348" s="22" t="n"/>
      <c r="C348" s="22" t="n"/>
      <c r="D348" s="22" t="n"/>
      <c r="E348" s="23" t="n"/>
      <c r="F348" s="23" t="n"/>
      <c r="G348" s="23" t="n"/>
      <c r="H348" s="22" t="n"/>
      <c r="I348" s="15" t="n"/>
      <c r="J348" s="15" t="n"/>
      <c r="K348" s="22" t="n"/>
      <c r="L348" s="22" t="n"/>
      <c r="M348" s="15">
        <f>IF(J348="","",J348-IF(L348="",0,L348))</f>
        <v/>
      </c>
      <c r="N348" s="24">
        <f>IF(J348="","",J348-TODAY())</f>
        <v/>
      </c>
      <c r="O348" s="9">
        <f>IF(E348="","",IF(J348="","No date",IF(N348&lt;0,"Expired",IF(N348&lt;=30,"Urgent",IF(N348&lt;=90,"Due soon","OK")))))</f>
        <v/>
      </c>
      <c r="P348" s="22" t="n"/>
      <c r="Q348" s="25" t="n"/>
      <c r="R348" s="22" t="n"/>
      <c r="S348" s="22" t="n"/>
      <c r="T348" s="23" t="n"/>
      <c r="U348" s="22">
        <f>IF(E348="","",IF(J348="","",N348+ROW()/100000))</f>
        <v/>
      </c>
    </row>
    <row r="349">
      <c r="A349" s="9">
        <f>IF(E349="","",COUNTA($E$5:E349))</f>
        <v/>
      </c>
      <c r="B349" s="22" t="n"/>
      <c r="C349" s="22" t="n"/>
      <c r="D349" s="22" t="n"/>
      <c r="E349" s="23" t="n"/>
      <c r="F349" s="23" t="n"/>
      <c r="G349" s="23" t="n"/>
      <c r="H349" s="22" t="n"/>
      <c r="I349" s="15" t="n"/>
      <c r="J349" s="15" t="n"/>
      <c r="K349" s="22" t="n"/>
      <c r="L349" s="22" t="n"/>
      <c r="M349" s="15">
        <f>IF(J349="","",J349-IF(L349="",0,L349))</f>
        <v/>
      </c>
      <c r="N349" s="24">
        <f>IF(J349="","",J349-TODAY())</f>
        <v/>
      </c>
      <c r="O349" s="9">
        <f>IF(E349="","",IF(J349="","No date",IF(N349&lt;0,"Expired",IF(N349&lt;=30,"Urgent",IF(N349&lt;=90,"Due soon","OK")))))</f>
        <v/>
      </c>
      <c r="P349" s="22" t="n"/>
      <c r="Q349" s="25" t="n"/>
      <c r="R349" s="22" t="n"/>
      <c r="S349" s="22" t="n"/>
      <c r="T349" s="23" t="n"/>
      <c r="U349" s="22">
        <f>IF(E349="","",IF(J349="","",N349+ROW()/100000))</f>
        <v/>
      </c>
    </row>
    <row r="350">
      <c r="A350" s="9">
        <f>IF(E350="","",COUNTA($E$5:E350))</f>
        <v/>
      </c>
      <c r="B350" s="22" t="n"/>
      <c r="C350" s="22" t="n"/>
      <c r="D350" s="22" t="n"/>
      <c r="E350" s="23" t="n"/>
      <c r="F350" s="23" t="n"/>
      <c r="G350" s="23" t="n"/>
      <c r="H350" s="22" t="n"/>
      <c r="I350" s="15" t="n"/>
      <c r="J350" s="15" t="n"/>
      <c r="K350" s="22" t="n"/>
      <c r="L350" s="22" t="n"/>
      <c r="M350" s="15">
        <f>IF(J350="","",J350-IF(L350="",0,L350))</f>
        <v/>
      </c>
      <c r="N350" s="24">
        <f>IF(J350="","",J350-TODAY())</f>
        <v/>
      </c>
      <c r="O350" s="9">
        <f>IF(E350="","",IF(J350="","No date",IF(N350&lt;0,"Expired",IF(N350&lt;=30,"Urgent",IF(N350&lt;=90,"Due soon","OK")))))</f>
        <v/>
      </c>
      <c r="P350" s="22" t="n"/>
      <c r="Q350" s="25" t="n"/>
      <c r="R350" s="22" t="n"/>
      <c r="S350" s="22" t="n"/>
      <c r="T350" s="23" t="n"/>
      <c r="U350" s="22">
        <f>IF(E350="","",IF(J350="","",N350+ROW()/100000))</f>
        <v/>
      </c>
    </row>
    <row r="351">
      <c r="A351" s="9">
        <f>IF(E351="","",COUNTA($E$5:E351))</f>
        <v/>
      </c>
      <c r="B351" s="22" t="n"/>
      <c r="C351" s="22" t="n"/>
      <c r="D351" s="22" t="n"/>
      <c r="E351" s="23" t="n"/>
      <c r="F351" s="23" t="n"/>
      <c r="G351" s="23" t="n"/>
      <c r="H351" s="22" t="n"/>
      <c r="I351" s="15" t="n"/>
      <c r="J351" s="15" t="n"/>
      <c r="K351" s="22" t="n"/>
      <c r="L351" s="22" t="n"/>
      <c r="M351" s="15">
        <f>IF(J351="","",J351-IF(L351="",0,L351))</f>
        <v/>
      </c>
      <c r="N351" s="24">
        <f>IF(J351="","",J351-TODAY())</f>
        <v/>
      </c>
      <c r="O351" s="9">
        <f>IF(E351="","",IF(J351="","No date",IF(N351&lt;0,"Expired",IF(N351&lt;=30,"Urgent",IF(N351&lt;=90,"Due soon","OK")))))</f>
        <v/>
      </c>
      <c r="P351" s="22" t="n"/>
      <c r="Q351" s="25" t="n"/>
      <c r="R351" s="22" t="n"/>
      <c r="S351" s="22" t="n"/>
      <c r="T351" s="23" t="n"/>
      <c r="U351" s="22">
        <f>IF(E351="","",IF(J351="","",N351+ROW()/100000))</f>
        <v/>
      </c>
    </row>
    <row r="352">
      <c r="A352" s="9">
        <f>IF(E352="","",COUNTA($E$5:E352))</f>
        <v/>
      </c>
      <c r="B352" s="22" t="n"/>
      <c r="C352" s="22" t="n"/>
      <c r="D352" s="22" t="n"/>
      <c r="E352" s="23" t="n"/>
      <c r="F352" s="23" t="n"/>
      <c r="G352" s="23" t="n"/>
      <c r="H352" s="22" t="n"/>
      <c r="I352" s="15" t="n"/>
      <c r="J352" s="15" t="n"/>
      <c r="K352" s="22" t="n"/>
      <c r="L352" s="22" t="n"/>
      <c r="M352" s="15">
        <f>IF(J352="","",J352-IF(L352="",0,L352))</f>
        <v/>
      </c>
      <c r="N352" s="24">
        <f>IF(J352="","",J352-TODAY())</f>
        <v/>
      </c>
      <c r="O352" s="9">
        <f>IF(E352="","",IF(J352="","No date",IF(N352&lt;0,"Expired",IF(N352&lt;=30,"Urgent",IF(N352&lt;=90,"Due soon","OK")))))</f>
        <v/>
      </c>
      <c r="P352" s="22" t="n"/>
      <c r="Q352" s="25" t="n"/>
      <c r="R352" s="22" t="n"/>
      <c r="S352" s="22" t="n"/>
      <c r="T352" s="23" t="n"/>
      <c r="U352" s="22">
        <f>IF(E352="","",IF(J352="","",N352+ROW()/100000))</f>
        <v/>
      </c>
    </row>
    <row r="353">
      <c r="A353" s="9">
        <f>IF(E353="","",COUNTA($E$5:E353))</f>
        <v/>
      </c>
      <c r="B353" s="22" t="n"/>
      <c r="C353" s="22" t="n"/>
      <c r="D353" s="22" t="n"/>
      <c r="E353" s="23" t="n"/>
      <c r="F353" s="23" t="n"/>
      <c r="G353" s="23" t="n"/>
      <c r="H353" s="22" t="n"/>
      <c r="I353" s="15" t="n"/>
      <c r="J353" s="15" t="n"/>
      <c r="K353" s="22" t="n"/>
      <c r="L353" s="22" t="n"/>
      <c r="M353" s="15">
        <f>IF(J353="","",J353-IF(L353="",0,L353))</f>
        <v/>
      </c>
      <c r="N353" s="24">
        <f>IF(J353="","",J353-TODAY())</f>
        <v/>
      </c>
      <c r="O353" s="9">
        <f>IF(E353="","",IF(J353="","No date",IF(N353&lt;0,"Expired",IF(N353&lt;=30,"Urgent",IF(N353&lt;=90,"Due soon","OK")))))</f>
        <v/>
      </c>
      <c r="P353" s="22" t="n"/>
      <c r="Q353" s="25" t="n"/>
      <c r="R353" s="22" t="n"/>
      <c r="S353" s="22" t="n"/>
      <c r="T353" s="23" t="n"/>
      <c r="U353" s="22">
        <f>IF(E353="","",IF(J353="","",N353+ROW()/100000))</f>
        <v/>
      </c>
    </row>
    <row r="354">
      <c r="A354" s="9">
        <f>IF(E354="","",COUNTA($E$5:E354))</f>
        <v/>
      </c>
      <c r="B354" s="22" t="n"/>
      <c r="C354" s="22" t="n"/>
      <c r="D354" s="22" t="n"/>
      <c r="E354" s="23" t="n"/>
      <c r="F354" s="23" t="n"/>
      <c r="G354" s="23" t="n"/>
      <c r="H354" s="22" t="n"/>
      <c r="I354" s="15" t="n"/>
      <c r="J354" s="15" t="n"/>
      <c r="K354" s="22" t="n"/>
      <c r="L354" s="22" t="n"/>
      <c r="M354" s="15">
        <f>IF(J354="","",J354-IF(L354="",0,L354))</f>
        <v/>
      </c>
      <c r="N354" s="24">
        <f>IF(J354="","",J354-TODAY())</f>
        <v/>
      </c>
      <c r="O354" s="9">
        <f>IF(E354="","",IF(J354="","No date",IF(N354&lt;0,"Expired",IF(N354&lt;=30,"Urgent",IF(N354&lt;=90,"Due soon","OK")))))</f>
        <v/>
      </c>
      <c r="P354" s="22" t="n"/>
      <c r="Q354" s="25" t="n"/>
      <c r="R354" s="22" t="n"/>
      <c r="S354" s="22" t="n"/>
      <c r="T354" s="23" t="n"/>
      <c r="U354" s="22">
        <f>IF(E354="","",IF(J354="","",N354+ROW()/100000))</f>
        <v/>
      </c>
    </row>
    <row r="355">
      <c r="A355" s="9">
        <f>IF(E355="","",COUNTA($E$5:E355))</f>
        <v/>
      </c>
      <c r="B355" s="22" t="n"/>
      <c r="C355" s="22" t="n"/>
      <c r="D355" s="22" t="n"/>
      <c r="E355" s="23" t="n"/>
      <c r="F355" s="23" t="n"/>
      <c r="G355" s="23" t="n"/>
      <c r="H355" s="22" t="n"/>
      <c r="I355" s="15" t="n"/>
      <c r="J355" s="15" t="n"/>
      <c r="K355" s="22" t="n"/>
      <c r="L355" s="22" t="n"/>
      <c r="M355" s="15">
        <f>IF(J355="","",J355-IF(L355="",0,L355))</f>
        <v/>
      </c>
      <c r="N355" s="24">
        <f>IF(J355="","",J355-TODAY())</f>
        <v/>
      </c>
      <c r="O355" s="9">
        <f>IF(E355="","",IF(J355="","No date",IF(N355&lt;0,"Expired",IF(N355&lt;=30,"Urgent",IF(N355&lt;=90,"Due soon","OK")))))</f>
        <v/>
      </c>
      <c r="P355" s="22" t="n"/>
      <c r="Q355" s="25" t="n"/>
      <c r="R355" s="22" t="n"/>
      <c r="S355" s="22" t="n"/>
      <c r="T355" s="23" t="n"/>
      <c r="U355" s="22">
        <f>IF(E355="","",IF(J355="","",N355+ROW()/100000))</f>
        <v/>
      </c>
    </row>
    <row r="356">
      <c r="A356" s="9">
        <f>IF(E356="","",COUNTA($E$5:E356))</f>
        <v/>
      </c>
      <c r="B356" s="22" t="n"/>
      <c r="C356" s="22" t="n"/>
      <c r="D356" s="22" t="n"/>
      <c r="E356" s="23" t="n"/>
      <c r="F356" s="23" t="n"/>
      <c r="G356" s="23" t="n"/>
      <c r="H356" s="22" t="n"/>
      <c r="I356" s="15" t="n"/>
      <c r="J356" s="15" t="n"/>
      <c r="K356" s="22" t="n"/>
      <c r="L356" s="22" t="n"/>
      <c r="M356" s="15">
        <f>IF(J356="","",J356-IF(L356="",0,L356))</f>
        <v/>
      </c>
      <c r="N356" s="24">
        <f>IF(J356="","",J356-TODAY())</f>
        <v/>
      </c>
      <c r="O356" s="9">
        <f>IF(E356="","",IF(J356="","No date",IF(N356&lt;0,"Expired",IF(N356&lt;=30,"Urgent",IF(N356&lt;=90,"Due soon","OK")))))</f>
        <v/>
      </c>
      <c r="P356" s="22" t="n"/>
      <c r="Q356" s="25" t="n"/>
      <c r="R356" s="22" t="n"/>
      <c r="S356" s="22" t="n"/>
      <c r="T356" s="23" t="n"/>
      <c r="U356" s="22">
        <f>IF(E356="","",IF(J356="","",N356+ROW()/100000))</f>
        <v/>
      </c>
    </row>
    <row r="357">
      <c r="A357" s="9">
        <f>IF(E357="","",COUNTA($E$5:E357))</f>
        <v/>
      </c>
      <c r="B357" s="22" t="n"/>
      <c r="C357" s="22" t="n"/>
      <c r="D357" s="22" t="n"/>
      <c r="E357" s="23" t="n"/>
      <c r="F357" s="23" t="n"/>
      <c r="G357" s="23" t="n"/>
      <c r="H357" s="22" t="n"/>
      <c r="I357" s="15" t="n"/>
      <c r="J357" s="15" t="n"/>
      <c r="K357" s="22" t="n"/>
      <c r="L357" s="22" t="n"/>
      <c r="M357" s="15">
        <f>IF(J357="","",J357-IF(L357="",0,L357))</f>
        <v/>
      </c>
      <c r="N357" s="24">
        <f>IF(J357="","",J357-TODAY())</f>
        <v/>
      </c>
      <c r="O357" s="9">
        <f>IF(E357="","",IF(J357="","No date",IF(N357&lt;0,"Expired",IF(N357&lt;=30,"Urgent",IF(N357&lt;=90,"Due soon","OK")))))</f>
        <v/>
      </c>
      <c r="P357" s="22" t="n"/>
      <c r="Q357" s="25" t="n"/>
      <c r="R357" s="22" t="n"/>
      <c r="S357" s="22" t="n"/>
      <c r="T357" s="23" t="n"/>
      <c r="U357" s="22">
        <f>IF(E357="","",IF(J357="","",N357+ROW()/100000))</f>
        <v/>
      </c>
    </row>
    <row r="358">
      <c r="A358" s="9">
        <f>IF(E358="","",COUNTA($E$5:E358))</f>
        <v/>
      </c>
      <c r="B358" s="22" t="n"/>
      <c r="C358" s="22" t="n"/>
      <c r="D358" s="22" t="n"/>
      <c r="E358" s="23" t="n"/>
      <c r="F358" s="23" t="n"/>
      <c r="G358" s="23" t="n"/>
      <c r="H358" s="22" t="n"/>
      <c r="I358" s="15" t="n"/>
      <c r="J358" s="15" t="n"/>
      <c r="K358" s="22" t="n"/>
      <c r="L358" s="22" t="n"/>
      <c r="M358" s="15">
        <f>IF(J358="","",J358-IF(L358="",0,L358))</f>
        <v/>
      </c>
      <c r="N358" s="24">
        <f>IF(J358="","",J358-TODAY())</f>
        <v/>
      </c>
      <c r="O358" s="9">
        <f>IF(E358="","",IF(J358="","No date",IF(N358&lt;0,"Expired",IF(N358&lt;=30,"Urgent",IF(N358&lt;=90,"Due soon","OK")))))</f>
        <v/>
      </c>
      <c r="P358" s="22" t="n"/>
      <c r="Q358" s="25" t="n"/>
      <c r="R358" s="22" t="n"/>
      <c r="S358" s="22" t="n"/>
      <c r="T358" s="23" t="n"/>
      <c r="U358" s="22">
        <f>IF(E358="","",IF(J358="","",N358+ROW()/100000))</f>
        <v/>
      </c>
    </row>
    <row r="359">
      <c r="A359" s="9">
        <f>IF(E359="","",COUNTA($E$5:E359))</f>
        <v/>
      </c>
      <c r="B359" s="22" t="n"/>
      <c r="C359" s="22" t="n"/>
      <c r="D359" s="22" t="n"/>
      <c r="E359" s="23" t="n"/>
      <c r="F359" s="23" t="n"/>
      <c r="G359" s="23" t="n"/>
      <c r="H359" s="22" t="n"/>
      <c r="I359" s="15" t="n"/>
      <c r="J359" s="15" t="n"/>
      <c r="K359" s="22" t="n"/>
      <c r="L359" s="22" t="n"/>
      <c r="M359" s="15">
        <f>IF(J359="","",J359-IF(L359="",0,L359))</f>
        <v/>
      </c>
      <c r="N359" s="24">
        <f>IF(J359="","",J359-TODAY())</f>
        <v/>
      </c>
      <c r="O359" s="9">
        <f>IF(E359="","",IF(J359="","No date",IF(N359&lt;0,"Expired",IF(N359&lt;=30,"Urgent",IF(N359&lt;=90,"Due soon","OK")))))</f>
        <v/>
      </c>
      <c r="P359" s="22" t="n"/>
      <c r="Q359" s="25" t="n"/>
      <c r="R359" s="22" t="n"/>
      <c r="S359" s="22" t="n"/>
      <c r="T359" s="23" t="n"/>
      <c r="U359" s="22">
        <f>IF(E359="","",IF(J359="","",N359+ROW()/100000))</f>
        <v/>
      </c>
    </row>
    <row r="360">
      <c r="A360" s="9">
        <f>IF(E360="","",COUNTA($E$5:E360))</f>
        <v/>
      </c>
      <c r="B360" s="22" t="n"/>
      <c r="C360" s="22" t="n"/>
      <c r="D360" s="22" t="n"/>
      <c r="E360" s="23" t="n"/>
      <c r="F360" s="23" t="n"/>
      <c r="G360" s="23" t="n"/>
      <c r="H360" s="22" t="n"/>
      <c r="I360" s="15" t="n"/>
      <c r="J360" s="15" t="n"/>
      <c r="K360" s="22" t="n"/>
      <c r="L360" s="22" t="n"/>
      <c r="M360" s="15">
        <f>IF(J360="","",J360-IF(L360="",0,L360))</f>
        <v/>
      </c>
      <c r="N360" s="24">
        <f>IF(J360="","",J360-TODAY())</f>
        <v/>
      </c>
      <c r="O360" s="9">
        <f>IF(E360="","",IF(J360="","No date",IF(N360&lt;0,"Expired",IF(N360&lt;=30,"Urgent",IF(N360&lt;=90,"Due soon","OK")))))</f>
        <v/>
      </c>
      <c r="P360" s="22" t="n"/>
      <c r="Q360" s="25" t="n"/>
      <c r="R360" s="22" t="n"/>
      <c r="S360" s="22" t="n"/>
      <c r="T360" s="23" t="n"/>
      <c r="U360" s="22">
        <f>IF(E360="","",IF(J360="","",N360+ROW()/100000))</f>
        <v/>
      </c>
    </row>
    <row r="361">
      <c r="A361" s="9">
        <f>IF(E361="","",COUNTA($E$5:E361))</f>
        <v/>
      </c>
      <c r="B361" s="22" t="n"/>
      <c r="C361" s="22" t="n"/>
      <c r="D361" s="22" t="n"/>
      <c r="E361" s="23" t="n"/>
      <c r="F361" s="23" t="n"/>
      <c r="G361" s="23" t="n"/>
      <c r="H361" s="22" t="n"/>
      <c r="I361" s="15" t="n"/>
      <c r="J361" s="15" t="n"/>
      <c r="K361" s="22" t="n"/>
      <c r="L361" s="22" t="n"/>
      <c r="M361" s="15">
        <f>IF(J361="","",J361-IF(L361="",0,L361))</f>
        <v/>
      </c>
      <c r="N361" s="24">
        <f>IF(J361="","",J361-TODAY())</f>
        <v/>
      </c>
      <c r="O361" s="9">
        <f>IF(E361="","",IF(J361="","No date",IF(N361&lt;0,"Expired",IF(N361&lt;=30,"Urgent",IF(N361&lt;=90,"Due soon","OK")))))</f>
        <v/>
      </c>
      <c r="P361" s="22" t="n"/>
      <c r="Q361" s="25" t="n"/>
      <c r="R361" s="22" t="n"/>
      <c r="S361" s="22" t="n"/>
      <c r="T361" s="23" t="n"/>
      <c r="U361" s="22">
        <f>IF(E361="","",IF(J361="","",N361+ROW()/100000))</f>
        <v/>
      </c>
    </row>
    <row r="362">
      <c r="A362" s="9">
        <f>IF(E362="","",COUNTA($E$5:E362))</f>
        <v/>
      </c>
      <c r="B362" s="22" t="n"/>
      <c r="C362" s="22" t="n"/>
      <c r="D362" s="22" t="n"/>
      <c r="E362" s="23" t="n"/>
      <c r="F362" s="23" t="n"/>
      <c r="G362" s="23" t="n"/>
      <c r="H362" s="22" t="n"/>
      <c r="I362" s="15" t="n"/>
      <c r="J362" s="15" t="n"/>
      <c r="K362" s="22" t="n"/>
      <c r="L362" s="22" t="n"/>
      <c r="M362" s="15">
        <f>IF(J362="","",J362-IF(L362="",0,L362))</f>
        <v/>
      </c>
      <c r="N362" s="24">
        <f>IF(J362="","",J362-TODAY())</f>
        <v/>
      </c>
      <c r="O362" s="9">
        <f>IF(E362="","",IF(J362="","No date",IF(N362&lt;0,"Expired",IF(N362&lt;=30,"Urgent",IF(N362&lt;=90,"Due soon","OK")))))</f>
        <v/>
      </c>
      <c r="P362" s="22" t="n"/>
      <c r="Q362" s="25" t="n"/>
      <c r="R362" s="22" t="n"/>
      <c r="S362" s="22" t="n"/>
      <c r="T362" s="23" t="n"/>
      <c r="U362" s="22">
        <f>IF(E362="","",IF(J362="","",N362+ROW()/100000))</f>
        <v/>
      </c>
    </row>
    <row r="363">
      <c r="A363" s="9">
        <f>IF(E363="","",COUNTA($E$5:E363))</f>
        <v/>
      </c>
      <c r="B363" s="22" t="n"/>
      <c r="C363" s="22" t="n"/>
      <c r="D363" s="22" t="n"/>
      <c r="E363" s="23" t="n"/>
      <c r="F363" s="23" t="n"/>
      <c r="G363" s="23" t="n"/>
      <c r="H363" s="22" t="n"/>
      <c r="I363" s="15" t="n"/>
      <c r="J363" s="15" t="n"/>
      <c r="K363" s="22" t="n"/>
      <c r="L363" s="22" t="n"/>
      <c r="M363" s="15">
        <f>IF(J363="","",J363-IF(L363="",0,L363))</f>
        <v/>
      </c>
      <c r="N363" s="24">
        <f>IF(J363="","",J363-TODAY())</f>
        <v/>
      </c>
      <c r="O363" s="9">
        <f>IF(E363="","",IF(J363="","No date",IF(N363&lt;0,"Expired",IF(N363&lt;=30,"Urgent",IF(N363&lt;=90,"Due soon","OK")))))</f>
        <v/>
      </c>
      <c r="P363" s="22" t="n"/>
      <c r="Q363" s="25" t="n"/>
      <c r="R363" s="22" t="n"/>
      <c r="S363" s="22" t="n"/>
      <c r="T363" s="23" t="n"/>
      <c r="U363" s="22">
        <f>IF(E363="","",IF(J363="","",N363+ROW()/100000))</f>
        <v/>
      </c>
    </row>
    <row r="364">
      <c r="A364" s="9">
        <f>IF(E364="","",COUNTA($E$5:E364))</f>
        <v/>
      </c>
      <c r="B364" s="22" t="n"/>
      <c r="C364" s="22" t="n"/>
      <c r="D364" s="22" t="n"/>
      <c r="E364" s="23" t="n"/>
      <c r="F364" s="23" t="n"/>
      <c r="G364" s="23" t="n"/>
      <c r="H364" s="22" t="n"/>
      <c r="I364" s="15" t="n"/>
      <c r="J364" s="15" t="n"/>
      <c r="K364" s="22" t="n"/>
      <c r="L364" s="22" t="n"/>
      <c r="M364" s="15">
        <f>IF(J364="","",J364-IF(L364="",0,L364))</f>
        <v/>
      </c>
      <c r="N364" s="24">
        <f>IF(J364="","",J364-TODAY())</f>
        <v/>
      </c>
      <c r="O364" s="9">
        <f>IF(E364="","",IF(J364="","No date",IF(N364&lt;0,"Expired",IF(N364&lt;=30,"Urgent",IF(N364&lt;=90,"Due soon","OK")))))</f>
        <v/>
      </c>
      <c r="P364" s="22" t="n"/>
      <c r="Q364" s="25" t="n"/>
      <c r="R364" s="22" t="n"/>
      <c r="S364" s="22" t="n"/>
      <c r="T364" s="23" t="n"/>
      <c r="U364" s="22">
        <f>IF(E364="","",IF(J364="","",N364+ROW()/100000))</f>
        <v/>
      </c>
    </row>
    <row r="365">
      <c r="A365" s="9">
        <f>IF(E365="","",COUNTA($E$5:E365))</f>
        <v/>
      </c>
      <c r="B365" s="22" t="n"/>
      <c r="C365" s="22" t="n"/>
      <c r="D365" s="22" t="n"/>
      <c r="E365" s="23" t="n"/>
      <c r="F365" s="23" t="n"/>
      <c r="G365" s="23" t="n"/>
      <c r="H365" s="22" t="n"/>
      <c r="I365" s="15" t="n"/>
      <c r="J365" s="15" t="n"/>
      <c r="K365" s="22" t="n"/>
      <c r="L365" s="22" t="n"/>
      <c r="M365" s="15">
        <f>IF(J365="","",J365-IF(L365="",0,L365))</f>
        <v/>
      </c>
      <c r="N365" s="24">
        <f>IF(J365="","",J365-TODAY())</f>
        <v/>
      </c>
      <c r="O365" s="9">
        <f>IF(E365="","",IF(J365="","No date",IF(N365&lt;0,"Expired",IF(N365&lt;=30,"Urgent",IF(N365&lt;=90,"Due soon","OK")))))</f>
        <v/>
      </c>
      <c r="P365" s="22" t="n"/>
      <c r="Q365" s="25" t="n"/>
      <c r="R365" s="22" t="n"/>
      <c r="S365" s="22" t="n"/>
      <c r="T365" s="23" t="n"/>
      <c r="U365" s="22">
        <f>IF(E365="","",IF(J365="","",N365+ROW()/100000))</f>
        <v/>
      </c>
    </row>
    <row r="366">
      <c r="A366" s="9">
        <f>IF(E366="","",COUNTA($E$5:E366))</f>
        <v/>
      </c>
      <c r="B366" s="22" t="n"/>
      <c r="C366" s="22" t="n"/>
      <c r="D366" s="22" t="n"/>
      <c r="E366" s="23" t="n"/>
      <c r="F366" s="23" t="n"/>
      <c r="G366" s="23" t="n"/>
      <c r="H366" s="22" t="n"/>
      <c r="I366" s="15" t="n"/>
      <c r="J366" s="15" t="n"/>
      <c r="K366" s="22" t="n"/>
      <c r="L366" s="22" t="n"/>
      <c r="M366" s="15">
        <f>IF(J366="","",J366-IF(L366="",0,L366))</f>
        <v/>
      </c>
      <c r="N366" s="24">
        <f>IF(J366="","",J366-TODAY())</f>
        <v/>
      </c>
      <c r="O366" s="9">
        <f>IF(E366="","",IF(J366="","No date",IF(N366&lt;0,"Expired",IF(N366&lt;=30,"Urgent",IF(N366&lt;=90,"Due soon","OK")))))</f>
        <v/>
      </c>
      <c r="P366" s="22" t="n"/>
      <c r="Q366" s="25" t="n"/>
      <c r="R366" s="22" t="n"/>
      <c r="S366" s="22" t="n"/>
      <c r="T366" s="23" t="n"/>
      <c r="U366" s="22">
        <f>IF(E366="","",IF(J366="","",N366+ROW()/100000))</f>
        <v/>
      </c>
    </row>
    <row r="367">
      <c r="A367" s="9">
        <f>IF(E367="","",COUNTA($E$5:E367))</f>
        <v/>
      </c>
      <c r="B367" s="22" t="n"/>
      <c r="C367" s="22" t="n"/>
      <c r="D367" s="22" t="n"/>
      <c r="E367" s="23" t="n"/>
      <c r="F367" s="23" t="n"/>
      <c r="G367" s="23" t="n"/>
      <c r="H367" s="22" t="n"/>
      <c r="I367" s="15" t="n"/>
      <c r="J367" s="15" t="n"/>
      <c r="K367" s="22" t="n"/>
      <c r="L367" s="22" t="n"/>
      <c r="M367" s="15">
        <f>IF(J367="","",J367-IF(L367="",0,L367))</f>
        <v/>
      </c>
      <c r="N367" s="24">
        <f>IF(J367="","",J367-TODAY())</f>
        <v/>
      </c>
      <c r="O367" s="9">
        <f>IF(E367="","",IF(J367="","No date",IF(N367&lt;0,"Expired",IF(N367&lt;=30,"Urgent",IF(N367&lt;=90,"Due soon","OK")))))</f>
        <v/>
      </c>
      <c r="P367" s="22" t="n"/>
      <c r="Q367" s="25" t="n"/>
      <c r="R367" s="22" t="n"/>
      <c r="S367" s="22" t="n"/>
      <c r="T367" s="23" t="n"/>
      <c r="U367" s="22">
        <f>IF(E367="","",IF(J367="","",N367+ROW()/100000))</f>
        <v/>
      </c>
    </row>
    <row r="368">
      <c r="A368" s="9">
        <f>IF(E368="","",COUNTA($E$5:E368))</f>
        <v/>
      </c>
      <c r="B368" s="22" t="n"/>
      <c r="C368" s="22" t="n"/>
      <c r="D368" s="22" t="n"/>
      <c r="E368" s="23" t="n"/>
      <c r="F368" s="23" t="n"/>
      <c r="G368" s="23" t="n"/>
      <c r="H368" s="22" t="n"/>
      <c r="I368" s="15" t="n"/>
      <c r="J368" s="15" t="n"/>
      <c r="K368" s="22" t="n"/>
      <c r="L368" s="22" t="n"/>
      <c r="M368" s="15">
        <f>IF(J368="","",J368-IF(L368="",0,L368))</f>
        <v/>
      </c>
      <c r="N368" s="24">
        <f>IF(J368="","",J368-TODAY())</f>
        <v/>
      </c>
      <c r="O368" s="9">
        <f>IF(E368="","",IF(J368="","No date",IF(N368&lt;0,"Expired",IF(N368&lt;=30,"Urgent",IF(N368&lt;=90,"Due soon","OK")))))</f>
        <v/>
      </c>
      <c r="P368" s="22" t="n"/>
      <c r="Q368" s="25" t="n"/>
      <c r="R368" s="22" t="n"/>
      <c r="S368" s="22" t="n"/>
      <c r="T368" s="23" t="n"/>
      <c r="U368" s="22">
        <f>IF(E368="","",IF(J368="","",N368+ROW()/100000))</f>
        <v/>
      </c>
    </row>
    <row r="369">
      <c r="A369" s="9">
        <f>IF(E369="","",COUNTA($E$5:E369))</f>
        <v/>
      </c>
      <c r="B369" s="22" t="n"/>
      <c r="C369" s="22" t="n"/>
      <c r="D369" s="22" t="n"/>
      <c r="E369" s="23" t="n"/>
      <c r="F369" s="23" t="n"/>
      <c r="G369" s="23" t="n"/>
      <c r="H369" s="22" t="n"/>
      <c r="I369" s="15" t="n"/>
      <c r="J369" s="15" t="n"/>
      <c r="K369" s="22" t="n"/>
      <c r="L369" s="22" t="n"/>
      <c r="M369" s="15">
        <f>IF(J369="","",J369-IF(L369="",0,L369))</f>
        <v/>
      </c>
      <c r="N369" s="24">
        <f>IF(J369="","",J369-TODAY())</f>
        <v/>
      </c>
      <c r="O369" s="9">
        <f>IF(E369="","",IF(J369="","No date",IF(N369&lt;0,"Expired",IF(N369&lt;=30,"Urgent",IF(N369&lt;=90,"Due soon","OK")))))</f>
        <v/>
      </c>
      <c r="P369" s="22" t="n"/>
      <c r="Q369" s="25" t="n"/>
      <c r="R369" s="22" t="n"/>
      <c r="S369" s="22" t="n"/>
      <c r="T369" s="23" t="n"/>
      <c r="U369" s="22">
        <f>IF(E369="","",IF(J369="","",N369+ROW()/100000))</f>
        <v/>
      </c>
    </row>
    <row r="370">
      <c r="A370" s="9">
        <f>IF(E370="","",COUNTA($E$5:E370))</f>
        <v/>
      </c>
      <c r="B370" s="22" t="n"/>
      <c r="C370" s="22" t="n"/>
      <c r="D370" s="22" t="n"/>
      <c r="E370" s="23" t="n"/>
      <c r="F370" s="23" t="n"/>
      <c r="G370" s="23" t="n"/>
      <c r="H370" s="22" t="n"/>
      <c r="I370" s="15" t="n"/>
      <c r="J370" s="15" t="n"/>
      <c r="K370" s="22" t="n"/>
      <c r="L370" s="22" t="n"/>
      <c r="M370" s="15">
        <f>IF(J370="","",J370-IF(L370="",0,L370))</f>
        <v/>
      </c>
      <c r="N370" s="24">
        <f>IF(J370="","",J370-TODAY())</f>
        <v/>
      </c>
      <c r="O370" s="9">
        <f>IF(E370="","",IF(J370="","No date",IF(N370&lt;0,"Expired",IF(N370&lt;=30,"Urgent",IF(N370&lt;=90,"Due soon","OK")))))</f>
        <v/>
      </c>
      <c r="P370" s="22" t="n"/>
      <c r="Q370" s="25" t="n"/>
      <c r="R370" s="22" t="n"/>
      <c r="S370" s="22" t="n"/>
      <c r="T370" s="23" t="n"/>
      <c r="U370" s="22">
        <f>IF(E370="","",IF(J370="","",N370+ROW()/100000))</f>
        <v/>
      </c>
    </row>
    <row r="371">
      <c r="A371" s="9">
        <f>IF(E371="","",COUNTA($E$5:E371))</f>
        <v/>
      </c>
      <c r="B371" s="22" t="n"/>
      <c r="C371" s="22" t="n"/>
      <c r="D371" s="22" t="n"/>
      <c r="E371" s="23" t="n"/>
      <c r="F371" s="23" t="n"/>
      <c r="G371" s="23" t="n"/>
      <c r="H371" s="22" t="n"/>
      <c r="I371" s="15" t="n"/>
      <c r="J371" s="15" t="n"/>
      <c r="K371" s="22" t="n"/>
      <c r="L371" s="22" t="n"/>
      <c r="M371" s="15">
        <f>IF(J371="","",J371-IF(L371="",0,L371))</f>
        <v/>
      </c>
      <c r="N371" s="24">
        <f>IF(J371="","",J371-TODAY())</f>
        <v/>
      </c>
      <c r="O371" s="9">
        <f>IF(E371="","",IF(J371="","No date",IF(N371&lt;0,"Expired",IF(N371&lt;=30,"Urgent",IF(N371&lt;=90,"Due soon","OK")))))</f>
        <v/>
      </c>
      <c r="P371" s="22" t="n"/>
      <c r="Q371" s="25" t="n"/>
      <c r="R371" s="22" t="n"/>
      <c r="S371" s="22" t="n"/>
      <c r="T371" s="23" t="n"/>
      <c r="U371" s="22">
        <f>IF(E371="","",IF(J371="","",N371+ROW()/100000))</f>
        <v/>
      </c>
    </row>
    <row r="372">
      <c r="A372" s="9">
        <f>IF(E372="","",COUNTA($E$5:E372))</f>
        <v/>
      </c>
      <c r="B372" s="22" t="n"/>
      <c r="C372" s="22" t="n"/>
      <c r="D372" s="22" t="n"/>
      <c r="E372" s="23" t="n"/>
      <c r="F372" s="23" t="n"/>
      <c r="G372" s="23" t="n"/>
      <c r="H372" s="22" t="n"/>
      <c r="I372" s="15" t="n"/>
      <c r="J372" s="15" t="n"/>
      <c r="K372" s="22" t="n"/>
      <c r="L372" s="22" t="n"/>
      <c r="M372" s="15">
        <f>IF(J372="","",J372-IF(L372="",0,L372))</f>
        <v/>
      </c>
      <c r="N372" s="24">
        <f>IF(J372="","",J372-TODAY())</f>
        <v/>
      </c>
      <c r="O372" s="9">
        <f>IF(E372="","",IF(J372="","No date",IF(N372&lt;0,"Expired",IF(N372&lt;=30,"Urgent",IF(N372&lt;=90,"Due soon","OK")))))</f>
        <v/>
      </c>
      <c r="P372" s="22" t="n"/>
      <c r="Q372" s="25" t="n"/>
      <c r="R372" s="22" t="n"/>
      <c r="S372" s="22" t="n"/>
      <c r="T372" s="23" t="n"/>
      <c r="U372" s="22">
        <f>IF(E372="","",IF(J372="","",N372+ROW()/100000))</f>
        <v/>
      </c>
    </row>
    <row r="373">
      <c r="A373" s="9">
        <f>IF(E373="","",COUNTA($E$5:E373))</f>
        <v/>
      </c>
      <c r="B373" s="22" t="n"/>
      <c r="C373" s="22" t="n"/>
      <c r="D373" s="22" t="n"/>
      <c r="E373" s="23" t="n"/>
      <c r="F373" s="23" t="n"/>
      <c r="G373" s="23" t="n"/>
      <c r="H373" s="22" t="n"/>
      <c r="I373" s="15" t="n"/>
      <c r="J373" s="15" t="n"/>
      <c r="K373" s="22" t="n"/>
      <c r="L373" s="22" t="n"/>
      <c r="M373" s="15">
        <f>IF(J373="","",J373-IF(L373="",0,L373))</f>
        <v/>
      </c>
      <c r="N373" s="24">
        <f>IF(J373="","",J373-TODAY())</f>
        <v/>
      </c>
      <c r="O373" s="9">
        <f>IF(E373="","",IF(J373="","No date",IF(N373&lt;0,"Expired",IF(N373&lt;=30,"Urgent",IF(N373&lt;=90,"Due soon","OK")))))</f>
        <v/>
      </c>
      <c r="P373" s="22" t="n"/>
      <c r="Q373" s="25" t="n"/>
      <c r="R373" s="22" t="n"/>
      <c r="S373" s="22" t="n"/>
      <c r="T373" s="23" t="n"/>
      <c r="U373" s="22">
        <f>IF(E373="","",IF(J373="","",N373+ROW()/100000))</f>
        <v/>
      </c>
    </row>
    <row r="374">
      <c r="A374" s="9">
        <f>IF(E374="","",COUNTA($E$5:E374))</f>
        <v/>
      </c>
      <c r="B374" s="22" t="n"/>
      <c r="C374" s="22" t="n"/>
      <c r="D374" s="22" t="n"/>
      <c r="E374" s="23" t="n"/>
      <c r="F374" s="23" t="n"/>
      <c r="G374" s="23" t="n"/>
      <c r="H374" s="22" t="n"/>
      <c r="I374" s="15" t="n"/>
      <c r="J374" s="15" t="n"/>
      <c r="K374" s="22" t="n"/>
      <c r="L374" s="22" t="n"/>
      <c r="M374" s="15">
        <f>IF(J374="","",J374-IF(L374="",0,L374))</f>
        <v/>
      </c>
      <c r="N374" s="24">
        <f>IF(J374="","",J374-TODAY())</f>
        <v/>
      </c>
      <c r="O374" s="9">
        <f>IF(E374="","",IF(J374="","No date",IF(N374&lt;0,"Expired",IF(N374&lt;=30,"Urgent",IF(N374&lt;=90,"Due soon","OK")))))</f>
        <v/>
      </c>
      <c r="P374" s="22" t="n"/>
      <c r="Q374" s="25" t="n"/>
      <c r="R374" s="22" t="n"/>
      <c r="S374" s="22" t="n"/>
      <c r="T374" s="23" t="n"/>
      <c r="U374" s="22">
        <f>IF(E374="","",IF(J374="","",N374+ROW()/100000))</f>
        <v/>
      </c>
    </row>
    <row r="375">
      <c r="A375" s="9">
        <f>IF(E375="","",COUNTA($E$5:E375))</f>
        <v/>
      </c>
      <c r="B375" s="22" t="n"/>
      <c r="C375" s="22" t="n"/>
      <c r="D375" s="22" t="n"/>
      <c r="E375" s="23" t="n"/>
      <c r="F375" s="23" t="n"/>
      <c r="G375" s="23" t="n"/>
      <c r="H375" s="22" t="n"/>
      <c r="I375" s="15" t="n"/>
      <c r="J375" s="15" t="n"/>
      <c r="K375" s="22" t="n"/>
      <c r="L375" s="22" t="n"/>
      <c r="M375" s="15">
        <f>IF(J375="","",J375-IF(L375="",0,L375))</f>
        <v/>
      </c>
      <c r="N375" s="24">
        <f>IF(J375="","",J375-TODAY())</f>
        <v/>
      </c>
      <c r="O375" s="9">
        <f>IF(E375="","",IF(J375="","No date",IF(N375&lt;0,"Expired",IF(N375&lt;=30,"Urgent",IF(N375&lt;=90,"Due soon","OK")))))</f>
        <v/>
      </c>
      <c r="P375" s="22" t="n"/>
      <c r="Q375" s="25" t="n"/>
      <c r="R375" s="22" t="n"/>
      <c r="S375" s="22" t="n"/>
      <c r="T375" s="23" t="n"/>
      <c r="U375" s="22">
        <f>IF(E375="","",IF(J375="","",N375+ROW()/100000))</f>
        <v/>
      </c>
    </row>
    <row r="376">
      <c r="A376" s="9">
        <f>IF(E376="","",COUNTA($E$5:E376))</f>
        <v/>
      </c>
      <c r="B376" s="22" t="n"/>
      <c r="C376" s="22" t="n"/>
      <c r="D376" s="22" t="n"/>
      <c r="E376" s="23" t="n"/>
      <c r="F376" s="23" t="n"/>
      <c r="G376" s="23" t="n"/>
      <c r="H376" s="22" t="n"/>
      <c r="I376" s="15" t="n"/>
      <c r="J376" s="15" t="n"/>
      <c r="K376" s="22" t="n"/>
      <c r="L376" s="22" t="n"/>
      <c r="M376" s="15">
        <f>IF(J376="","",J376-IF(L376="",0,L376))</f>
        <v/>
      </c>
      <c r="N376" s="24">
        <f>IF(J376="","",J376-TODAY())</f>
        <v/>
      </c>
      <c r="O376" s="9">
        <f>IF(E376="","",IF(J376="","No date",IF(N376&lt;0,"Expired",IF(N376&lt;=30,"Urgent",IF(N376&lt;=90,"Due soon","OK")))))</f>
        <v/>
      </c>
      <c r="P376" s="22" t="n"/>
      <c r="Q376" s="25" t="n"/>
      <c r="R376" s="22" t="n"/>
      <c r="S376" s="22" t="n"/>
      <c r="T376" s="23" t="n"/>
      <c r="U376" s="22">
        <f>IF(E376="","",IF(J376="","",N376+ROW()/100000))</f>
        <v/>
      </c>
    </row>
    <row r="377">
      <c r="A377" s="9">
        <f>IF(E377="","",COUNTA($E$5:E377))</f>
        <v/>
      </c>
      <c r="B377" s="22" t="n"/>
      <c r="C377" s="22" t="n"/>
      <c r="D377" s="22" t="n"/>
      <c r="E377" s="23" t="n"/>
      <c r="F377" s="23" t="n"/>
      <c r="G377" s="23" t="n"/>
      <c r="H377" s="22" t="n"/>
      <c r="I377" s="15" t="n"/>
      <c r="J377" s="15" t="n"/>
      <c r="K377" s="22" t="n"/>
      <c r="L377" s="22" t="n"/>
      <c r="M377" s="15">
        <f>IF(J377="","",J377-IF(L377="",0,L377))</f>
        <v/>
      </c>
      <c r="N377" s="24">
        <f>IF(J377="","",J377-TODAY())</f>
        <v/>
      </c>
      <c r="O377" s="9">
        <f>IF(E377="","",IF(J377="","No date",IF(N377&lt;0,"Expired",IF(N377&lt;=30,"Urgent",IF(N377&lt;=90,"Due soon","OK")))))</f>
        <v/>
      </c>
      <c r="P377" s="22" t="n"/>
      <c r="Q377" s="25" t="n"/>
      <c r="R377" s="22" t="n"/>
      <c r="S377" s="22" t="n"/>
      <c r="T377" s="23" t="n"/>
      <c r="U377" s="22">
        <f>IF(E377="","",IF(J377="","",N377+ROW()/100000))</f>
        <v/>
      </c>
    </row>
    <row r="378">
      <c r="A378" s="9">
        <f>IF(E378="","",COUNTA($E$5:E378))</f>
        <v/>
      </c>
      <c r="B378" s="22" t="n"/>
      <c r="C378" s="22" t="n"/>
      <c r="D378" s="22" t="n"/>
      <c r="E378" s="23" t="n"/>
      <c r="F378" s="23" t="n"/>
      <c r="G378" s="23" t="n"/>
      <c r="H378" s="22" t="n"/>
      <c r="I378" s="15" t="n"/>
      <c r="J378" s="15" t="n"/>
      <c r="K378" s="22" t="n"/>
      <c r="L378" s="22" t="n"/>
      <c r="M378" s="15">
        <f>IF(J378="","",J378-IF(L378="",0,L378))</f>
        <v/>
      </c>
      <c r="N378" s="24">
        <f>IF(J378="","",J378-TODAY())</f>
        <v/>
      </c>
      <c r="O378" s="9">
        <f>IF(E378="","",IF(J378="","No date",IF(N378&lt;0,"Expired",IF(N378&lt;=30,"Urgent",IF(N378&lt;=90,"Due soon","OK")))))</f>
        <v/>
      </c>
      <c r="P378" s="22" t="n"/>
      <c r="Q378" s="25" t="n"/>
      <c r="R378" s="22" t="n"/>
      <c r="S378" s="22" t="n"/>
      <c r="T378" s="23" t="n"/>
      <c r="U378" s="22">
        <f>IF(E378="","",IF(J378="","",N378+ROW()/100000))</f>
        <v/>
      </c>
    </row>
    <row r="379">
      <c r="A379" s="9">
        <f>IF(E379="","",COUNTA($E$5:E379))</f>
        <v/>
      </c>
      <c r="B379" s="22" t="n"/>
      <c r="C379" s="22" t="n"/>
      <c r="D379" s="22" t="n"/>
      <c r="E379" s="23" t="n"/>
      <c r="F379" s="23" t="n"/>
      <c r="G379" s="23" t="n"/>
      <c r="H379" s="22" t="n"/>
      <c r="I379" s="15" t="n"/>
      <c r="J379" s="15" t="n"/>
      <c r="K379" s="22" t="n"/>
      <c r="L379" s="22" t="n"/>
      <c r="M379" s="15">
        <f>IF(J379="","",J379-IF(L379="",0,L379))</f>
        <v/>
      </c>
      <c r="N379" s="24">
        <f>IF(J379="","",J379-TODAY())</f>
        <v/>
      </c>
      <c r="O379" s="9">
        <f>IF(E379="","",IF(J379="","No date",IF(N379&lt;0,"Expired",IF(N379&lt;=30,"Urgent",IF(N379&lt;=90,"Due soon","OK")))))</f>
        <v/>
      </c>
      <c r="P379" s="22" t="n"/>
      <c r="Q379" s="25" t="n"/>
      <c r="R379" s="22" t="n"/>
      <c r="S379" s="22" t="n"/>
      <c r="T379" s="23" t="n"/>
      <c r="U379" s="22">
        <f>IF(E379="","",IF(J379="","",N379+ROW()/100000))</f>
        <v/>
      </c>
    </row>
    <row r="380">
      <c r="A380" s="9">
        <f>IF(E380="","",COUNTA($E$5:E380))</f>
        <v/>
      </c>
      <c r="B380" s="22" t="n"/>
      <c r="C380" s="22" t="n"/>
      <c r="D380" s="22" t="n"/>
      <c r="E380" s="23" t="n"/>
      <c r="F380" s="23" t="n"/>
      <c r="G380" s="23" t="n"/>
      <c r="H380" s="22" t="n"/>
      <c r="I380" s="15" t="n"/>
      <c r="J380" s="15" t="n"/>
      <c r="K380" s="22" t="n"/>
      <c r="L380" s="22" t="n"/>
      <c r="M380" s="15">
        <f>IF(J380="","",J380-IF(L380="",0,L380))</f>
        <v/>
      </c>
      <c r="N380" s="24">
        <f>IF(J380="","",J380-TODAY())</f>
        <v/>
      </c>
      <c r="O380" s="9">
        <f>IF(E380="","",IF(J380="","No date",IF(N380&lt;0,"Expired",IF(N380&lt;=30,"Urgent",IF(N380&lt;=90,"Due soon","OK")))))</f>
        <v/>
      </c>
      <c r="P380" s="22" t="n"/>
      <c r="Q380" s="25" t="n"/>
      <c r="R380" s="22" t="n"/>
      <c r="S380" s="22" t="n"/>
      <c r="T380" s="23" t="n"/>
      <c r="U380" s="22">
        <f>IF(E380="","",IF(J380="","",N380+ROW()/100000))</f>
        <v/>
      </c>
    </row>
    <row r="381">
      <c r="A381" s="9">
        <f>IF(E381="","",COUNTA($E$5:E381))</f>
        <v/>
      </c>
      <c r="B381" s="22" t="n"/>
      <c r="C381" s="22" t="n"/>
      <c r="D381" s="22" t="n"/>
      <c r="E381" s="23" t="n"/>
      <c r="F381" s="23" t="n"/>
      <c r="G381" s="23" t="n"/>
      <c r="H381" s="22" t="n"/>
      <c r="I381" s="15" t="n"/>
      <c r="J381" s="15" t="n"/>
      <c r="K381" s="22" t="n"/>
      <c r="L381" s="22" t="n"/>
      <c r="M381" s="15">
        <f>IF(J381="","",J381-IF(L381="",0,L381))</f>
        <v/>
      </c>
      <c r="N381" s="24">
        <f>IF(J381="","",J381-TODAY())</f>
        <v/>
      </c>
      <c r="O381" s="9">
        <f>IF(E381="","",IF(J381="","No date",IF(N381&lt;0,"Expired",IF(N381&lt;=30,"Urgent",IF(N381&lt;=90,"Due soon","OK")))))</f>
        <v/>
      </c>
      <c r="P381" s="22" t="n"/>
      <c r="Q381" s="25" t="n"/>
      <c r="R381" s="22" t="n"/>
      <c r="S381" s="22" t="n"/>
      <c r="T381" s="23" t="n"/>
      <c r="U381" s="22">
        <f>IF(E381="","",IF(J381="","",N381+ROW()/100000))</f>
        <v/>
      </c>
    </row>
    <row r="382">
      <c r="A382" s="9">
        <f>IF(E382="","",COUNTA($E$5:E382))</f>
        <v/>
      </c>
      <c r="B382" s="22" t="n"/>
      <c r="C382" s="22" t="n"/>
      <c r="D382" s="22" t="n"/>
      <c r="E382" s="23" t="n"/>
      <c r="F382" s="23" t="n"/>
      <c r="G382" s="23" t="n"/>
      <c r="H382" s="22" t="n"/>
      <c r="I382" s="15" t="n"/>
      <c r="J382" s="15" t="n"/>
      <c r="K382" s="22" t="n"/>
      <c r="L382" s="22" t="n"/>
      <c r="M382" s="15">
        <f>IF(J382="","",J382-IF(L382="",0,L382))</f>
        <v/>
      </c>
      <c r="N382" s="24">
        <f>IF(J382="","",J382-TODAY())</f>
        <v/>
      </c>
      <c r="O382" s="9">
        <f>IF(E382="","",IF(J382="","No date",IF(N382&lt;0,"Expired",IF(N382&lt;=30,"Urgent",IF(N382&lt;=90,"Due soon","OK")))))</f>
        <v/>
      </c>
      <c r="P382" s="22" t="n"/>
      <c r="Q382" s="25" t="n"/>
      <c r="R382" s="22" t="n"/>
      <c r="S382" s="22" t="n"/>
      <c r="T382" s="23" t="n"/>
      <c r="U382" s="22">
        <f>IF(E382="","",IF(J382="","",N382+ROW()/100000))</f>
        <v/>
      </c>
    </row>
    <row r="383">
      <c r="A383" s="9">
        <f>IF(E383="","",COUNTA($E$5:E383))</f>
        <v/>
      </c>
      <c r="B383" s="22" t="n"/>
      <c r="C383" s="22" t="n"/>
      <c r="D383" s="22" t="n"/>
      <c r="E383" s="23" t="n"/>
      <c r="F383" s="23" t="n"/>
      <c r="G383" s="23" t="n"/>
      <c r="H383" s="22" t="n"/>
      <c r="I383" s="15" t="n"/>
      <c r="J383" s="15" t="n"/>
      <c r="K383" s="22" t="n"/>
      <c r="L383" s="22" t="n"/>
      <c r="M383" s="15">
        <f>IF(J383="","",J383-IF(L383="",0,L383))</f>
        <v/>
      </c>
      <c r="N383" s="24">
        <f>IF(J383="","",J383-TODAY())</f>
        <v/>
      </c>
      <c r="O383" s="9">
        <f>IF(E383="","",IF(J383="","No date",IF(N383&lt;0,"Expired",IF(N383&lt;=30,"Urgent",IF(N383&lt;=90,"Due soon","OK")))))</f>
        <v/>
      </c>
      <c r="P383" s="22" t="n"/>
      <c r="Q383" s="25" t="n"/>
      <c r="R383" s="22" t="n"/>
      <c r="S383" s="22" t="n"/>
      <c r="T383" s="23" t="n"/>
      <c r="U383" s="22">
        <f>IF(E383="","",IF(J383="","",N383+ROW()/100000))</f>
        <v/>
      </c>
    </row>
    <row r="384">
      <c r="A384" s="9">
        <f>IF(E384="","",COUNTA($E$5:E384))</f>
        <v/>
      </c>
      <c r="B384" s="22" t="n"/>
      <c r="C384" s="22" t="n"/>
      <c r="D384" s="22" t="n"/>
      <c r="E384" s="23" t="n"/>
      <c r="F384" s="23" t="n"/>
      <c r="G384" s="23" t="n"/>
      <c r="H384" s="22" t="n"/>
      <c r="I384" s="15" t="n"/>
      <c r="J384" s="15" t="n"/>
      <c r="K384" s="22" t="n"/>
      <c r="L384" s="22" t="n"/>
      <c r="M384" s="15">
        <f>IF(J384="","",J384-IF(L384="",0,L384))</f>
        <v/>
      </c>
      <c r="N384" s="24">
        <f>IF(J384="","",J384-TODAY())</f>
        <v/>
      </c>
      <c r="O384" s="9">
        <f>IF(E384="","",IF(J384="","No date",IF(N384&lt;0,"Expired",IF(N384&lt;=30,"Urgent",IF(N384&lt;=90,"Due soon","OK")))))</f>
        <v/>
      </c>
      <c r="P384" s="22" t="n"/>
      <c r="Q384" s="25" t="n"/>
      <c r="R384" s="22" t="n"/>
      <c r="S384" s="22" t="n"/>
      <c r="T384" s="23" t="n"/>
      <c r="U384" s="22">
        <f>IF(E384="","",IF(J384="","",N384+ROW()/100000))</f>
        <v/>
      </c>
    </row>
    <row r="385">
      <c r="A385" s="9">
        <f>IF(E385="","",COUNTA($E$5:E385))</f>
        <v/>
      </c>
      <c r="B385" s="22" t="n"/>
      <c r="C385" s="22" t="n"/>
      <c r="D385" s="22" t="n"/>
      <c r="E385" s="23" t="n"/>
      <c r="F385" s="23" t="n"/>
      <c r="G385" s="23" t="n"/>
      <c r="H385" s="22" t="n"/>
      <c r="I385" s="15" t="n"/>
      <c r="J385" s="15" t="n"/>
      <c r="K385" s="22" t="n"/>
      <c r="L385" s="22" t="n"/>
      <c r="M385" s="15">
        <f>IF(J385="","",J385-IF(L385="",0,L385))</f>
        <v/>
      </c>
      <c r="N385" s="24">
        <f>IF(J385="","",J385-TODAY())</f>
        <v/>
      </c>
      <c r="O385" s="9">
        <f>IF(E385="","",IF(J385="","No date",IF(N385&lt;0,"Expired",IF(N385&lt;=30,"Urgent",IF(N385&lt;=90,"Due soon","OK")))))</f>
        <v/>
      </c>
      <c r="P385" s="22" t="n"/>
      <c r="Q385" s="25" t="n"/>
      <c r="R385" s="22" t="n"/>
      <c r="S385" s="22" t="n"/>
      <c r="T385" s="23" t="n"/>
      <c r="U385" s="22">
        <f>IF(E385="","",IF(J385="","",N385+ROW()/100000))</f>
        <v/>
      </c>
    </row>
    <row r="386">
      <c r="A386" s="9">
        <f>IF(E386="","",COUNTA($E$5:E386))</f>
        <v/>
      </c>
      <c r="B386" s="22" t="n"/>
      <c r="C386" s="22" t="n"/>
      <c r="D386" s="22" t="n"/>
      <c r="E386" s="23" t="n"/>
      <c r="F386" s="23" t="n"/>
      <c r="G386" s="23" t="n"/>
      <c r="H386" s="22" t="n"/>
      <c r="I386" s="15" t="n"/>
      <c r="J386" s="15" t="n"/>
      <c r="K386" s="22" t="n"/>
      <c r="L386" s="22" t="n"/>
      <c r="M386" s="15">
        <f>IF(J386="","",J386-IF(L386="",0,L386))</f>
        <v/>
      </c>
      <c r="N386" s="24">
        <f>IF(J386="","",J386-TODAY())</f>
        <v/>
      </c>
      <c r="O386" s="9">
        <f>IF(E386="","",IF(J386="","No date",IF(N386&lt;0,"Expired",IF(N386&lt;=30,"Urgent",IF(N386&lt;=90,"Due soon","OK")))))</f>
        <v/>
      </c>
      <c r="P386" s="22" t="n"/>
      <c r="Q386" s="25" t="n"/>
      <c r="R386" s="22" t="n"/>
      <c r="S386" s="22" t="n"/>
      <c r="T386" s="23" t="n"/>
      <c r="U386" s="22">
        <f>IF(E386="","",IF(J386="","",N386+ROW()/100000))</f>
        <v/>
      </c>
    </row>
    <row r="387">
      <c r="A387" s="9">
        <f>IF(E387="","",COUNTA($E$5:E387))</f>
        <v/>
      </c>
      <c r="B387" s="22" t="n"/>
      <c r="C387" s="22" t="n"/>
      <c r="D387" s="22" t="n"/>
      <c r="E387" s="23" t="n"/>
      <c r="F387" s="23" t="n"/>
      <c r="G387" s="23" t="n"/>
      <c r="H387" s="22" t="n"/>
      <c r="I387" s="15" t="n"/>
      <c r="J387" s="15" t="n"/>
      <c r="K387" s="22" t="n"/>
      <c r="L387" s="22" t="n"/>
      <c r="M387" s="15">
        <f>IF(J387="","",J387-IF(L387="",0,L387))</f>
        <v/>
      </c>
      <c r="N387" s="24">
        <f>IF(J387="","",J387-TODAY())</f>
        <v/>
      </c>
      <c r="O387" s="9">
        <f>IF(E387="","",IF(J387="","No date",IF(N387&lt;0,"Expired",IF(N387&lt;=30,"Urgent",IF(N387&lt;=90,"Due soon","OK")))))</f>
        <v/>
      </c>
      <c r="P387" s="22" t="n"/>
      <c r="Q387" s="25" t="n"/>
      <c r="R387" s="22" t="n"/>
      <c r="S387" s="22" t="n"/>
      <c r="T387" s="23" t="n"/>
      <c r="U387" s="22">
        <f>IF(E387="","",IF(J387="","",N387+ROW()/100000))</f>
        <v/>
      </c>
    </row>
    <row r="388">
      <c r="A388" s="9">
        <f>IF(E388="","",COUNTA($E$5:E388))</f>
        <v/>
      </c>
      <c r="B388" s="22" t="n"/>
      <c r="C388" s="22" t="n"/>
      <c r="D388" s="22" t="n"/>
      <c r="E388" s="23" t="n"/>
      <c r="F388" s="23" t="n"/>
      <c r="G388" s="23" t="n"/>
      <c r="H388" s="22" t="n"/>
      <c r="I388" s="15" t="n"/>
      <c r="J388" s="15" t="n"/>
      <c r="K388" s="22" t="n"/>
      <c r="L388" s="22" t="n"/>
      <c r="M388" s="15">
        <f>IF(J388="","",J388-IF(L388="",0,L388))</f>
        <v/>
      </c>
      <c r="N388" s="24">
        <f>IF(J388="","",J388-TODAY())</f>
        <v/>
      </c>
      <c r="O388" s="9">
        <f>IF(E388="","",IF(J388="","No date",IF(N388&lt;0,"Expired",IF(N388&lt;=30,"Urgent",IF(N388&lt;=90,"Due soon","OK")))))</f>
        <v/>
      </c>
      <c r="P388" s="22" t="n"/>
      <c r="Q388" s="25" t="n"/>
      <c r="R388" s="22" t="n"/>
      <c r="S388" s="22" t="n"/>
      <c r="T388" s="23" t="n"/>
      <c r="U388" s="22">
        <f>IF(E388="","",IF(J388="","",N388+ROW()/100000))</f>
        <v/>
      </c>
    </row>
    <row r="389">
      <c r="A389" s="9">
        <f>IF(E389="","",COUNTA($E$5:E389))</f>
        <v/>
      </c>
      <c r="B389" s="22" t="n"/>
      <c r="C389" s="22" t="n"/>
      <c r="D389" s="22" t="n"/>
      <c r="E389" s="23" t="n"/>
      <c r="F389" s="23" t="n"/>
      <c r="G389" s="23" t="n"/>
      <c r="H389" s="22" t="n"/>
      <c r="I389" s="15" t="n"/>
      <c r="J389" s="15" t="n"/>
      <c r="K389" s="22" t="n"/>
      <c r="L389" s="22" t="n"/>
      <c r="M389" s="15">
        <f>IF(J389="","",J389-IF(L389="",0,L389))</f>
        <v/>
      </c>
      <c r="N389" s="24">
        <f>IF(J389="","",J389-TODAY())</f>
        <v/>
      </c>
      <c r="O389" s="9">
        <f>IF(E389="","",IF(J389="","No date",IF(N389&lt;0,"Expired",IF(N389&lt;=30,"Urgent",IF(N389&lt;=90,"Due soon","OK")))))</f>
        <v/>
      </c>
      <c r="P389" s="22" t="n"/>
      <c r="Q389" s="25" t="n"/>
      <c r="R389" s="22" t="n"/>
      <c r="S389" s="22" t="n"/>
      <c r="T389" s="23" t="n"/>
      <c r="U389" s="22">
        <f>IF(E389="","",IF(J389="","",N389+ROW()/100000))</f>
        <v/>
      </c>
    </row>
    <row r="390">
      <c r="A390" s="9">
        <f>IF(E390="","",COUNTA($E$5:E390))</f>
        <v/>
      </c>
      <c r="B390" s="22" t="n"/>
      <c r="C390" s="22" t="n"/>
      <c r="D390" s="22" t="n"/>
      <c r="E390" s="23" t="n"/>
      <c r="F390" s="23" t="n"/>
      <c r="G390" s="23" t="n"/>
      <c r="H390" s="22" t="n"/>
      <c r="I390" s="15" t="n"/>
      <c r="J390" s="15" t="n"/>
      <c r="K390" s="22" t="n"/>
      <c r="L390" s="22" t="n"/>
      <c r="M390" s="15">
        <f>IF(J390="","",J390-IF(L390="",0,L390))</f>
        <v/>
      </c>
      <c r="N390" s="24">
        <f>IF(J390="","",J390-TODAY())</f>
        <v/>
      </c>
      <c r="O390" s="9">
        <f>IF(E390="","",IF(J390="","No date",IF(N390&lt;0,"Expired",IF(N390&lt;=30,"Urgent",IF(N390&lt;=90,"Due soon","OK")))))</f>
        <v/>
      </c>
      <c r="P390" s="22" t="n"/>
      <c r="Q390" s="25" t="n"/>
      <c r="R390" s="22" t="n"/>
      <c r="S390" s="22" t="n"/>
      <c r="T390" s="23" t="n"/>
      <c r="U390" s="22">
        <f>IF(E390="","",IF(J390="","",N390+ROW()/100000))</f>
        <v/>
      </c>
    </row>
    <row r="391">
      <c r="A391" s="9">
        <f>IF(E391="","",COUNTA($E$5:E391))</f>
        <v/>
      </c>
      <c r="B391" s="22" t="n"/>
      <c r="C391" s="22" t="n"/>
      <c r="D391" s="22" t="n"/>
      <c r="E391" s="23" t="n"/>
      <c r="F391" s="23" t="n"/>
      <c r="G391" s="23" t="n"/>
      <c r="H391" s="22" t="n"/>
      <c r="I391" s="15" t="n"/>
      <c r="J391" s="15" t="n"/>
      <c r="K391" s="22" t="n"/>
      <c r="L391" s="22" t="n"/>
      <c r="M391" s="15">
        <f>IF(J391="","",J391-IF(L391="",0,L391))</f>
        <v/>
      </c>
      <c r="N391" s="24">
        <f>IF(J391="","",J391-TODAY())</f>
        <v/>
      </c>
      <c r="O391" s="9">
        <f>IF(E391="","",IF(J391="","No date",IF(N391&lt;0,"Expired",IF(N391&lt;=30,"Urgent",IF(N391&lt;=90,"Due soon","OK")))))</f>
        <v/>
      </c>
      <c r="P391" s="22" t="n"/>
      <c r="Q391" s="25" t="n"/>
      <c r="R391" s="22" t="n"/>
      <c r="S391" s="22" t="n"/>
      <c r="T391" s="23" t="n"/>
      <c r="U391" s="22">
        <f>IF(E391="","",IF(J391="","",N391+ROW()/100000))</f>
        <v/>
      </c>
    </row>
    <row r="392">
      <c r="A392" s="9">
        <f>IF(E392="","",COUNTA($E$5:E392))</f>
        <v/>
      </c>
      <c r="B392" s="22" t="n"/>
      <c r="C392" s="22" t="n"/>
      <c r="D392" s="22" t="n"/>
      <c r="E392" s="23" t="n"/>
      <c r="F392" s="23" t="n"/>
      <c r="G392" s="23" t="n"/>
      <c r="H392" s="22" t="n"/>
      <c r="I392" s="15" t="n"/>
      <c r="J392" s="15" t="n"/>
      <c r="K392" s="22" t="n"/>
      <c r="L392" s="22" t="n"/>
      <c r="M392" s="15">
        <f>IF(J392="","",J392-IF(L392="",0,L392))</f>
        <v/>
      </c>
      <c r="N392" s="24">
        <f>IF(J392="","",J392-TODAY())</f>
        <v/>
      </c>
      <c r="O392" s="9">
        <f>IF(E392="","",IF(J392="","No date",IF(N392&lt;0,"Expired",IF(N392&lt;=30,"Urgent",IF(N392&lt;=90,"Due soon","OK")))))</f>
        <v/>
      </c>
      <c r="P392" s="22" t="n"/>
      <c r="Q392" s="25" t="n"/>
      <c r="R392" s="22" t="n"/>
      <c r="S392" s="22" t="n"/>
      <c r="T392" s="23" t="n"/>
      <c r="U392" s="22">
        <f>IF(E392="","",IF(J392="","",N392+ROW()/100000))</f>
        <v/>
      </c>
    </row>
    <row r="393">
      <c r="A393" s="9">
        <f>IF(E393="","",COUNTA($E$5:E393))</f>
        <v/>
      </c>
      <c r="B393" s="22" t="n"/>
      <c r="C393" s="22" t="n"/>
      <c r="D393" s="22" t="n"/>
      <c r="E393" s="23" t="n"/>
      <c r="F393" s="23" t="n"/>
      <c r="G393" s="23" t="n"/>
      <c r="H393" s="22" t="n"/>
      <c r="I393" s="15" t="n"/>
      <c r="J393" s="15" t="n"/>
      <c r="K393" s="22" t="n"/>
      <c r="L393" s="22" t="n"/>
      <c r="M393" s="15">
        <f>IF(J393="","",J393-IF(L393="",0,L393))</f>
        <v/>
      </c>
      <c r="N393" s="24">
        <f>IF(J393="","",J393-TODAY())</f>
        <v/>
      </c>
      <c r="O393" s="9">
        <f>IF(E393="","",IF(J393="","No date",IF(N393&lt;0,"Expired",IF(N393&lt;=30,"Urgent",IF(N393&lt;=90,"Due soon","OK")))))</f>
        <v/>
      </c>
      <c r="P393" s="22" t="n"/>
      <c r="Q393" s="25" t="n"/>
      <c r="R393" s="22" t="n"/>
      <c r="S393" s="22" t="n"/>
      <c r="T393" s="23" t="n"/>
      <c r="U393" s="22">
        <f>IF(E393="","",IF(J393="","",N393+ROW()/100000))</f>
        <v/>
      </c>
    </row>
    <row r="394">
      <c r="A394" s="9">
        <f>IF(E394="","",COUNTA($E$5:E394))</f>
        <v/>
      </c>
      <c r="B394" s="22" t="n"/>
      <c r="C394" s="22" t="n"/>
      <c r="D394" s="22" t="n"/>
      <c r="E394" s="23" t="n"/>
      <c r="F394" s="23" t="n"/>
      <c r="G394" s="23" t="n"/>
      <c r="H394" s="22" t="n"/>
      <c r="I394" s="15" t="n"/>
      <c r="J394" s="15" t="n"/>
      <c r="K394" s="22" t="n"/>
      <c r="L394" s="22" t="n"/>
      <c r="M394" s="15">
        <f>IF(J394="","",J394-IF(L394="",0,L394))</f>
        <v/>
      </c>
      <c r="N394" s="24">
        <f>IF(J394="","",J394-TODAY())</f>
        <v/>
      </c>
      <c r="O394" s="9">
        <f>IF(E394="","",IF(J394="","No date",IF(N394&lt;0,"Expired",IF(N394&lt;=30,"Urgent",IF(N394&lt;=90,"Due soon","OK")))))</f>
        <v/>
      </c>
      <c r="P394" s="22" t="n"/>
      <c r="Q394" s="25" t="n"/>
      <c r="R394" s="22" t="n"/>
      <c r="S394" s="22" t="n"/>
      <c r="T394" s="23" t="n"/>
      <c r="U394" s="22">
        <f>IF(E394="","",IF(J394="","",N394+ROW()/100000))</f>
        <v/>
      </c>
    </row>
    <row r="395">
      <c r="A395" s="9">
        <f>IF(E395="","",COUNTA($E$5:E395))</f>
        <v/>
      </c>
      <c r="B395" s="22" t="n"/>
      <c r="C395" s="22" t="n"/>
      <c r="D395" s="22" t="n"/>
      <c r="E395" s="23" t="n"/>
      <c r="F395" s="23" t="n"/>
      <c r="G395" s="23" t="n"/>
      <c r="H395" s="22" t="n"/>
      <c r="I395" s="15" t="n"/>
      <c r="J395" s="15" t="n"/>
      <c r="K395" s="22" t="n"/>
      <c r="L395" s="22" t="n"/>
      <c r="M395" s="15">
        <f>IF(J395="","",J395-IF(L395="",0,L395))</f>
        <v/>
      </c>
      <c r="N395" s="24">
        <f>IF(J395="","",J395-TODAY())</f>
        <v/>
      </c>
      <c r="O395" s="9">
        <f>IF(E395="","",IF(J395="","No date",IF(N395&lt;0,"Expired",IF(N395&lt;=30,"Urgent",IF(N395&lt;=90,"Due soon","OK")))))</f>
        <v/>
      </c>
      <c r="P395" s="22" t="n"/>
      <c r="Q395" s="25" t="n"/>
      <c r="R395" s="22" t="n"/>
      <c r="S395" s="22" t="n"/>
      <c r="T395" s="23" t="n"/>
      <c r="U395" s="22">
        <f>IF(E395="","",IF(J395="","",N395+ROW()/100000))</f>
        <v/>
      </c>
    </row>
    <row r="396">
      <c r="A396" s="9">
        <f>IF(E396="","",COUNTA($E$5:E396))</f>
        <v/>
      </c>
      <c r="B396" s="22" t="n"/>
      <c r="C396" s="22" t="n"/>
      <c r="D396" s="22" t="n"/>
      <c r="E396" s="23" t="n"/>
      <c r="F396" s="23" t="n"/>
      <c r="G396" s="23" t="n"/>
      <c r="H396" s="22" t="n"/>
      <c r="I396" s="15" t="n"/>
      <c r="J396" s="15" t="n"/>
      <c r="K396" s="22" t="n"/>
      <c r="L396" s="22" t="n"/>
      <c r="M396" s="15">
        <f>IF(J396="","",J396-IF(L396="",0,L396))</f>
        <v/>
      </c>
      <c r="N396" s="24">
        <f>IF(J396="","",J396-TODAY())</f>
        <v/>
      </c>
      <c r="O396" s="9">
        <f>IF(E396="","",IF(J396="","No date",IF(N396&lt;0,"Expired",IF(N396&lt;=30,"Urgent",IF(N396&lt;=90,"Due soon","OK")))))</f>
        <v/>
      </c>
      <c r="P396" s="22" t="n"/>
      <c r="Q396" s="25" t="n"/>
      <c r="R396" s="22" t="n"/>
      <c r="S396" s="22" t="n"/>
      <c r="T396" s="23" t="n"/>
      <c r="U396" s="22">
        <f>IF(E396="","",IF(J396="","",N396+ROW()/100000))</f>
        <v/>
      </c>
    </row>
    <row r="397">
      <c r="A397" s="9">
        <f>IF(E397="","",COUNTA($E$5:E397))</f>
        <v/>
      </c>
      <c r="B397" s="22" t="n"/>
      <c r="C397" s="22" t="n"/>
      <c r="D397" s="22" t="n"/>
      <c r="E397" s="23" t="n"/>
      <c r="F397" s="23" t="n"/>
      <c r="G397" s="23" t="n"/>
      <c r="H397" s="22" t="n"/>
      <c r="I397" s="15" t="n"/>
      <c r="J397" s="15" t="n"/>
      <c r="K397" s="22" t="n"/>
      <c r="L397" s="22" t="n"/>
      <c r="M397" s="15">
        <f>IF(J397="","",J397-IF(L397="",0,L397))</f>
        <v/>
      </c>
      <c r="N397" s="24">
        <f>IF(J397="","",J397-TODAY())</f>
        <v/>
      </c>
      <c r="O397" s="9">
        <f>IF(E397="","",IF(J397="","No date",IF(N397&lt;0,"Expired",IF(N397&lt;=30,"Urgent",IF(N397&lt;=90,"Due soon","OK")))))</f>
        <v/>
      </c>
      <c r="P397" s="22" t="n"/>
      <c r="Q397" s="25" t="n"/>
      <c r="R397" s="22" t="n"/>
      <c r="S397" s="22" t="n"/>
      <c r="T397" s="23" t="n"/>
      <c r="U397" s="22">
        <f>IF(E397="","",IF(J397="","",N397+ROW()/100000))</f>
        <v/>
      </c>
    </row>
    <row r="398">
      <c r="A398" s="9">
        <f>IF(E398="","",COUNTA($E$5:E398))</f>
        <v/>
      </c>
      <c r="B398" s="22" t="n"/>
      <c r="C398" s="22" t="n"/>
      <c r="D398" s="22" t="n"/>
      <c r="E398" s="23" t="n"/>
      <c r="F398" s="23" t="n"/>
      <c r="G398" s="23" t="n"/>
      <c r="H398" s="22" t="n"/>
      <c r="I398" s="15" t="n"/>
      <c r="J398" s="15" t="n"/>
      <c r="K398" s="22" t="n"/>
      <c r="L398" s="22" t="n"/>
      <c r="M398" s="15">
        <f>IF(J398="","",J398-IF(L398="",0,L398))</f>
        <v/>
      </c>
      <c r="N398" s="24">
        <f>IF(J398="","",J398-TODAY())</f>
        <v/>
      </c>
      <c r="O398" s="9">
        <f>IF(E398="","",IF(J398="","No date",IF(N398&lt;0,"Expired",IF(N398&lt;=30,"Urgent",IF(N398&lt;=90,"Due soon","OK")))))</f>
        <v/>
      </c>
      <c r="P398" s="22" t="n"/>
      <c r="Q398" s="25" t="n"/>
      <c r="R398" s="22" t="n"/>
      <c r="S398" s="22" t="n"/>
      <c r="T398" s="23" t="n"/>
      <c r="U398" s="22">
        <f>IF(E398="","",IF(J398="","",N398+ROW()/100000))</f>
        <v/>
      </c>
    </row>
    <row r="399">
      <c r="A399" s="9">
        <f>IF(E399="","",COUNTA($E$5:E399))</f>
        <v/>
      </c>
      <c r="B399" s="22" t="n"/>
      <c r="C399" s="22" t="n"/>
      <c r="D399" s="22" t="n"/>
      <c r="E399" s="23" t="n"/>
      <c r="F399" s="23" t="n"/>
      <c r="G399" s="23" t="n"/>
      <c r="H399" s="22" t="n"/>
      <c r="I399" s="15" t="n"/>
      <c r="J399" s="15" t="n"/>
      <c r="K399" s="22" t="n"/>
      <c r="L399" s="22" t="n"/>
      <c r="M399" s="15">
        <f>IF(J399="","",J399-IF(L399="",0,L399))</f>
        <v/>
      </c>
      <c r="N399" s="24">
        <f>IF(J399="","",J399-TODAY())</f>
        <v/>
      </c>
      <c r="O399" s="9">
        <f>IF(E399="","",IF(J399="","No date",IF(N399&lt;0,"Expired",IF(N399&lt;=30,"Urgent",IF(N399&lt;=90,"Due soon","OK")))))</f>
        <v/>
      </c>
      <c r="P399" s="22" t="n"/>
      <c r="Q399" s="25" t="n"/>
      <c r="R399" s="22" t="n"/>
      <c r="S399" s="22" t="n"/>
      <c r="T399" s="23" t="n"/>
      <c r="U399" s="22">
        <f>IF(E399="","",IF(J399="","",N399+ROW()/100000))</f>
        <v/>
      </c>
    </row>
    <row r="400">
      <c r="A400" s="9">
        <f>IF(E400="","",COUNTA($E$5:E400))</f>
        <v/>
      </c>
      <c r="B400" s="22" t="n"/>
      <c r="C400" s="22" t="n"/>
      <c r="D400" s="22" t="n"/>
      <c r="E400" s="23" t="n"/>
      <c r="F400" s="23" t="n"/>
      <c r="G400" s="23" t="n"/>
      <c r="H400" s="22" t="n"/>
      <c r="I400" s="15" t="n"/>
      <c r="J400" s="15" t="n"/>
      <c r="K400" s="22" t="n"/>
      <c r="L400" s="22" t="n"/>
      <c r="M400" s="15">
        <f>IF(J400="","",J400-IF(L400="",0,L400))</f>
        <v/>
      </c>
      <c r="N400" s="24">
        <f>IF(J400="","",J400-TODAY())</f>
        <v/>
      </c>
      <c r="O400" s="9">
        <f>IF(E400="","",IF(J400="","No date",IF(N400&lt;0,"Expired",IF(N400&lt;=30,"Urgent",IF(N400&lt;=90,"Due soon","OK")))))</f>
        <v/>
      </c>
      <c r="P400" s="22" t="n"/>
      <c r="Q400" s="25" t="n"/>
      <c r="R400" s="22" t="n"/>
      <c r="S400" s="22" t="n"/>
      <c r="T400" s="23" t="n"/>
      <c r="U400" s="22">
        <f>IF(E400="","",IF(J400="","",N400+ROW()/100000))</f>
        <v/>
      </c>
    </row>
    <row r="401">
      <c r="A401" s="9">
        <f>IF(E401="","",COUNTA($E$5:E401))</f>
        <v/>
      </c>
      <c r="B401" s="22" t="n"/>
      <c r="C401" s="22" t="n"/>
      <c r="D401" s="22" t="n"/>
      <c r="E401" s="23" t="n"/>
      <c r="F401" s="23" t="n"/>
      <c r="G401" s="23" t="n"/>
      <c r="H401" s="22" t="n"/>
      <c r="I401" s="15" t="n"/>
      <c r="J401" s="15" t="n"/>
      <c r="K401" s="22" t="n"/>
      <c r="L401" s="22" t="n"/>
      <c r="M401" s="15">
        <f>IF(J401="","",J401-IF(L401="",0,L401))</f>
        <v/>
      </c>
      <c r="N401" s="24">
        <f>IF(J401="","",J401-TODAY())</f>
        <v/>
      </c>
      <c r="O401" s="9">
        <f>IF(E401="","",IF(J401="","No date",IF(N401&lt;0,"Expired",IF(N401&lt;=30,"Urgent",IF(N401&lt;=90,"Due soon","OK")))))</f>
        <v/>
      </c>
      <c r="P401" s="22" t="n"/>
      <c r="Q401" s="25" t="n"/>
      <c r="R401" s="22" t="n"/>
      <c r="S401" s="22" t="n"/>
      <c r="T401" s="23" t="n"/>
      <c r="U401" s="22">
        <f>IF(E401="","",IF(J401="","",N401+ROW()/100000))</f>
        <v/>
      </c>
    </row>
    <row r="402">
      <c r="A402" s="9">
        <f>IF(E402="","",COUNTA($E$5:E402))</f>
        <v/>
      </c>
      <c r="B402" s="22" t="n"/>
      <c r="C402" s="22" t="n"/>
      <c r="D402" s="22" t="n"/>
      <c r="E402" s="23" t="n"/>
      <c r="F402" s="23" t="n"/>
      <c r="G402" s="23" t="n"/>
      <c r="H402" s="22" t="n"/>
      <c r="I402" s="15" t="n"/>
      <c r="J402" s="15" t="n"/>
      <c r="K402" s="22" t="n"/>
      <c r="L402" s="22" t="n"/>
      <c r="M402" s="15">
        <f>IF(J402="","",J402-IF(L402="",0,L402))</f>
        <v/>
      </c>
      <c r="N402" s="24">
        <f>IF(J402="","",J402-TODAY())</f>
        <v/>
      </c>
      <c r="O402" s="9">
        <f>IF(E402="","",IF(J402="","No date",IF(N402&lt;0,"Expired",IF(N402&lt;=30,"Urgent",IF(N402&lt;=90,"Due soon","OK")))))</f>
        <v/>
      </c>
      <c r="P402" s="22" t="n"/>
      <c r="Q402" s="25" t="n"/>
      <c r="R402" s="22" t="n"/>
      <c r="S402" s="22" t="n"/>
      <c r="T402" s="23" t="n"/>
      <c r="U402" s="22">
        <f>IF(E402="","",IF(J402="","",N402+ROW()/100000))</f>
        <v/>
      </c>
    </row>
    <row r="403">
      <c r="A403" s="9">
        <f>IF(E403="","",COUNTA($E$5:E403))</f>
        <v/>
      </c>
      <c r="B403" s="22" t="n"/>
      <c r="C403" s="22" t="n"/>
      <c r="D403" s="22" t="n"/>
      <c r="E403" s="23" t="n"/>
      <c r="F403" s="23" t="n"/>
      <c r="G403" s="23" t="n"/>
      <c r="H403" s="22" t="n"/>
      <c r="I403" s="15" t="n"/>
      <c r="J403" s="15" t="n"/>
      <c r="K403" s="22" t="n"/>
      <c r="L403" s="22" t="n"/>
      <c r="M403" s="15">
        <f>IF(J403="","",J403-IF(L403="",0,L403))</f>
        <v/>
      </c>
      <c r="N403" s="24">
        <f>IF(J403="","",J403-TODAY())</f>
        <v/>
      </c>
      <c r="O403" s="9">
        <f>IF(E403="","",IF(J403="","No date",IF(N403&lt;0,"Expired",IF(N403&lt;=30,"Urgent",IF(N403&lt;=90,"Due soon","OK")))))</f>
        <v/>
      </c>
      <c r="P403" s="22" t="n"/>
      <c r="Q403" s="25" t="n"/>
      <c r="R403" s="22" t="n"/>
      <c r="S403" s="22" t="n"/>
      <c r="T403" s="23" t="n"/>
      <c r="U403" s="22">
        <f>IF(E403="","",IF(J403="","",N403+ROW()/100000))</f>
        <v/>
      </c>
    </row>
    <row r="404">
      <c r="A404" s="9">
        <f>IF(E404="","",COUNTA($E$5:E404))</f>
        <v/>
      </c>
      <c r="B404" s="22" t="n"/>
      <c r="C404" s="22" t="n"/>
      <c r="D404" s="22" t="n"/>
      <c r="E404" s="23" t="n"/>
      <c r="F404" s="23" t="n"/>
      <c r="G404" s="23" t="n"/>
      <c r="H404" s="22" t="n"/>
      <c r="I404" s="15" t="n"/>
      <c r="J404" s="15" t="n"/>
      <c r="K404" s="22" t="n"/>
      <c r="L404" s="22" t="n"/>
      <c r="M404" s="15">
        <f>IF(J404="","",J404-IF(L404="",0,L404))</f>
        <v/>
      </c>
      <c r="N404" s="24">
        <f>IF(J404="","",J404-TODAY())</f>
        <v/>
      </c>
      <c r="O404" s="9">
        <f>IF(E404="","",IF(J404="","No date",IF(N404&lt;0,"Expired",IF(N404&lt;=30,"Urgent",IF(N404&lt;=90,"Due soon","OK")))))</f>
        <v/>
      </c>
      <c r="P404" s="22" t="n"/>
      <c r="Q404" s="25" t="n"/>
      <c r="R404" s="22" t="n"/>
      <c r="S404" s="22" t="n"/>
      <c r="T404" s="23" t="n"/>
      <c r="U404" s="22">
        <f>IF(E404="","",IF(J404="","",N404+ROW()/100000))</f>
        <v/>
      </c>
    </row>
  </sheetData>
  <autoFilter ref="A4:T404"/>
  <mergeCells count="2">
    <mergeCell ref="A1:U1"/>
    <mergeCell ref="A2:U2"/>
  </mergeCells>
  <conditionalFormatting sqref="A5:T404">
    <cfRule type="expression" priority="1" dxfId="0" stopIfTrue="0">
      <formula>$O5="Expired"</formula>
    </cfRule>
    <cfRule type="expression" priority="2" dxfId="1" stopIfTrue="0">
      <formula>$O5="Urgent"</formula>
    </cfRule>
    <cfRule type="expression" priority="3" dxfId="2" stopIfTrue="0">
      <formula>$O5="Due soon"</formula>
    </cfRule>
    <cfRule type="expression" priority="4" dxfId="3" stopIfTrue="0">
      <formula>$O5="OK"</formula>
    </cfRule>
    <cfRule type="expression" priority="5" dxfId="4" stopIfTrue="0">
      <formula>$O5="No date"</formula>
    </cfRule>
  </conditionalFormatting>
  <dataValidations count="4">
    <dataValidation sqref="B5:B404" showDropDown="0" showInputMessage="0" showErrorMessage="0" allowBlank="1" error="Pick a value from the list / เลือกจากรายการ" type="list">
      <formula1>Lists!$A$4:$A$7</formula1>
    </dataValidation>
    <dataValidation sqref="D5:D404" showDropDown="0" showInputMessage="0" showErrorMessage="0" allowBlank="1" error="Pick a value from the list / เลือกจากรายการ" type="list">
      <formula1>Lists!$C$4:$C$13</formula1>
    </dataValidation>
    <dataValidation sqref="K5:K404" showDropDown="0" showInputMessage="0" showErrorMessage="0" allowBlank="1" error="Pick a value from the list / เลือกจากรายการ" type="list">
      <formula1>Lists!$E$4:$E$11</formula1>
    </dataValidation>
    <dataValidation sqref="R5:R40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3" max="3"/>
    <col width="22" customWidth="1" min="5" max="5"/>
    <col width="22" customWidth="1" min="7" max="7"/>
    <col width="22" customWidth="1" min="9" max="9"/>
    <col width="12" customWidth="1" min="11" max="11"/>
    <col width="32" customWidth="1" min="12" max="12"/>
    <col width="26" customWidth="1" min="13" max="13"/>
  </cols>
  <sheetData>
    <row r="1">
      <c r="A1" s="16" t="inlineStr">
        <is>
          <t>Dropdown lists — used by the Register. Edit here to change the choices.</t>
        </is>
      </c>
    </row>
    <row r="3">
      <c r="A3" s="26" t="inlineStr">
        <is>
          <t>Property</t>
        </is>
      </c>
      <c r="C3" s="26" t="inlineStr">
        <is>
          <t>Category</t>
        </is>
      </c>
      <c r="E3" s="26" t="inlineStr">
        <is>
          <t>Renewal cycle</t>
        </is>
      </c>
      <c r="G3" s="26" t="inlineStr">
        <is>
          <t>Auto-renew</t>
        </is>
      </c>
      <c r="I3" s="26" t="inlineStr">
        <is>
          <t>Status (reference)</t>
        </is>
      </c>
      <c r="K3" s="26" t="inlineStr">
        <is>
          <t>Property</t>
        </is>
      </c>
      <c r="L3" s="26" t="inlineStr">
        <is>
          <t>Full name</t>
        </is>
      </c>
      <c r="M3" s="26" t="inlineStr">
        <is>
          <t>Legal entity</t>
        </is>
      </c>
    </row>
    <row r="4">
      <c r="A4" t="inlineStr">
        <is>
          <t>SR9</t>
        </is>
      </c>
      <c r="C4" t="inlineStr">
        <is>
          <t>Licence</t>
        </is>
      </c>
      <c r="E4" t="inlineStr">
        <is>
          <t>Annual</t>
        </is>
      </c>
      <c r="G4" t="inlineStr">
        <is>
          <t>Yes</t>
        </is>
      </c>
      <c r="I4" t="inlineStr">
        <is>
          <t>Expired</t>
        </is>
      </c>
      <c r="K4" t="inlineStr">
        <is>
          <t>SR9</t>
        </is>
      </c>
      <c r="L4" t="inlineStr">
        <is>
          <t>Somerset Rama 9 Bangkok</t>
        </is>
      </c>
      <c r="M4" t="inlineStr">
        <is>
          <t>AMH Ratchada Co., Ltd.</t>
        </is>
      </c>
    </row>
    <row r="5">
      <c r="A5" t="inlineStr">
        <is>
          <t>AES</t>
        </is>
      </c>
      <c r="C5" t="inlineStr">
        <is>
          <t>Permit</t>
        </is>
      </c>
      <c r="E5" t="inlineStr">
        <is>
          <t>Every 2 years</t>
        </is>
      </c>
      <c r="G5" t="inlineStr">
        <is>
          <t>No</t>
        </is>
      </c>
      <c r="I5" t="inlineStr">
        <is>
          <t>Urgent</t>
        </is>
      </c>
      <c r="K5" t="inlineStr">
        <is>
          <t>AES</t>
        </is>
      </c>
      <c r="L5" t="inlineStr">
        <is>
          <t>Ascott Embassy Sathorn Bangkok</t>
        </is>
      </c>
      <c r="M5" t="inlineStr">
        <is>
          <t>AMH Sathorn Co., Ltd.</t>
        </is>
      </c>
    </row>
    <row r="6">
      <c r="A6" t="inlineStr">
        <is>
          <t>LYF</t>
        </is>
      </c>
      <c r="C6" t="inlineStr">
        <is>
          <t>Certificate</t>
        </is>
      </c>
      <c r="E6" t="inlineStr">
        <is>
          <t>Every 3 years</t>
        </is>
      </c>
      <c r="I6" t="inlineStr">
        <is>
          <t>Due soon</t>
        </is>
      </c>
      <c r="K6" t="inlineStr">
        <is>
          <t>LYF</t>
        </is>
      </c>
      <c r="L6" t="inlineStr">
        <is>
          <t>lyf Sukhumvit 8 Bangkok</t>
        </is>
      </c>
      <c r="M6" t="inlineStr">
        <is>
          <t>AMH Sukhumvit 8 Co., Ltd.</t>
        </is>
      </c>
    </row>
    <row r="7">
      <c r="A7" t="inlineStr">
        <is>
          <t>SP</t>
        </is>
      </c>
      <c r="C7" t="inlineStr">
        <is>
          <t>Tax / Registration</t>
        </is>
      </c>
      <c r="E7" t="inlineStr">
        <is>
          <t>Every 5 years</t>
        </is>
      </c>
      <c r="I7" t="inlineStr">
        <is>
          <t>OK</t>
        </is>
      </c>
      <c r="K7" t="inlineStr">
        <is>
          <t>SP</t>
        </is>
      </c>
      <c r="L7" t="inlineStr">
        <is>
          <t>Somerset Pattaya</t>
        </is>
      </c>
      <c r="M7" t="inlineStr">
        <is>
          <t>AMH Pattaya Co., Ltd.</t>
        </is>
      </c>
    </row>
    <row r="8">
      <c r="C8" t="inlineStr">
        <is>
          <t>Insurance</t>
        </is>
      </c>
      <c r="E8" t="inlineStr">
        <is>
          <t>One-off</t>
        </is>
      </c>
      <c r="I8" t="inlineStr">
        <is>
          <t>No date</t>
        </is>
      </c>
    </row>
    <row r="9">
      <c r="C9" t="inlineStr">
        <is>
          <t>Contract - Management</t>
        </is>
      </c>
      <c r="E9" t="inlineStr">
        <is>
          <t>Rolling / evergreen</t>
        </is>
      </c>
    </row>
    <row r="10">
      <c r="C10" t="inlineStr">
        <is>
          <t>Contract - OTA</t>
        </is>
      </c>
      <c r="E10" t="inlineStr">
        <is>
          <t>Monthly</t>
        </is>
      </c>
    </row>
    <row r="11">
      <c r="C11" t="inlineStr">
        <is>
          <t>Contract - Service</t>
        </is>
      </c>
      <c r="E11" t="inlineStr">
        <is>
          <t>Other</t>
        </is>
      </c>
    </row>
    <row r="12">
      <c r="C12" t="inlineStr">
        <is>
          <t>Contract - Utility</t>
        </is>
      </c>
    </row>
    <row r="13">
      <c r="C13" t="inlineStr">
        <is>
          <t>Contract - Lease / 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2026-08-20T03:11:11Z</dcterms:created>
  <dcterms:modified xsi:type="dcterms:W3CDTF">2026-08-20T03:11:11Z</dcterms:modified>
</cp:coreProperties>
</file>