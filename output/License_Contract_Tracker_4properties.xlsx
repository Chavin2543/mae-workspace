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Guide" sheetId="1" state="visible" r:id="rId1"/>
    <sheet name="Dashboard" sheetId="2" state="visible" r:id="rId2"/>
    <sheet name="SR9" sheetId="3" state="visible" r:id="rId3"/>
    <sheet name="AES" sheetId="4" state="visible" r:id="rId4"/>
    <sheet name="LYF" sheetId="5" state="visible" r:id="rId5"/>
    <sheet name="SP" sheetId="6" state="visible" r:id="rId6"/>
    <sheet name="Feed" sheetId="7" state="hidden" r:id="rId7"/>
    <sheet name="Lists" sheetId="8" state="visible" r:id="rId8"/>
  </sheets>
  <definedNames>
    <definedName name="_xlnm._FilterDatabase" localSheetId="2" hidden="1">'SR9'!$A$4:$S$124</definedName>
    <definedName name="_xlnm._FilterDatabase" localSheetId="3" hidden="1">'AES'!$A$4:$S$124</definedName>
    <definedName name="_xlnm._FilterDatabase" localSheetId="4" hidden="1">'LYF'!$A$4:$S$124</definedName>
    <definedName name="_xlnm._FilterDatabase" localSheetId="5" hidden="1">'SP'!$A$4:$S$124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b val="1"/>
      <color rgb="001F3864"/>
    </font>
    <font>
      <b val="1"/>
      <color rgb="00FFFFFF"/>
      <sz val="10"/>
    </font>
    <font>
      <b val="1"/>
      <color rgb="001F3864"/>
      <sz val="16"/>
    </font>
    <font>
      <color rgb="00595959"/>
      <sz val="10"/>
    </font>
    <font>
      <b val="1"/>
    </font>
    <font>
      <b val="1"/>
      <color rgb="001F3864"/>
      <sz val="12"/>
    </font>
    <font>
      <i val="1"/>
      <color rgb="00595959"/>
    </font>
    <font>
      <b val="1"/>
      <color rgb="00FFFFFF"/>
    </font>
    <font>
      <b val="1"/>
      <color rgb="005B3A8E"/>
      <sz val="12"/>
    </font>
    <font>
      <b val="1"/>
      <color rgb="005B3A8E"/>
    </font>
    <font>
      <b val="1"/>
      <color rgb="00808080"/>
      <sz val="12"/>
    </font>
    <font>
      <color rgb="00595959"/>
    </font>
    <font>
      <b val="1"/>
      <color rgb="00833C00"/>
    </font>
    <font>
      <b val="1"/>
      <color rgb="009C0006"/>
    </font>
    <font>
      <color rgb="007F6000"/>
    </font>
    <font>
      <color rgb="00375623"/>
    </font>
    <font>
      <color rgb="0080808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1F8"/>
      </patternFill>
    </fill>
    <fill>
      <patternFill patternType="solid">
        <fgColor rgb="00F2F2F2"/>
      </patternFill>
    </fill>
    <fill>
      <patternFill patternType="solid">
        <fgColor rgb="005B3A8E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F8CBAD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3" borderId="1" pivotButton="0" quotePrefix="0" xfId="0"/>
    <xf numFmtId="0" fontId="0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pivotButton="0" quotePrefix="0" xfId="0"/>
    <xf numFmtId="0" fontId="5" fillId="4" borderId="1" applyAlignment="1" pivotButton="0" quotePrefix="0" xfId="0">
      <alignment horizontal="center"/>
    </xf>
    <xf numFmtId="0" fontId="7" fillId="0" borderId="0" pivotButton="0" quotePrefix="0" xfId="0"/>
    <xf numFmtId="0" fontId="8" fillId="2" borderId="1" pivotButton="0" quotePrefix="0" xfId="0"/>
    <xf numFmtId="0" fontId="8" fillId="2" borderId="1" applyAlignment="1" pivotButton="0" quotePrefix="0" xfId="0">
      <alignment horizontal="center"/>
    </xf>
    <xf numFmtId="0" fontId="9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horizontal="center"/>
    </xf>
    <xf numFmtId="0" fontId="11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1" fillId="0" borderId="0" pivotButton="0" quotePrefix="0" xfId="0"/>
    <xf numFmtId="0" fontId="1" fillId="7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13" fillId="9" borderId="1" applyAlignment="1" pivotButton="0" quotePrefix="0" xfId="0">
      <alignment horizontal="center"/>
    </xf>
    <xf numFmtId="0" fontId="14" fillId="10" borderId="1" applyAlignment="1" pivotButton="0" quotePrefix="0" xfId="0">
      <alignment horizontal="center"/>
    </xf>
    <xf numFmtId="0" fontId="15" fillId="11" borderId="1" applyAlignment="1" pivotButton="0" quotePrefix="0" xfId="0">
      <alignment horizontal="center"/>
    </xf>
    <xf numFmtId="0" fontId="16" fillId="12" borderId="1" applyAlignment="1" pivotButton="0" quotePrefix="0" xfId="0">
      <alignment horizontal="center"/>
    </xf>
    <xf numFmtId="0" fontId="17" fillId="1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vertical="top"/>
    </xf>
    <xf numFmtId="0" fontId="2" fillId="2" borderId="0" pivotButton="0" quotePrefix="0" xfId="0"/>
  </cellXfs>
  <cellStyles count="1">
    <cellStyle name="Normal" xfId="0" builtinId="0" hidden="0"/>
  </cellStyles>
  <dxfs count="7">
    <dxf>
      <font>
        <b val="1"/>
        <color rgb="00833C00"/>
      </font>
      <fill>
        <patternFill patternType="solid">
          <fgColor rgb="00F8CBAD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699"/>
        </patternFill>
      </fill>
    </dxf>
    <dxf>
      <font>
        <color rgb="00375623"/>
      </font>
      <fill>
        <patternFill patternType="solid">
          <fgColor rgb="00C6EFCE"/>
        </patternFill>
      </fill>
    </dxf>
    <dxf>
      <font>
        <b val="1"/>
        <color rgb="001F3864"/>
      </font>
      <fill>
        <patternFill patternType="solid">
          <fgColor rgb="00DDEBF7"/>
        </patternFill>
      </fill>
    </dxf>
    <dxf>
      <font>
        <b val="1"/>
        <color rgb="005B3A8E"/>
      </font>
      <fill>
        <patternFill patternType="solid">
          <fgColor rgb="00E4DFEC"/>
        </patternFill>
      </fill>
    </dxf>
    <dxf>
      <font>
        <color rgb="0080808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5" customWidth="1" min="3" max="3"/>
  </cols>
  <sheetData>
    <row r="1" ht="26" customHeight="1">
      <c r="B1" s="1" t="inlineStr">
        <is>
          <t>How to use this file / วิธีใช้ไฟล์นี้</t>
        </is>
      </c>
    </row>
    <row r="3" ht="30" customHeight="1">
      <c r="B3" s="2" t="inlineStr">
        <is>
          <t>The tabs</t>
        </is>
      </c>
      <c r="C3" s="3" t="inlineStr">
        <is>
          <t>Dashboard = the overview of all 4 hotels. SR9 / AES / LYF / SP = one register per hotel, where you type. Lists = the dropdown choices.</t>
        </is>
      </c>
    </row>
    <row r="4" ht="30" customHeight="1">
      <c r="B4" s="2" t="inlineStr">
        <is>
          <t>แท็บ</t>
        </is>
      </c>
      <c r="C4" s="3" t="inlineStr">
        <is>
          <t>Dashboard คือภาพรวม 4 โรงแรม, SR9 / AES / LYF / SP คือทะเบียนของแต่ละโรงแรม (กรอกที่นี่), Lists คือตัวเลือก</t>
        </is>
      </c>
    </row>
    <row r="6" ht="30" customHeight="1">
      <c r="B6" s="2" t="inlineStr">
        <is>
          <t>Step 1</t>
        </is>
      </c>
      <c r="C6" s="3" t="inlineStr">
        <is>
          <t>Open the tab of the hotel you are working on. Each row is one licence, permit, tax, insurance policy or contract.</t>
        </is>
      </c>
    </row>
    <row r="7" ht="30" customHeight="1">
      <c r="B7" s="2" t="inlineStr">
        <is>
          <t>Step 2</t>
        </is>
      </c>
      <c r="C7" s="3" t="inlineStr">
        <is>
          <t>Fill in: Reference / Licence no., Issue date, Expiry date, Responsible person, Fee, and where the document is kept.</t>
        </is>
      </c>
    </row>
    <row r="8" ht="16" customHeight="1">
      <c r="B8" s="2" t="inlineStr">
        <is>
          <t>Step 3</t>
        </is>
      </c>
      <c r="C8" s="3" t="inlineStr">
        <is>
          <t>Leave the grey formula columns alone — Action by, Days left and Status fill themselves in.</t>
        </is>
      </c>
    </row>
    <row r="9" ht="16" customHeight="1">
      <c r="B9" s="2" t="inlineStr">
        <is>
          <t>Step 4</t>
        </is>
      </c>
      <c r="C9" s="3" t="inlineStr">
        <is>
          <t>Open the Dashboard tab to see what is expiring, all hotels together.</t>
        </is>
      </c>
    </row>
    <row r="11" ht="30" customHeight="1">
      <c r="B11" s="2" t="inlineStr">
        <is>
          <t>Renew by</t>
        </is>
      </c>
      <c r="C11" s="3" t="inlineStr">
        <is>
          <t>The key split: OWNER or PROPERTY — who has to renew it. Owner rows are blue, Property rows purple; each hotel tab lists the Owner block first. The Dashboard counts the two separately, by hotel and by document type.</t>
        </is>
      </c>
    </row>
    <row r="12" ht="30" customHeight="1">
      <c r="B12" s="2" t="inlineStr">
        <is>
          <t>ผู้ต่ออายุ</t>
        </is>
      </c>
      <c r="C12" s="3" t="inlineStr">
        <is>
          <t>Owner = เจ้าของอาคาร (บริษัท AMH) / Property = ฝ่ายโรงแรม แต่ละแท็บเรียง Owner ก่อน แล้วจึง Property</t>
        </is>
      </c>
    </row>
    <row r="14" ht="30" customHeight="1">
      <c r="B14" s="2" t="inlineStr">
        <is>
          <t>Dates</t>
        </is>
      </c>
      <c r="C14" s="3" t="inlineStr">
        <is>
          <t>Type dates as a real date (e.g. 31/12/2026). If Excel shows a number instead, format the cell as Date.</t>
        </is>
      </c>
    </row>
    <row r="15" ht="30" customHeight="1">
      <c r="B15" s="2" t="inlineStr">
        <is>
          <t>Notice (days)</t>
        </is>
      </c>
      <c r="C15" s="3" t="inlineStr">
        <is>
          <t>How many days before expiry you want to start the renewal. Default 60. 'Action by' = expiry minus this.</t>
        </is>
      </c>
    </row>
    <row r="16" ht="16" customHeight="1">
      <c r="B16" s="2" t="inlineStr">
        <is>
          <t>Rows</t>
        </is>
      </c>
      <c r="C16" s="3" t="inlineStr">
        <is>
          <t>Formulas run to row 124 on every hotel tab. Keep typing down — no need to copy formulas.</t>
        </is>
      </c>
    </row>
    <row r="17" ht="16" customHeight="1">
      <c r="B17" s="2" t="inlineStr">
        <is>
          <t>Delete a row</t>
        </is>
      </c>
      <c r="C17" s="3" t="inlineStr">
        <is>
          <t>Clear the Item (EN) cell and the row drops out of the count and the Dashboard.</t>
        </is>
      </c>
    </row>
    <row r="19" ht="30" customHeight="1">
      <c r="B19" s="2" t="inlineStr">
        <is>
          <t>The seeded rows</t>
        </is>
      </c>
      <c r="C19" s="3" t="inlineStr">
        <is>
          <t>The checklist comes from your team's handbook (the 2510_SA document list) — the renewable items, the same list on every hotel tab. No dates yet. Delete anything a hotel does not have, add anything missing. Archive-only papers (BOD minutes, SPA, CFA, construction contracts) are not here — they do not expire.</t>
        </is>
      </c>
    </row>
    <row r="20" ht="30" customHeight="1">
      <c r="B20" s="2" t="inlineStr">
        <is>
          <t>รายการที่ใส่ไว้ให้</t>
        </is>
      </c>
      <c r="C20" s="3" t="inlineStr">
        <is>
          <t>มาจากคู่มือของทีม (ลิสต์ 2510_SA) เฉพาะรายการที่ต้องต่ออายุ เหมือนกันทุกโรงแรม ยังไม่มีวันที่ ลบอันที่ไม่มี เพิ่มอันที่ขาด</t>
        </is>
      </c>
    </row>
    <row r="22" ht="30" customHeight="1">
      <c r="B22" s="2" t="inlineStr">
        <is>
          <t>Colours</t>
        </is>
      </c>
      <c r="C22" s="3" t="inlineStr">
        <is>
          <t>Red = expired. Pink = expires within 30 days. Amber = within 90 days. Green = fine. Grey = no expiry date yet.</t>
        </is>
      </c>
    </row>
    <row r="23" ht="30" customHeight="1">
      <c r="B23" s="2" t="inlineStr">
        <is>
          <t>Hidden tab 'Feed'</t>
        </is>
      </c>
      <c r="C23" s="3" t="inlineStr">
        <is>
          <t>A hidden helper that joins the 4 hotel tabs for the Dashboard's expiring-next list. Leave it be.</t>
        </is>
      </c>
    </row>
    <row r="24" ht="30" customHeight="1">
      <c r="B24" s="2" t="inlineStr">
        <is>
          <t>Rebuild</t>
        </is>
      </c>
      <c r="C24" s="3" t="inlineStr">
        <is>
          <t>scripts/build_license_tracker.py rebuilds this file's structure from empty rows — never overwrite a filled-in copy.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26" customWidth="1" min="4" max="4"/>
    <col width="21" customWidth="1" min="5" max="5"/>
    <col width="14" customWidth="1" min="6" max="6"/>
    <col width="12" customWidth="1" min="7" max="7"/>
    <col width="12" customWidth="1" min="8" max="8"/>
    <col width="22" customWidth="1" min="9" max="9"/>
  </cols>
  <sheetData>
    <row r="1" ht="24" customHeight="1">
      <c r="A1" s="1" t="inlineStr">
        <is>
          <t>Licence &amp; Contract Dashboard — 4 properties</t>
        </is>
      </c>
    </row>
    <row r="2">
      <c r="A2" s="4" t="inlineStr">
        <is>
          <t>OWNER then PROPERTY; inside each, every hotel with its categories. Reads the four hotel tabs — reopen the file to refresh. แยกตามผู้รับผิดชอบ &gt; โรงแรม &gt; ประเภทเอกสาร</t>
        </is>
      </c>
    </row>
    <row r="3" ht="6" customHeight="1"/>
    <row r="4">
      <c r="A4" s="5" t="inlineStr">
        <is>
          <t>As at</t>
        </is>
      </c>
      <c r="B4" s="6">
        <f>TODAY()</f>
        <v/>
      </c>
    </row>
    <row r="6">
      <c r="A6" s="7" t="inlineStr">
        <is>
          <t>OWNER — renewed by the asset company (AMH …) / เจ้าของอาคาร</t>
        </is>
      </c>
    </row>
    <row r="7" ht="30" customHeight="1">
      <c r="A7" s="8" t="inlineStr">
        <is>
          <t>Hotel / Document type</t>
        </is>
      </c>
      <c r="B7" s="8" t="inlineStr">
        <is>
          <t>Expired</t>
        </is>
      </c>
      <c r="C7" s="8" t="inlineStr">
        <is>
          <t>Urgent (≤30 d)</t>
        </is>
      </c>
      <c r="D7" s="8" t="inlineStr">
        <is>
          <t>Due soon (≤90 d)</t>
        </is>
      </c>
      <c r="E7" s="8" t="inlineStr">
        <is>
          <t>OK</t>
        </is>
      </c>
      <c r="F7" s="8" t="inlineStr">
        <is>
          <t>No date</t>
        </is>
      </c>
      <c r="G7" s="8" t="inlineStr">
        <is>
          <t>Total</t>
        </is>
      </c>
    </row>
    <row r="8">
      <c r="A8" s="9" t="inlineStr">
        <is>
          <t>1. SR9 — Somerset Rama 9 Bangkok</t>
        </is>
      </c>
      <c r="B8" s="10" t="n"/>
      <c r="C8" s="10" t="n"/>
      <c r="D8" s="10" t="n"/>
      <c r="E8" s="10" t="n"/>
      <c r="F8" s="10" t="n"/>
      <c r="G8" s="10" t="n"/>
    </row>
    <row r="9">
      <c r="A9" s="11" t="inlineStr">
        <is>
          <t xml:space="preserve">      Licence</t>
        </is>
      </c>
      <c r="B9" s="12">
        <f>COUNTIFS(SR9!$B$5:$B$124,"Licence",SR9!$C$5:$C$124,"Owner",SR9!$N$5:$N$124,"Expired")</f>
        <v/>
      </c>
      <c r="C9" s="12">
        <f>COUNTIFS(SR9!$B$5:$B$124,"Licence",SR9!$C$5:$C$124,"Owner",SR9!$N$5:$N$124,"Urgent")</f>
        <v/>
      </c>
      <c r="D9" s="12">
        <f>COUNTIFS(SR9!$B$5:$B$124,"Licence",SR9!$C$5:$C$124,"Owner",SR9!$N$5:$N$124,"Due soon")</f>
        <v/>
      </c>
      <c r="E9" s="12">
        <f>COUNTIFS(SR9!$B$5:$B$124,"Licence",SR9!$C$5:$C$124,"Owner",SR9!$N$5:$N$124,"OK")</f>
        <v/>
      </c>
      <c r="F9" s="12">
        <f>COUNTIFS(SR9!$B$5:$B$124,"Licence",SR9!$C$5:$C$124,"Owner",SR9!$N$5:$N$124,"No date")</f>
        <v/>
      </c>
      <c r="G9" s="12">
        <f>COUNTIFS(SR9!$B$5:$B$124,"Licence",SR9!$C$5:$C$124,"Owner",SR9!$D$5:$D$124,"?*")</f>
        <v/>
      </c>
    </row>
    <row r="10">
      <c r="A10" s="11" t="inlineStr">
        <is>
          <t xml:space="preserve">      Permit</t>
        </is>
      </c>
      <c r="B10" s="12">
        <f>COUNTIFS(SR9!$B$5:$B$124,"Permit",SR9!$C$5:$C$124,"Owner",SR9!$N$5:$N$124,"Expired")</f>
        <v/>
      </c>
      <c r="C10" s="12">
        <f>COUNTIFS(SR9!$B$5:$B$124,"Permit",SR9!$C$5:$C$124,"Owner",SR9!$N$5:$N$124,"Urgent")</f>
        <v/>
      </c>
      <c r="D10" s="12">
        <f>COUNTIFS(SR9!$B$5:$B$124,"Permit",SR9!$C$5:$C$124,"Owner",SR9!$N$5:$N$124,"Due soon")</f>
        <v/>
      </c>
      <c r="E10" s="12">
        <f>COUNTIFS(SR9!$B$5:$B$124,"Permit",SR9!$C$5:$C$124,"Owner",SR9!$N$5:$N$124,"OK")</f>
        <v/>
      </c>
      <c r="F10" s="12">
        <f>COUNTIFS(SR9!$B$5:$B$124,"Permit",SR9!$C$5:$C$124,"Owner",SR9!$N$5:$N$124,"No date")</f>
        <v/>
      </c>
      <c r="G10" s="12">
        <f>COUNTIFS(SR9!$B$5:$B$124,"Permit",SR9!$C$5:$C$124,"Owner",SR9!$D$5:$D$124,"?*")</f>
        <v/>
      </c>
    </row>
    <row r="11">
      <c r="A11" s="11" t="inlineStr">
        <is>
          <t xml:space="preserve">      Certificate</t>
        </is>
      </c>
      <c r="B11" s="12">
        <f>COUNTIFS(SR9!$B$5:$B$124,"Certificate",SR9!$C$5:$C$124,"Owner",SR9!$N$5:$N$124,"Expired")</f>
        <v/>
      </c>
      <c r="C11" s="12">
        <f>COUNTIFS(SR9!$B$5:$B$124,"Certificate",SR9!$C$5:$C$124,"Owner",SR9!$N$5:$N$124,"Urgent")</f>
        <v/>
      </c>
      <c r="D11" s="12">
        <f>COUNTIFS(SR9!$B$5:$B$124,"Certificate",SR9!$C$5:$C$124,"Owner",SR9!$N$5:$N$124,"Due soon")</f>
        <v/>
      </c>
      <c r="E11" s="12">
        <f>COUNTIFS(SR9!$B$5:$B$124,"Certificate",SR9!$C$5:$C$124,"Owner",SR9!$N$5:$N$124,"OK")</f>
        <v/>
      </c>
      <c r="F11" s="12">
        <f>COUNTIFS(SR9!$B$5:$B$124,"Certificate",SR9!$C$5:$C$124,"Owner",SR9!$N$5:$N$124,"No date")</f>
        <v/>
      </c>
      <c r="G11" s="12">
        <f>COUNTIFS(SR9!$B$5:$B$124,"Certificate",SR9!$C$5:$C$124,"Owner",SR9!$D$5:$D$124,"?*")</f>
        <v/>
      </c>
    </row>
    <row r="12">
      <c r="A12" s="11" t="inlineStr">
        <is>
          <t xml:space="preserve">      Tax / Registration</t>
        </is>
      </c>
      <c r="B12" s="12">
        <f>COUNTIFS(SR9!$B$5:$B$124,"Tax / Registration",SR9!$C$5:$C$124,"Owner",SR9!$N$5:$N$124,"Expired")</f>
        <v/>
      </c>
      <c r="C12" s="12">
        <f>COUNTIFS(SR9!$B$5:$B$124,"Tax / Registration",SR9!$C$5:$C$124,"Owner",SR9!$N$5:$N$124,"Urgent")</f>
        <v/>
      </c>
      <c r="D12" s="12">
        <f>COUNTIFS(SR9!$B$5:$B$124,"Tax / Registration",SR9!$C$5:$C$124,"Owner",SR9!$N$5:$N$124,"Due soon")</f>
        <v/>
      </c>
      <c r="E12" s="12">
        <f>COUNTIFS(SR9!$B$5:$B$124,"Tax / Registration",SR9!$C$5:$C$124,"Owner",SR9!$N$5:$N$124,"OK")</f>
        <v/>
      </c>
      <c r="F12" s="12">
        <f>COUNTIFS(SR9!$B$5:$B$124,"Tax / Registration",SR9!$C$5:$C$124,"Owner",SR9!$N$5:$N$124,"No date")</f>
        <v/>
      </c>
      <c r="G12" s="12">
        <f>COUNTIFS(SR9!$B$5:$B$124,"Tax / Registration",SR9!$C$5:$C$124,"Owner",SR9!$D$5:$D$124,"?*")</f>
        <v/>
      </c>
    </row>
    <row r="13">
      <c r="A13" s="11" t="inlineStr">
        <is>
          <t xml:space="preserve">      Corporate</t>
        </is>
      </c>
      <c r="B13" s="12">
        <f>COUNTIFS(SR9!$B$5:$B$124,"Corporate",SR9!$C$5:$C$124,"Owner",SR9!$N$5:$N$124,"Expired")</f>
        <v/>
      </c>
      <c r="C13" s="12">
        <f>COUNTIFS(SR9!$B$5:$B$124,"Corporate",SR9!$C$5:$C$124,"Owner",SR9!$N$5:$N$124,"Urgent")</f>
        <v/>
      </c>
      <c r="D13" s="12">
        <f>COUNTIFS(SR9!$B$5:$B$124,"Corporate",SR9!$C$5:$C$124,"Owner",SR9!$N$5:$N$124,"Due soon")</f>
        <v/>
      </c>
      <c r="E13" s="12">
        <f>COUNTIFS(SR9!$B$5:$B$124,"Corporate",SR9!$C$5:$C$124,"Owner",SR9!$N$5:$N$124,"OK")</f>
        <v/>
      </c>
      <c r="F13" s="12">
        <f>COUNTIFS(SR9!$B$5:$B$124,"Corporate",SR9!$C$5:$C$124,"Owner",SR9!$N$5:$N$124,"No date")</f>
        <v/>
      </c>
      <c r="G13" s="12">
        <f>COUNTIFS(SR9!$B$5:$B$124,"Corporate",SR9!$C$5:$C$124,"Owner",SR9!$D$5:$D$124,"?*")</f>
        <v/>
      </c>
    </row>
    <row r="14">
      <c r="A14" s="11" t="inlineStr">
        <is>
          <t xml:space="preserve">      Insurance</t>
        </is>
      </c>
      <c r="B14" s="12">
        <f>COUNTIFS(SR9!$B$5:$B$124,"Insurance",SR9!$C$5:$C$124,"Owner",SR9!$N$5:$N$124,"Expired")</f>
        <v/>
      </c>
      <c r="C14" s="12">
        <f>COUNTIFS(SR9!$B$5:$B$124,"Insurance",SR9!$C$5:$C$124,"Owner",SR9!$N$5:$N$124,"Urgent")</f>
        <v/>
      </c>
      <c r="D14" s="12">
        <f>COUNTIFS(SR9!$B$5:$B$124,"Insurance",SR9!$C$5:$C$124,"Owner",SR9!$N$5:$N$124,"Due soon")</f>
        <v/>
      </c>
      <c r="E14" s="12">
        <f>COUNTIFS(SR9!$B$5:$B$124,"Insurance",SR9!$C$5:$C$124,"Owner",SR9!$N$5:$N$124,"OK")</f>
        <v/>
      </c>
      <c r="F14" s="12">
        <f>COUNTIFS(SR9!$B$5:$B$124,"Insurance",SR9!$C$5:$C$124,"Owner",SR9!$N$5:$N$124,"No date")</f>
        <v/>
      </c>
      <c r="G14" s="12">
        <f>COUNTIFS(SR9!$B$5:$B$124,"Insurance",SR9!$C$5:$C$124,"Owner",SR9!$D$5:$D$124,"?*")</f>
        <v/>
      </c>
    </row>
    <row r="15">
      <c r="A15" s="11" t="inlineStr">
        <is>
          <t xml:space="preserve">      Contract - Management</t>
        </is>
      </c>
      <c r="B15" s="12">
        <f>COUNTIFS(SR9!$B$5:$B$124,"Contract - Management",SR9!$C$5:$C$124,"Owner",SR9!$N$5:$N$124,"Expired")</f>
        <v/>
      </c>
      <c r="C15" s="12">
        <f>COUNTIFS(SR9!$B$5:$B$124,"Contract - Management",SR9!$C$5:$C$124,"Owner",SR9!$N$5:$N$124,"Urgent")</f>
        <v/>
      </c>
      <c r="D15" s="12">
        <f>COUNTIFS(SR9!$B$5:$B$124,"Contract - Management",SR9!$C$5:$C$124,"Owner",SR9!$N$5:$N$124,"Due soon")</f>
        <v/>
      </c>
      <c r="E15" s="12">
        <f>COUNTIFS(SR9!$B$5:$B$124,"Contract - Management",SR9!$C$5:$C$124,"Owner",SR9!$N$5:$N$124,"OK")</f>
        <v/>
      </c>
      <c r="F15" s="12">
        <f>COUNTIFS(SR9!$B$5:$B$124,"Contract - Management",SR9!$C$5:$C$124,"Owner",SR9!$N$5:$N$124,"No date")</f>
        <v/>
      </c>
      <c r="G15" s="12">
        <f>COUNTIFS(SR9!$B$5:$B$124,"Contract - Management",SR9!$C$5:$C$124,"Owner",SR9!$D$5:$D$124,"?*")</f>
        <v/>
      </c>
    </row>
    <row r="16">
      <c r="A16" s="11" t="inlineStr">
        <is>
          <t xml:space="preserve">      Contract - OTA</t>
        </is>
      </c>
      <c r="B16" s="12">
        <f>COUNTIFS(SR9!$B$5:$B$124,"Contract - OTA",SR9!$C$5:$C$124,"Owner",SR9!$N$5:$N$124,"Expired")</f>
        <v/>
      </c>
      <c r="C16" s="12">
        <f>COUNTIFS(SR9!$B$5:$B$124,"Contract - OTA",SR9!$C$5:$C$124,"Owner",SR9!$N$5:$N$124,"Urgent")</f>
        <v/>
      </c>
      <c r="D16" s="12">
        <f>COUNTIFS(SR9!$B$5:$B$124,"Contract - OTA",SR9!$C$5:$C$124,"Owner",SR9!$N$5:$N$124,"Due soon")</f>
        <v/>
      </c>
      <c r="E16" s="12">
        <f>COUNTIFS(SR9!$B$5:$B$124,"Contract - OTA",SR9!$C$5:$C$124,"Owner",SR9!$N$5:$N$124,"OK")</f>
        <v/>
      </c>
      <c r="F16" s="12">
        <f>COUNTIFS(SR9!$B$5:$B$124,"Contract - OTA",SR9!$C$5:$C$124,"Owner",SR9!$N$5:$N$124,"No date")</f>
        <v/>
      </c>
      <c r="G16" s="12">
        <f>COUNTIFS(SR9!$B$5:$B$124,"Contract - OTA",SR9!$C$5:$C$124,"Owner",SR9!$D$5:$D$124,"?*")</f>
        <v/>
      </c>
    </row>
    <row r="17">
      <c r="A17" s="11" t="inlineStr">
        <is>
          <t xml:space="preserve">      Contract - Service</t>
        </is>
      </c>
      <c r="B17" s="12">
        <f>COUNTIFS(SR9!$B$5:$B$124,"Contract - Service",SR9!$C$5:$C$124,"Owner",SR9!$N$5:$N$124,"Expired")</f>
        <v/>
      </c>
      <c r="C17" s="12">
        <f>COUNTIFS(SR9!$B$5:$B$124,"Contract - Service",SR9!$C$5:$C$124,"Owner",SR9!$N$5:$N$124,"Urgent")</f>
        <v/>
      </c>
      <c r="D17" s="12">
        <f>COUNTIFS(SR9!$B$5:$B$124,"Contract - Service",SR9!$C$5:$C$124,"Owner",SR9!$N$5:$N$124,"Due soon")</f>
        <v/>
      </c>
      <c r="E17" s="12">
        <f>COUNTIFS(SR9!$B$5:$B$124,"Contract - Service",SR9!$C$5:$C$124,"Owner",SR9!$N$5:$N$124,"OK")</f>
        <v/>
      </c>
      <c r="F17" s="12">
        <f>COUNTIFS(SR9!$B$5:$B$124,"Contract - Service",SR9!$C$5:$C$124,"Owner",SR9!$N$5:$N$124,"No date")</f>
        <v/>
      </c>
      <c r="G17" s="12">
        <f>COUNTIFS(SR9!$B$5:$B$124,"Contract - Service",SR9!$C$5:$C$124,"Owner",SR9!$D$5:$D$124,"?*")</f>
        <v/>
      </c>
    </row>
    <row r="18">
      <c r="A18" s="11" t="inlineStr">
        <is>
          <t xml:space="preserve">      Contract - Utility</t>
        </is>
      </c>
      <c r="B18" s="12">
        <f>COUNTIFS(SR9!$B$5:$B$124,"Contract - Utility",SR9!$C$5:$C$124,"Owner",SR9!$N$5:$N$124,"Expired")</f>
        <v/>
      </c>
      <c r="C18" s="12">
        <f>COUNTIFS(SR9!$B$5:$B$124,"Contract - Utility",SR9!$C$5:$C$124,"Owner",SR9!$N$5:$N$124,"Urgent")</f>
        <v/>
      </c>
      <c r="D18" s="12">
        <f>COUNTIFS(SR9!$B$5:$B$124,"Contract - Utility",SR9!$C$5:$C$124,"Owner",SR9!$N$5:$N$124,"Due soon")</f>
        <v/>
      </c>
      <c r="E18" s="12">
        <f>COUNTIFS(SR9!$B$5:$B$124,"Contract - Utility",SR9!$C$5:$C$124,"Owner",SR9!$N$5:$N$124,"OK")</f>
        <v/>
      </c>
      <c r="F18" s="12">
        <f>COUNTIFS(SR9!$B$5:$B$124,"Contract - Utility",SR9!$C$5:$C$124,"Owner",SR9!$N$5:$N$124,"No date")</f>
        <v/>
      </c>
      <c r="G18" s="12">
        <f>COUNTIFS(SR9!$B$5:$B$124,"Contract - Utility",SR9!$C$5:$C$124,"Owner",SR9!$D$5:$D$124,"?*")</f>
        <v/>
      </c>
    </row>
    <row r="19">
      <c r="A19" s="11" t="inlineStr">
        <is>
          <t xml:space="preserve">      Contract - Lease / Finance</t>
        </is>
      </c>
      <c r="B19" s="12">
        <f>COUNTIFS(SR9!$B$5:$B$124,"Contract - Lease / Finance",SR9!$C$5:$C$124,"Owner",SR9!$N$5:$N$124,"Expired")</f>
        <v/>
      </c>
      <c r="C19" s="12">
        <f>COUNTIFS(SR9!$B$5:$B$124,"Contract - Lease / Finance",SR9!$C$5:$C$124,"Owner",SR9!$N$5:$N$124,"Urgent")</f>
        <v/>
      </c>
      <c r="D19" s="12">
        <f>COUNTIFS(SR9!$B$5:$B$124,"Contract - Lease / Finance",SR9!$C$5:$C$124,"Owner",SR9!$N$5:$N$124,"Due soon")</f>
        <v/>
      </c>
      <c r="E19" s="12">
        <f>COUNTIFS(SR9!$B$5:$B$124,"Contract - Lease / Finance",SR9!$C$5:$C$124,"Owner",SR9!$N$5:$N$124,"OK")</f>
        <v/>
      </c>
      <c r="F19" s="12">
        <f>COUNTIFS(SR9!$B$5:$B$124,"Contract - Lease / Finance",SR9!$C$5:$C$124,"Owner",SR9!$N$5:$N$124,"No date")</f>
        <v/>
      </c>
      <c r="G19" s="12">
        <f>COUNTIFS(SR9!$B$5:$B$124,"Contract - Lease / Finance",SR9!$C$5:$C$124,"Owner",SR9!$D$5:$D$124,"?*")</f>
        <v/>
      </c>
    </row>
    <row r="20">
      <c r="A20" s="13" t="inlineStr">
        <is>
          <t>SR9 total</t>
        </is>
      </c>
      <c r="B20" s="14">
        <f>SUM(B9:B19)</f>
        <v/>
      </c>
      <c r="C20" s="14">
        <f>SUM(C9:C19)</f>
        <v/>
      </c>
      <c r="D20" s="14">
        <f>SUM(D9:D19)</f>
        <v/>
      </c>
      <c r="E20" s="14">
        <f>SUM(E9:E19)</f>
        <v/>
      </c>
      <c r="F20" s="14">
        <f>SUM(F9:F19)</f>
        <v/>
      </c>
      <c r="G20" s="14">
        <f>SUM(G9:G19)</f>
        <v/>
      </c>
      <c r="I20" s="15">
        <f>IF(G20=COUNTIFS(SR9!$C$5:$C$124,"Owner",SR9!$D$5:$D$124,"?*"),"✓","CHECK — categories ≠ tab")</f>
        <v/>
      </c>
    </row>
    <row r="21">
      <c r="A21" s="9" t="inlineStr">
        <is>
          <t>2. AES — Ascott Embassy Sathorn Bangkok</t>
        </is>
      </c>
      <c r="B21" s="10" t="n"/>
      <c r="C21" s="10" t="n"/>
      <c r="D21" s="10" t="n"/>
      <c r="E21" s="10" t="n"/>
      <c r="F21" s="10" t="n"/>
      <c r="G21" s="10" t="n"/>
    </row>
    <row r="22">
      <c r="A22" s="11" t="inlineStr">
        <is>
          <t xml:space="preserve">      Licence</t>
        </is>
      </c>
      <c r="B22" s="12">
        <f>COUNTIFS(AES!$B$5:$B$124,"Licence",AES!$C$5:$C$124,"Owner",AES!$N$5:$N$124,"Expired")</f>
        <v/>
      </c>
      <c r="C22" s="12">
        <f>COUNTIFS(AES!$B$5:$B$124,"Licence",AES!$C$5:$C$124,"Owner",AES!$N$5:$N$124,"Urgent")</f>
        <v/>
      </c>
      <c r="D22" s="12">
        <f>COUNTIFS(AES!$B$5:$B$124,"Licence",AES!$C$5:$C$124,"Owner",AES!$N$5:$N$124,"Due soon")</f>
        <v/>
      </c>
      <c r="E22" s="12">
        <f>COUNTIFS(AES!$B$5:$B$124,"Licence",AES!$C$5:$C$124,"Owner",AES!$N$5:$N$124,"OK")</f>
        <v/>
      </c>
      <c r="F22" s="12">
        <f>COUNTIFS(AES!$B$5:$B$124,"Licence",AES!$C$5:$C$124,"Owner",AES!$N$5:$N$124,"No date")</f>
        <v/>
      </c>
      <c r="G22" s="12">
        <f>COUNTIFS(AES!$B$5:$B$124,"Licence",AES!$C$5:$C$124,"Owner",AES!$D$5:$D$124,"?*")</f>
        <v/>
      </c>
    </row>
    <row r="23">
      <c r="A23" s="11" t="inlineStr">
        <is>
          <t xml:space="preserve">      Permit</t>
        </is>
      </c>
      <c r="B23" s="12">
        <f>COUNTIFS(AES!$B$5:$B$124,"Permit",AES!$C$5:$C$124,"Owner",AES!$N$5:$N$124,"Expired")</f>
        <v/>
      </c>
      <c r="C23" s="12">
        <f>COUNTIFS(AES!$B$5:$B$124,"Permit",AES!$C$5:$C$124,"Owner",AES!$N$5:$N$124,"Urgent")</f>
        <v/>
      </c>
      <c r="D23" s="12">
        <f>COUNTIFS(AES!$B$5:$B$124,"Permit",AES!$C$5:$C$124,"Owner",AES!$N$5:$N$124,"Due soon")</f>
        <v/>
      </c>
      <c r="E23" s="12">
        <f>COUNTIFS(AES!$B$5:$B$124,"Permit",AES!$C$5:$C$124,"Owner",AES!$N$5:$N$124,"OK")</f>
        <v/>
      </c>
      <c r="F23" s="12">
        <f>COUNTIFS(AES!$B$5:$B$124,"Permit",AES!$C$5:$C$124,"Owner",AES!$N$5:$N$124,"No date")</f>
        <v/>
      </c>
      <c r="G23" s="12">
        <f>COUNTIFS(AES!$B$5:$B$124,"Permit",AES!$C$5:$C$124,"Owner",AES!$D$5:$D$124,"?*")</f>
        <v/>
      </c>
    </row>
    <row r="24">
      <c r="A24" s="11" t="inlineStr">
        <is>
          <t xml:space="preserve">      Certificate</t>
        </is>
      </c>
      <c r="B24" s="12">
        <f>COUNTIFS(AES!$B$5:$B$124,"Certificate",AES!$C$5:$C$124,"Owner",AES!$N$5:$N$124,"Expired")</f>
        <v/>
      </c>
      <c r="C24" s="12">
        <f>COUNTIFS(AES!$B$5:$B$124,"Certificate",AES!$C$5:$C$124,"Owner",AES!$N$5:$N$124,"Urgent")</f>
        <v/>
      </c>
      <c r="D24" s="12">
        <f>COUNTIFS(AES!$B$5:$B$124,"Certificate",AES!$C$5:$C$124,"Owner",AES!$N$5:$N$124,"Due soon")</f>
        <v/>
      </c>
      <c r="E24" s="12">
        <f>COUNTIFS(AES!$B$5:$B$124,"Certificate",AES!$C$5:$C$124,"Owner",AES!$N$5:$N$124,"OK")</f>
        <v/>
      </c>
      <c r="F24" s="12">
        <f>COUNTIFS(AES!$B$5:$B$124,"Certificate",AES!$C$5:$C$124,"Owner",AES!$N$5:$N$124,"No date")</f>
        <v/>
      </c>
      <c r="G24" s="12">
        <f>COUNTIFS(AES!$B$5:$B$124,"Certificate",AES!$C$5:$C$124,"Owner",AES!$D$5:$D$124,"?*")</f>
        <v/>
      </c>
    </row>
    <row r="25">
      <c r="A25" s="11" t="inlineStr">
        <is>
          <t xml:space="preserve">      Tax / Registration</t>
        </is>
      </c>
      <c r="B25" s="12">
        <f>COUNTIFS(AES!$B$5:$B$124,"Tax / Registration",AES!$C$5:$C$124,"Owner",AES!$N$5:$N$124,"Expired")</f>
        <v/>
      </c>
      <c r="C25" s="12">
        <f>COUNTIFS(AES!$B$5:$B$124,"Tax / Registration",AES!$C$5:$C$124,"Owner",AES!$N$5:$N$124,"Urgent")</f>
        <v/>
      </c>
      <c r="D25" s="12">
        <f>COUNTIFS(AES!$B$5:$B$124,"Tax / Registration",AES!$C$5:$C$124,"Owner",AES!$N$5:$N$124,"Due soon")</f>
        <v/>
      </c>
      <c r="E25" s="12">
        <f>COUNTIFS(AES!$B$5:$B$124,"Tax / Registration",AES!$C$5:$C$124,"Owner",AES!$N$5:$N$124,"OK")</f>
        <v/>
      </c>
      <c r="F25" s="12">
        <f>COUNTIFS(AES!$B$5:$B$124,"Tax / Registration",AES!$C$5:$C$124,"Owner",AES!$N$5:$N$124,"No date")</f>
        <v/>
      </c>
      <c r="G25" s="12">
        <f>COUNTIFS(AES!$B$5:$B$124,"Tax / Registration",AES!$C$5:$C$124,"Owner",AES!$D$5:$D$124,"?*")</f>
        <v/>
      </c>
    </row>
    <row r="26">
      <c r="A26" s="11" t="inlineStr">
        <is>
          <t xml:space="preserve">      Corporate</t>
        </is>
      </c>
      <c r="B26" s="12">
        <f>COUNTIFS(AES!$B$5:$B$124,"Corporate",AES!$C$5:$C$124,"Owner",AES!$N$5:$N$124,"Expired")</f>
        <v/>
      </c>
      <c r="C26" s="12">
        <f>COUNTIFS(AES!$B$5:$B$124,"Corporate",AES!$C$5:$C$124,"Owner",AES!$N$5:$N$124,"Urgent")</f>
        <v/>
      </c>
      <c r="D26" s="12">
        <f>COUNTIFS(AES!$B$5:$B$124,"Corporate",AES!$C$5:$C$124,"Owner",AES!$N$5:$N$124,"Due soon")</f>
        <v/>
      </c>
      <c r="E26" s="12">
        <f>COUNTIFS(AES!$B$5:$B$124,"Corporate",AES!$C$5:$C$124,"Owner",AES!$N$5:$N$124,"OK")</f>
        <v/>
      </c>
      <c r="F26" s="12">
        <f>COUNTIFS(AES!$B$5:$B$124,"Corporate",AES!$C$5:$C$124,"Owner",AES!$N$5:$N$124,"No date")</f>
        <v/>
      </c>
      <c r="G26" s="12">
        <f>COUNTIFS(AES!$B$5:$B$124,"Corporate",AES!$C$5:$C$124,"Owner",AES!$D$5:$D$124,"?*")</f>
        <v/>
      </c>
    </row>
    <row r="27">
      <c r="A27" s="11" t="inlineStr">
        <is>
          <t xml:space="preserve">      Insurance</t>
        </is>
      </c>
      <c r="B27" s="12">
        <f>COUNTIFS(AES!$B$5:$B$124,"Insurance",AES!$C$5:$C$124,"Owner",AES!$N$5:$N$124,"Expired")</f>
        <v/>
      </c>
      <c r="C27" s="12">
        <f>COUNTIFS(AES!$B$5:$B$124,"Insurance",AES!$C$5:$C$124,"Owner",AES!$N$5:$N$124,"Urgent")</f>
        <v/>
      </c>
      <c r="D27" s="12">
        <f>COUNTIFS(AES!$B$5:$B$124,"Insurance",AES!$C$5:$C$124,"Owner",AES!$N$5:$N$124,"Due soon")</f>
        <v/>
      </c>
      <c r="E27" s="12">
        <f>COUNTIFS(AES!$B$5:$B$124,"Insurance",AES!$C$5:$C$124,"Owner",AES!$N$5:$N$124,"OK")</f>
        <v/>
      </c>
      <c r="F27" s="12">
        <f>COUNTIFS(AES!$B$5:$B$124,"Insurance",AES!$C$5:$C$124,"Owner",AES!$N$5:$N$124,"No date")</f>
        <v/>
      </c>
      <c r="G27" s="12">
        <f>COUNTIFS(AES!$B$5:$B$124,"Insurance",AES!$C$5:$C$124,"Owner",AES!$D$5:$D$124,"?*")</f>
        <v/>
      </c>
    </row>
    <row r="28">
      <c r="A28" s="11" t="inlineStr">
        <is>
          <t xml:space="preserve">      Contract - Management</t>
        </is>
      </c>
      <c r="B28" s="12">
        <f>COUNTIFS(AES!$B$5:$B$124,"Contract - Management",AES!$C$5:$C$124,"Owner",AES!$N$5:$N$124,"Expired")</f>
        <v/>
      </c>
      <c r="C28" s="12">
        <f>COUNTIFS(AES!$B$5:$B$124,"Contract - Management",AES!$C$5:$C$124,"Owner",AES!$N$5:$N$124,"Urgent")</f>
        <v/>
      </c>
      <c r="D28" s="12">
        <f>COUNTIFS(AES!$B$5:$B$124,"Contract - Management",AES!$C$5:$C$124,"Owner",AES!$N$5:$N$124,"Due soon")</f>
        <v/>
      </c>
      <c r="E28" s="12">
        <f>COUNTIFS(AES!$B$5:$B$124,"Contract - Management",AES!$C$5:$C$124,"Owner",AES!$N$5:$N$124,"OK")</f>
        <v/>
      </c>
      <c r="F28" s="12">
        <f>COUNTIFS(AES!$B$5:$B$124,"Contract - Management",AES!$C$5:$C$124,"Owner",AES!$N$5:$N$124,"No date")</f>
        <v/>
      </c>
      <c r="G28" s="12">
        <f>COUNTIFS(AES!$B$5:$B$124,"Contract - Management",AES!$C$5:$C$124,"Owner",AES!$D$5:$D$124,"?*")</f>
        <v/>
      </c>
    </row>
    <row r="29">
      <c r="A29" s="11" t="inlineStr">
        <is>
          <t xml:space="preserve">      Contract - OTA</t>
        </is>
      </c>
      <c r="B29" s="12">
        <f>COUNTIFS(AES!$B$5:$B$124,"Contract - OTA",AES!$C$5:$C$124,"Owner",AES!$N$5:$N$124,"Expired")</f>
        <v/>
      </c>
      <c r="C29" s="12">
        <f>COUNTIFS(AES!$B$5:$B$124,"Contract - OTA",AES!$C$5:$C$124,"Owner",AES!$N$5:$N$124,"Urgent")</f>
        <v/>
      </c>
      <c r="D29" s="12">
        <f>COUNTIFS(AES!$B$5:$B$124,"Contract - OTA",AES!$C$5:$C$124,"Owner",AES!$N$5:$N$124,"Due soon")</f>
        <v/>
      </c>
      <c r="E29" s="12">
        <f>COUNTIFS(AES!$B$5:$B$124,"Contract - OTA",AES!$C$5:$C$124,"Owner",AES!$N$5:$N$124,"OK")</f>
        <v/>
      </c>
      <c r="F29" s="12">
        <f>COUNTIFS(AES!$B$5:$B$124,"Contract - OTA",AES!$C$5:$C$124,"Owner",AES!$N$5:$N$124,"No date")</f>
        <v/>
      </c>
      <c r="G29" s="12">
        <f>COUNTIFS(AES!$B$5:$B$124,"Contract - OTA",AES!$C$5:$C$124,"Owner",AES!$D$5:$D$124,"?*")</f>
        <v/>
      </c>
    </row>
    <row r="30">
      <c r="A30" s="11" t="inlineStr">
        <is>
          <t xml:space="preserve">      Contract - Service</t>
        </is>
      </c>
      <c r="B30" s="12">
        <f>COUNTIFS(AES!$B$5:$B$124,"Contract - Service",AES!$C$5:$C$124,"Owner",AES!$N$5:$N$124,"Expired")</f>
        <v/>
      </c>
      <c r="C30" s="12">
        <f>COUNTIFS(AES!$B$5:$B$124,"Contract - Service",AES!$C$5:$C$124,"Owner",AES!$N$5:$N$124,"Urgent")</f>
        <v/>
      </c>
      <c r="D30" s="12">
        <f>COUNTIFS(AES!$B$5:$B$124,"Contract - Service",AES!$C$5:$C$124,"Owner",AES!$N$5:$N$124,"Due soon")</f>
        <v/>
      </c>
      <c r="E30" s="12">
        <f>COUNTIFS(AES!$B$5:$B$124,"Contract - Service",AES!$C$5:$C$124,"Owner",AES!$N$5:$N$124,"OK")</f>
        <v/>
      </c>
      <c r="F30" s="12">
        <f>COUNTIFS(AES!$B$5:$B$124,"Contract - Service",AES!$C$5:$C$124,"Owner",AES!$N$5:$N$124,"No date")</f>
        <v/>
      </c>
      <c r="G30" s="12">
        <f>COUNTIFS(AES!$B$5:$B$124,"Contract - Service",AES!$C$5:$C$124,"Owner",AES!$D$5:$D$124,"?*")</f>
        <v/>
      </c>
    </row>
    <row r="31">
      <c r="A31" s="11" t="inlineStr">
        <is>
          <t xml:space="preserve">      Contract - Utility</t>
        </is>
      </c>
      <c r="B31" s="12">
        <f>COUNTIFS(AES!$B$5:$B$124,"Contract - Utility",AES!$C$5:$C$124,"Owner",AES!$N$5:$N$124,"Expired")</f>
        <v/>
      </c>
      <c r="C31" s="12">
        <f>COUNTIFS(AES!$B$5:$B$124,"Contract - Utility",AES!$C$5:$C$124,"Owner",AES!$N$5:$N$124,"Urgent")</f>
        <v/>
      </c>
      <c r="D31" s="12">
        <f>COUNTIFS(AES!$B$5:$B$124,"Contract - Utility",AES!$C$5:$C$124,"Owner",AES!$N$5:$N$124,"Due soon")</f>
        <v/>
      </c>
      <c r="E31" s="12">
        <f>COUNTIFS(AES!$B$5:$B$124,"Contract - Utility",AES!$C$5:$C$124,"Owner",AES!$N$5:$N$124,"OK")</f>
        <v/>
      </c>
      <c r="F31" s="12">
        <f>COUNTIFS(AES!$B$5:$B$124,"Contract - Utility",AES!$C$5:$C$124,"Owner",AES!$N$5:$N$124,"No date")</f>
        <v/>
      </c>
      <c r="G31" s="12">
        <f>COUNTIFS(AES!$B$5:$B$124,"Contract - Utility",AES!$C$5:$C$124,"Owner",AES!$D$5:$D$124,"?*")</f>
        <v/>
      </c>
    </row>
    <row r="32">
      <c r="A32" s="11" t="inlineStr">
        <is>
          <t xml:space="preserve">      Contract - Lease / Finance</t>
        </is>
      </c>
      <c r="B32" s="12">
        <f>COUNTIFS(AES!$B$5:$B$124,"Contract - Lease / Finance",AES!$C$5:$C$124,"Owner",AES!$N$5:$N$124,"Expired")</f>
        <v/>
      </c>
      <c r="C32" s="12">
        <f>COUNTIFS(AES!$B$5:$B$124,"Contract - Lease / Finance",AES!$C$5:$C$124,"Owner",AES!$N$5:$N$124,"Urgent")</f>
        <v/>
      </c>
      <c r="D32" s="12">
        <f>COUNTIFS(AES!$B$5:$B$124,"Contract - Lease / Finance",AES!$C$5:$C$124,"Owner",AES!$N$5:$N$124,"Due soon")</f>
        <v/>
      </c>
      <c r="E32" s="12">
        <f>COUNTIFS(AES!$B$5:$B$124,"Contract - Lease / Finance",AES!$C$5:$C$124,"Owner",AES!$N$5:$N$124,"OK")</f>
        <v/>
      </c>
      <c r="F32" s="12">
        <f>COUNTIFS(AES!$B$5:$B$124,"Contract - Lease / Finance",AES!$C$5:$C$124,"Owner",AES!$N$5:$N$124,"No date")</f>
        <v/>
      </c>
      <c r="G32" s="12">
        <f>COUNTIFS(AES!$B$5:$B$124,"Contract - Lease / Finance",AES!$C$5:$C$124,"Owner",AES!$D$5:$D$124,"?*")</f>
        <v/>
      </c>
    </row>
    <row r="33">
      <c r="A33" s="13" t="inlineStr">
        <is>
          <t>AES total</t>
        </is>
      </c>
      <c r="B33" s="14">
        <f>SUM(B22:B32)</f>
        <v/>
      </c>
      <c r="C33" s="14">
        <f>SUM(C22:C32)</f>
        <v/>
      </c>
      <c r="D33" s="14">
        <f>SUM(D22:D32)</f>
        <v/>
      </c>
      <c r="E33" s="14">
        <f>SUM(E22:E32)</f>
        <v/>
      </c>
      <c r="F33" s="14">
        <f>SUM(F22:F32)</f>
        <v/>
      </c>
      <c r="G33" s="14">
        <f>SUM(G22:G32)</f>
        <v/>
      </c>
      <c r="I33" s="15">
        <f>IF(G33=COUNTIFS(AES!$C$5:$C$124,"Owner",AES!$D$5:$D$124,"?*"),"✓","CHECK — categories ≠ tab")</f>
        <v/>
      </c>
    </row>
    <row r="34">
      <c r="A34" s="9" t="inlineStr">
        <is>
          <t>3. LYF — lyf Sukhumvit 8 Bangkok</t>
        </is>
      </c>
      <c r="B34" s="10" t="n"/>
      <c r="C34" s="10" t="n"/>
      <c r="D34" s="10" t="n"/>
      <c r="E34" s="10" t="n"/>
      <c r="F34" s="10" t="n"/>
      <c r="G34" s="10" t="n"/>
    </row>
    <row r="35">
      <c r="A35" s="11" t="inlineStr">
        <is>
          <t xml:space="preserve">      Licence</t>
        </is>
      </c>
      <c r="B35" s="12">
        <f>COUNTIFS(LYF!$B$5:$B$124,"Licence",LYF!$C$5:$C$124,"Owner",LYF!$N$5:$N$124,"Expired")</f>
        <v/>
      </c>
      <c r="C35" s="12">
        <f>COUNTIFS(LYF!$B$5:$B$124,"Licence",LYF!$C$5:$C$124,"Owner",LYF!$N$5:$N$124,"Urgent")</f>
        <v/>
      </c>
      <c r="D35" s="12">
        <f>COUNTIFS(LYF!$B$5:$B$124,"Licence",LYF!$C$5:$C$124,"Owner",LYF!$N$5:$N$124,"Due soon")</f>
        <v/>
      </c>
      <c r="E35" s="12">
        <f>COUNTIFS(LYF!$B$5:$B$124,"Licence",LYF!$C$5:$C$124,"Owner",LYF!$N$5:$N$124,"OK")</f>
        <v/>
      </c>
      <c r="F35" s="12">
        <f>COUNTIFS(LYF!$B$5:$B$124,"Licence",LYF!$C$5:$C$124,"Owner",LYF!$N$5:$N$124,"No date")</f>
        <v/>
      </c>
      <c r="G35" s="12">
        <f>COUNTIFS(LYF!$B$5:$B$124,"Licence",LYF!$C$5:$C$124,"Owner",LYF!$D$5:$D$124,"?*")</f>
        <v/>
      </c>
    </row>
    <row r="36">
      <c r="A36" s="11" t="inlineStr">
        <is>
          <t xml:space="preserve">      Permit</t>
        </is>
      </c>
      <c r="B36" s="12">
        <f>COUNTIFS(LYF!$B$5:$B$124,"Permit",LYF!$C$5:$C$124,"Owner",LYF!$N$5:$N$124,"Expired")</f>
        <v/>
      </c>
      <c r="C36" s="12">
        <f>COUNTIFS(LYF!$B$5:$B$124,"Permit",LYF!$C$5:$C$124,"Owner",LYF!$N$5:$N$124,"Urgent")</f>
        <v/>
      </c>
      <c r="D36" s="12">
        <f>COUNTIFS(LYF!$B$5:$B$124,"Permit",LYF!$C$5:$C$124,"Owner",LYF!$N$5:$N$124,"Due soon")</f>
        <v/>
      </c>
      <c r="E36" s="12">
        <f>COUNTIFS(LYF!$B$5:$B$124,"Permit",LYF!$C$5:$C$124,"Owner",LYF!$N$5:$N$124,"OK")</f>
        <v/>
      </c>
      <c r="F36" s="12">
        <f>COUNTIFS(LYF!$B$5:$B$124,"Permit",LYF!$C$5:$C$124,"Owner",LYF!$N$5:$N$124,"No date")</f>
        <v/>
      </c>
      <c r="G36" s="12">
        <f>COUNTIFS(LYF!$B$5:$B$124,"Permit",LYF!$C$5:$C$124,"Owner",LYF!$D$5:$D$124,"?*")</f>
        <v/>
      </c>
    </row>
    <row r="37">
      <c r="A37" s="11" t="inlineStr">
        <is>
          <t xml:space="preserve">      Certificate</t>
        </is>
      </c>
      <c r="B37" s="12">
        <f>COUNTIFS(LYF!$B$5:$B$124,"Certificate",LYF!$C$5:$C$124,"Owner",LYF!$N$5:$N$124,"Expired")</f>
        <v/>
      </c>
      <c r="C37" s="12">
        <f>COUNTIFS(LYF!$B$5:$B$124,"Certificate",LYF!$C$5:$C$124,"Owner",LYF!$N$5:$N$124,"Urgent")</f>
        <v/>
      </c>
      <c r="D37" s="12">
        <f>COUNTIFS(LYF!$B$5:$B$124,"Certificate",LYF!$C$5:$C$124,"Owner",LYF!$N$5:$N$124,"Due soon")</f>
        <v/>
      </c>
      <c r="E37" s="12">
        <f>COUNTIFS(LYF!$B$5:$B$124,"Certificate",LYF!$C$5:$C$124,"Owner",LYF!$N$5:$N$124,"OK")</f>
        <v/>
      </c>
      <c r="F37" s="12">
        <f>COUNTIFS(LYF!$B$5:$B$124,"Certificate",LYF!$C$5:$C$124,"Owner",LYF!$N$5:$N$124,"No date")</f>
        <v/>
      </c>
      <c r="G37" s="12">
        <f>COUNTIFS(LYF!$B$5:$B$124,"Certificate",LYF!$C$5:$C$124,"Owner",LYF!$D$5:$D$124,"?*")</f>
        <v/>
      </c>
    </row>
    <row r="38">
      <c r="A38" s="11" t="inlineStr">
        <is>
          <t xml:space="preserve">      Tax / Registration</t>
        </is>
      </c>
      <c r="B38" s="12">
        <f>COUNTIFS(LYF!$B$5:$B$124,"Tax / Registration",LYF!$C$5:$C$124,"Owner",LYF!$N$5:$N$124,"Expired")</f>
        <v/>
      </c>
      <c r="C38" s="12">
        <f>COUNTIFS(LYF!$B$5:$B$124,"Tax / Registration",LYF!$C$5:$C$124,"Owner",LYF!$N$5:$N$124,"Urgent")</f>
        <v/>
      </c>
      <c r="D38" s="12">
        <f>COUNTIFS(LYF!$B$5:$B$124,"Tax / Registration",LYF!$C$5:$C$124,"Owner",LYF!$N$5:$N$124,"Due soon")</f>
        <v/>
      </c>
      <c r="E38" s="12">
        <f>COUNTIFS(LYF!$B$5:$B$124,"Tax / Registration",LYF!$C$5:$C$124,"Owner",LYF!$N$5:$N$124,"OK")</f>
        <v/>
      </c>
      <c r="F38" s="12">
        <f>COUNTIFS(LYF!$B$5:$B$124,"Tax / Registration",LYF!$C$5:$C$124,"Owner",LYF!$N$5:$N$124,"No date")</f>
        <v/>
      </c>
      <c r="G38" s="12">
        <f>COUNTIFS(LYF!$B$5:$B$124,"Tax / Registration",LYF!$C$5:$C$124,"Owner",LYF!$D$5:$D$124,"?*")</f>
        <v/>
      </c>
    </row>
    <row r="39">
      <c r="A39" s="11" t="inlineStr">
        <is>
          <t xml:space="preserve">      Corporate</t>
        </is>
      </c>
      <c r="B39" s="12">
        <f>COUNTIFS(LYF!$B$5:$B$124,"Corporate",LYF!$C$5:$C$124,"Owner",LYF!$N$5:$N$124,"Expired")</f>
        <v/>
      </c>
      <c r="C39" s="12">
        <f>COUNTIFS(LYF!$B$5:$B$124,"Corporate",LYF!$C$5:$C$124,"Owner",LYF!$N$5:$N$124,"Urgent")</f>
        <v/>
      </c>
      <c r="D39" s="12">
        <f>COUNTIFS(LYF!$B$5:$B$124,"Corporate",LYF!$C$5:$C$124,"Owner",LYF!$N$5:$N$124,"Due soon")</f>
        <v/>
      </c>
      <c r="E39" s="12">
        <f>COUNTIFS(LYF!$B$5:$B$124,"Corporate",LYF!$C$5:$C$124,"Owner",LYF!$N$5:$N$124,"OK")</f>
        <v/>
      </c>
      <c r="F39" s="12">
        <f>COUNTIFS(LYF!$B$5:$B$124,"Corporate",LYF!$C$5:$C$124,"Owner",LYF!$N$5:$N$124,"No date")</f>
        <v/>
      </c>
      <c r="G39" s="12">
        <f>COUNTIFS(LYF!$B$5:$B$124,"Corporate",LYF!$C$5:$C$124,"Owner",LYF!$D$5:$D$124,"?*")</f>
        <v/>
      </c>
    </row>
    <row r="40">
      <c r="A40" s="11" t="inlineStr">
        <is>
          <t xml:space="preserve">      Insurance</t>
        </is>
      </c>
      <c r="B40" s="12">
        <f>COUNTIFS(LYF!$B$5:$B$124,"Insurance",LYF!$C$5:$C$124,"Owner",LYF!$N$5:$N$124,"Expired")</f>
        <v/>
      </c>
      <c r="C40" s="12">
        <f>COUNTIFS(LYF!$B$5:$B$124,"Insurance",LYF!$C$5:$C$124,"Owner",LYF!$N$5:$N$124,"Urgent")</f>
        <v/>
      </c>
      <c r="D40" s="12">
        <f>COUNTIFS(LYF!$B$5:$B$124,"Insurance",LYF!$C$5:$C$124,"Owner",LYF!$N$5:$N$124,"Due soon")</f>
        <v/>
      </c>
      <c r="E40" s="12">
        <f>COUNTIFS(LYF!$B$5:$B$124,"Insurance",LYF!$C$5:$C$124,"Owner",LYF!$N$5:$N$124,"OK")</f>
        <v/>
      </c>
      <c r="F40" s="12">
        <f>COUNTIFS(LYF!$B$5:$B$124,"Insurance",LYF!$C$5:$C$124,"Owner",LYF!$N$5:$N$124,"No date")</f>
        <v/>
      </c>
      <c r="G40" s="12">
        <f>COUNTIFS(LYF!$B$5:$B$124,"Insurance",LYF!$C$5:$C$124,"Owner",LYF!$D$5:$D$124,"?*")</f>
        <v/>
      </c>
    </row>
    <row r="41">
      <c r="A41" s="11" t="inlineStr">
        <is>
          <t xml:space="preserve">      Contract - Management</t>
        </is>
      </c>
      <c r="B41" s="12">
        <f>COUNTIFS(LYF!$B$5:$B$124,"Contract - Management",LYF!$C$5:$C$124,"Owner",LYF!$N$5:$N$124,"Expired")</f>
        <v/>
      </c>
      <c r="C41" s="12">
        <f>COUNTIFS(LYF!$B$5:$B$124,"Contract - Management",LYF!$C$5:$C$124,"Owner",LYF!$N$5:$N$124,"Urgent")</f>
        <v/>
      </c>
      <c r="D41" s="12">
        <f>COUNTIFS(LYF!$B$5:$B$124,"Contract - Management",LYF!$C$5:$C$124,"Owner",LYF!$N$5:$N$124,"Due soon")</f>
        <v/>
      </c>
      <c r="E41" s="12">
        <f>COUNTIFS(LYF!$B$5:$B$124,"Contract - Management",LYF!$C$5:$C$124,"Owner",LYF!$N$5:$N$124,"OK")</f>
        <v/>
      </c>
      <c r="F41" s="12">
        <f>COUNTIFS(LYF!$B$5:$B$124,"Contract - Management",LYF!$C$5:$C$124,"Owner",LYF!$N$5:$N$124,"No date")</f>
        <v/>
      </c>
      <c r="G41" s="12">
        <f>COUNTIFS(LYF!$B$5:$B$124,"Contract - Management",LYF!$C$5:$C$124,"Owner",LYF!$D$5:$D$124,"?*")</f>
        <v/>
      </c>
    </row>
    <row r="42">
      <c r="A42" s="11" t="inlineStr">
        <is>
          <t xml:space="preserve">      Contract - OTA</t>
        </is>
      </c>
      <c r="B42" s="12">
        <f>COUNTIFS(LYF!$B$5:$B$124,"Contract - OTA",LYF!$C$5:$C$124,"Owner",LYF!$N$5:$N$124,"Expired")</f>
        <v/>
      </c>
      <c r="C42" s="12">
        <f>COUNTIFS(LYF!$B$5:$B$124,"Contract - OTA",LYF!$C$5:$C$124,"Owner",LYF!$N$5:$N$124,"Urgent")</f>
        <v/>
      </c>
      <c r="D42" s="12">
        <f>COUNTIFS(LYF!$B$5:$B$124,"Contract - OTA",LYF!$C$5:$C$124,"Owner",LYF!$N$5:$N$124,"Due soon")</f>
        <v/>
      </c>
      <c r="E42" s="12">
        <f>COUNTIFS(LYF!$B$5:$B$124,"Contract - OTA",LYF!$C$5:$C$124,"Owner",LYF!$N$5:$N$124,"OK")</f>
        <v/>
      </c>
      <c r="F42" s="12">
        <f>COUNTIFS(LYF!$B$5:$B$124,"Contract - OTA",LYF!$C$5:$C$124,"Owner",LYF!$N$5:$N$124,"No date")</f>
        <v/>
      </c>
      <c r="G42" s="12">
        <f>COUNTIFS(LYF!$B$5:$B$124,"Contract - OTA",LYF!$C$5:$C$124,"Owner",LYF!$D$5:$D$124,"?*")</f>
        <v/>
      </c>
    </row>
    <row r="43">
      <c r="A43" s="11" t="inlineStr">
        <is>
          <t xml:space="preserve">      Contract - Service</t>
        </is>
      </c>
      <c r="B43" s="12">
        <f>COUNTIFS(LYF!$B$5:$B$124,"Contract - Service",LYF!$C$5:$C$124,"Owner",LYF!$N$5:$N$124,"Expired")</f>
        <v/>
      </c>
      <c r="C43" s="12">
        <f>COUNTIFS(LYF!$B$5:$B$124,"Contract - Service",LYF!$C$5:$C$124,"Owner",LYF!$N$5:$N$124,"Urgent")</f>
        <v/>
      </c>
      <c r="D43" s="12">
        <f>COUNTIFS(LYF!$B$5:$B$124,"Contract - Service",LYF!$C$5:$C$124,"Owner",LYF!$N$5:$N$124,"Due soon")</f>
        <v/>
      </c>
      <c r="E43" s="12">
        <f>COUNTIFS(LYF!$B$5:$B$124,"Contract - Service",LYF!$C$5:$C$124,"Owner",LYF!$N$5:$N$124,"OK")</f>
        <v/>
      </c>
      <c r="F43" s="12">
        <f>COUNTIFS(LYF!$B$5:$B$124,"Contract - Service",LYF!$C$5:$C$124,"Owner",LYF!$N$5:$N$124,"No date")</f>
        <v/>
      </c>
      <c r="G43" s="12">
        <f>COUNTIFS(LYF!$B$5:$B$124,"Contract - Service",LYF!$C$5:$C$124,"Owner",LYF!$D$5:$D$124,"?*")</f>
        <v/>
      </c>
    </row>
    <row r="44">
      <c r="A44" s="11" t="inlineStr">
        <is>
          <t xml:space="preserve">      Contract - Utility</t>
        </is>
      </c>
      <c r="B44" s="12">
        <f>COUNTIFS(LYF!$B$5:$B$124,"Contract - Utility",LYF!$C$5:$C$124,"Owner",LYF!$N$5:$N$124,"Expired")</f>
        <v/>
      </c>
      <c r="C44" s="12">
        <f>COUNTIFS(LYF!$B$5:$B$124,"Contract - Utility",LYF!$C$5:$C$124,"Owner",LYF!$N$5:$N$124,"Urgent")</f>
        <v/>
      </c>
      <c r="D44" s="12">
        <f>COUNTIFS(LYF!$B$5:$B$124,"Contract - Utility",LYF!$C$5:$C$124,"Owner",LYF!$N$5:$N$124,"Due soon")</f>
        <v/>
      </c>
      <c r="E44" s="12">
        <f>COUNTIFS(LYF!$B$5:$B$124,"Contract - Utility",LYF!$C$5:$C$124,"Owner",LYF!$N$5:$N$124,"OK")</f>
        <v/>
      </c>
      <c r="F44" s="12">
        <f>COUNTIFS(LYF!$B$5:$B$124,"Contract - Utility",LYF!$C$5:$C$124,"Owner",LYF!$N$5:$N$124,"No date")</f>
        <v/>
      </c>
      <c r="G44" s="12">
        <f>COUNTIFS(LYF!$B$5:$B$124,"Contract - Utility",LYF!$C$5:$C$124,"Owner",LYF!$D$5:$D$124,"?*")</f>
        <v/>
      </c>
    </row>
    <row r="45">
      <c r="A45" s="11" t="inlineStr">
        <is>
          <t xml:space="preserve">      Contract - Lease / Finance</t>
        </is>
      </c>
      <c r="B45" s="12">
        <f>COUNTIFS(LYF!$B$5:$B$124,"Contract - Lease / Finance",LYF!$C$5:$C$124,"Owner",LYF!$N$5:$N$124,"Expired")</f>
        <v/>
      </c>
      <c r="C45" s="12">
        <f>COUNTIFS(LYF!$B$5:$B$124,"Contract - Lease / Finance",LYF!$C$5:$C$124,"Owner",LYF!$N$5:$N$124,"Urgent")</f>
        <v/>
      </c>
      <c r="D45" s="12">
        <f>COUNTIFS(LYF!$B$5:$B$124,"Contract - Lease / Finance",LYF!$C$5:$C$124,"Owner",LYF!$N$5:$N$124,"Due soon")</f>
        <v/>
      </c>
      <c r="E45" s="12">
        <f>COUNTIFS(LYF!$B$5:$B$124,"Contract - Lease / Finance",LYF!$C$5:$C$124,"Owner",LYF!$N$5:$N$124,"OK")</f>
        <v/>
      </c>
      <c r="F45" s="12">
        <f>COUNTIFS(LYF!$B$5:$B$124,"Contract - Lease / Finance",LYF!$C$5:$C$124,"Owner",LYF!$N$5:$N$124,"No date")</f>
        <v/>
      </c>
      <c r="G45" s="12">
        <f>COUNTIFS(LYF!$B$5:$B$124,"Contract - Lease / Finance",LYF!$C$5:$C$124,"Owner",LYF!$D$5:$D$124,"?*")</f>
        <v/>
      </c>
    </row>
    <row r="46">
      <c r="A46" s="13" t="inlineStr">
        <is>
          <t>LYF total</t>
        </is>
      </c>
      <c r="B46" s="14">
        <f>SUM(B35:B45)</f>
        <v/>
      </c>
      <c r="C46" s="14">
        <f>SUM(C35:C45)</f>
        <v/>
      </c>
      <c r="D46" s="14">
        <f>SUM(D35:D45)</f>
        <v/>
      </c>
      <c r="E46" s="14">
        <f>SUM(E35:E45)</f>
        <v/>
      </c>
      <c r="F46" s="14">
        <f>SUM(F35:F45)</f>
        <v/>
      </c>
      <c r="G46" s="14">
        <f>SUM(G35:G45)</f>
        <v/>
      </c>
      <c r="I46" s="15">
        <f>IF(G46=COUNTIFS(LYF!$C$5:$C$124,"Owner",LYF!$D$5:$D$124,"?*"),"✓","CHECK — categories ≠ tab")</f>
        <v/>
      </c>
    </row>
    <row r="47">
      <c r="A47" s="9" t="inlineStr">
        <is>
          <t>4. SP — Somerset Pattaya</t>
        </is>
      </c>
      <c r="B47" s="10" t="n"/>
      <c r="C47" s="10" t="n"/>
      <c r="D47" s="10" t="n"/>
      <c r="E47" s="10" t="n"/>
      <c r="F47" s="10" t="n"/>
      <c r="G47" s="10" t="n"/>
    </row>
    <row r="48">
      <c r="A48" s="11" t="inlineStr">
        <is>
          <t xml:space="preserve">      Licence</t>
        </is>
      </c>
      <c r="B48" s="12">
        <f>COUNTIFS(SP!$B$5:$B$124,"Licence",SP!$C$5:$C$124,"Owner",SP!$N$5:$N$124,"Expired")</f>
        <v/>
      </c>
      <c r="C48" s="12">
        <f>COUNTIFS(SP!$B$5:$B$124,"Licence",SP!$C$5:$C$124,"Owner",SP!$N$5:$N$124,"Urgent")</f>
        <v/>
      </c>
      <c r="D48" s="12">
        <f>COUNTIFS(SP!$B$5:$B$124,"Licence",SP!$C$5:$C$124,"Owner",SP!$N$5:$N$124,"Due soon")</f>
        <v/>
      </c>
      <c r="E48" s="12">
        <f>COUNTIFS(SP!$B$5:$B$124,"Licence",SP!$C$5:$C$124,"Owner",SP!$N$5:$N$124,"OK")</f>
        <v/>
      </c>
      <c r="F48" s="12">
        <f>COUNTIFS(SP!$B$5:$B$124,"Licence",SP!$C$5:$C$124,"Owner",SP!$N$5:$N$124,"No date")</f>
        <v/>
      </c>
      <c r="G48" s="12">
        <f>COUNTIFS(SP!$B$5:$B$124,"Licence",SP!$C$5:$C$124,"Owner",SP!$D$5:$D$124,"?*")</f>
        <v/>
      </c>
    </row>
    <row r="49">
      <c r="A49" s="11" t="inlineStr">
        <is>
          <t xml:space="preserve">      Permit</t>
        </is>
      </c>
      <c r="B49" s="12">
        <f>COUNTIFS(SP!$B$5:$B$124,"Permit",SP!$C$5:$C$124,"Owner",SP!$N$5:$N$124,"Expired")</f>
        <v/>
      </c>
      <c r="C49" s="12">
        <f>COUNTIFS(SP!$B$5:$B$124,"Permit",SP!$C$5:$C$124,"Owner",SP!$N$5:$N$124,"Urgent")</f>
        <v/>
      </c>
      <c r="D49" s="12">
        <f>COUNTIFS(SP!$B$5:$B$124,"Permit",SP!$C$5:$C$124,"Owner",SP!$N$5:$N$124,"Due soon")</f>
        <v/>
      </c>
      <c r="E49" s="12">
        <f>COUNTIFS(SP!$B$5:$B$124,"Permit",SP!$C$5:$C$124,"Owner",SP!$N$5:$N$124,"OK")</f>
        <v/>
      </c>
      <c r="F49" s="12">
        <f>COUNTIFS(SP!$B$5:$B$124,"Permit",SP!$C$5:$C$124,"Owner",SP!$N$5:$N$124,"No date")</f>
        <v/>
      </c>
      <c r="G49" s="12">
        <f>COUNTIFS(SP!$B$5:$B$124,"Permit",SP!$C$5:$C$124,"Owner",SP!$D$5:$D$124,"?*")</f>
        <v/>
      </c>
    </row>
    <row r="50">
      <c r="A50" s="11" t="inlineStr">
        <is>
          <t xml:space="preserve">      Certificate</t>
        </is>
      </c>
      <c r="B50" s="12">
        <f>COUNTIFS(SP!$B$5:$B$124,"Certificate",SP!$C$5:$C$124,"Owner",SP!$N$5:$N$124,"Expired")</f>
        <v/>
      </c>
      <c r="C50" s="12">
        <f>COUNTIFS(SP!$B$5:$B$124,"Certificate",SP!$C$5:$C$124,"Owner",SP!$N$5:$N$124,"Urgent")</f>
        <v/>
      </c>
      <c r="D50" s="12">
        <f>COUNTIFS(SP!$B$5:$B$124,"Certificate",SP!$C$5:$C$124,"Owner",SP!$N$5:$N$124,"Due soon")</f>
        <v/>
      </c>
      <c r="E50" s="12">
        <f>COUNTIFS(SP!$B$5:$B$124,"Certificate",SP!$C$5:$C$124,"Owner",SP!$N$5:$N$124,"OK")</f>
        <v/>
      </c>
      <c r="F50" s="12">
        <f>COUNTIFS(SP!$B$5:$B$124,"Certificate",SP!$C$5:$C$124,"Owner",SP!$N$5:$N$124,"No date")</f>
        <v/>
      </c>
      <c r="G50" s="12">
        <f>COUNTIFS(SP!$B$5:$B$124,"Certificate",SP!$C$5:$C$124,"Owner",SP!$D$5:$D$124,"?*")</f>
        <v/>
      </c>
    </row>
    <row r="51">
      <c r="A51" s="11" t="inlineStr">
        <is>
          <t xml:space="preserve">      Tax / Registration</t>
        </is>
      </c>
      <c r="B51" s="12">
        <f>COUNTIFS(SP!$B$5:$B$124,"Tax / Registration",SP!$C$5:$C$124,"Owner",SP!$N$5:$N$124,"Expired")</f>
        <v/>
      </c>
      <c r="C51" s="12">
        <f>COUNTIFS(SP!$B$5:$B$124,"Tax / Registration",SP!$C$5:$C$124,"Owner",SP!$N$5:$N$124,"Urgent")</f>
        <v/>
      </c>
      <c r="D51" s="12">
        <f>COUNTIFS(SP!$B$5:$B$124,"Tax / Registration",SP!$C$5:$C$124,"Owner",SP!$N$5:$N$124,"Due soon")</f>
        <v/>
      </c>
      <c r="E51" s="12">
        <f>COUNTIFS(SP!$B$5:$B$124,"Tax / Registration",SP!$C$5:$C$124,"Owner",SP!$N$5:$N$124,"OK")</f>
        <v/>
      </c>
      <c r="F51" s="12">
        <f>COUNTIFS(SP!$B$5:$B$124,"Tax / Registration",SP!$C$5:$C$124,"Owner",SP!$N$5:$N$124,"No date")</f>
        <v/>
      </c>
      <c r="G51" s="12">
        <f>COUNTIFS(SP!$B$5:$B$124,"Tax / Registration",SP!$C$5:$C$124,"Owner",SP!$D$5:$D$124,"?*")</f>
        <v/>
      </c>
    </row>
    <row r="52">
      <c r="A52" s="11" t="inlineStr">
        <is>
          <t xml:space="preserve">      Corporate</t>
        </is>
      </c>
      <c r="B52" s="12">
        <f>COUNTIFS(SP!$B$5:$B$124,"Corporate",SP!$C$5:$C$124,"Owner",SP!$N$5:$N$124,"Expired")</f>
        <v/>
      </c>
      <c r="C52" s="12">
        <f>COUNTIFS(SP!$B$5:$B$124,"Corporate",SP!$C$5:$C$124,"Owner",SP!$N$5:$N$124,"Urgent")</f>
        <v/>
      </c>
      <c r="D52" s="12">
        <f>COUNTIFS(SP!$B$5:$B$124,"Corporate",SP!$C$5:$C$124,"Owner",SP!$N$5:$N$124,"Due soon")</f>
        <v/>
      </c>
      <c r="E52" s="12">
        <f>COUNTIFS(SP!$B$5:$B$124,"Corporate",SP!$C$5:$C$124,"Owner",SP!$N$5:$N$124,"OK")</f>
        <v/>
      </c>
      <c r="F52" s="12">
        <f>COUNTIFS(SP!$B$5:$B$124,"Corporate",SP!$C$5:$C$124,"Owner",SP!$N$5:$N$124,"No date")</f>
        <v/>
      </c>
      <c r="G52" s="12">
        <f>COUNTIFS(SP!$B$5:$B$124,"Corporate",SP!$C$5:$C$124,"Owner",SP!$D$5:$D$124,"?*")</f>
        <v/>
      </c>
    </row>
    <row r="53">
      <c r="A53" s="11" t="inlineStr">
        <is>
          <t xml:space="preserve">      Insurance</t>
        </is>
      </c>
      <c r="B53" s="12">
        <f>COUNTIFS(SP!$B$5:$B$124,"Insurance",SP!$C$5:$C$124,"Owner",SP!$N$5:$N$124,"Expired")</f>
        <v/>
      </c>
      <c r="C53" s="12">
        <f>COUNTIFS(SP!$B$5:$B$124,"Insurance",SP!$C$5:$C$124,"Owner",SP!$N$5:$N$124,"Urgent")</f>
        <v/>
      </c>
      <c r="D53" s="12">
        <f>COUNTIFS(SP!$B$5:$B$124,"Insurance",SP!$C$5:$C$124,"Owner",SP!$N$5:$N$124,"Due soon")</f>
        <v/>
      </c>
      <c r="E53" s="12">
        <f>COUNTIFS(SP!$B$5:$B$124,"Insurance",SP!$C$5:$C$124,"Owner",SP!$N$5:$N$124,"OK")</f>
        <v/>
      </c>
      <c r="F53" s="12">
        <f>COUNTIFS(SP!$B$5:$B$124,"Insurance",SP!$C$5:$C$124,"Owner",SP!$N$5:$N$124,"No date")</f>
        <v/>
      </c>
      <c r="G53" s="12">
        <f>COUNTIFS(SP!$B$5:$B$124,"Insurance",SP!$C$5:$C$124,"Owner",SP!$D$5:$D$124,"?*")</f>
        <v/>
      </c>
    </row>
    <row r="54">
      <c r="A54" s="11" t="inlineStr">
        <is>
          <t xml:space="preserve">      Contract - Management</t>
        </is>
      </c>
      <c r="B54" s="12">
        <f>COUNTIFS(SP!$B$5:$B$124,"Contract - Management",SP!$C$5:$C$124,"Owner",SP!$N$5:$N$124,"Expired")</f>
        <v/>
      </c>
      <c r="C54" s="12">
        <f>COUNTIFS(SP!$B$5:$B$124,"Contract - Management",SP!$C$5:$C$124,"Owner",SP!$N$5:$N$124,"Urgent")</f>
        <v/>
      </c>
      <c r="D54" s="12">
        <f>COUNTIFS(SP!$B$5:$B$124,"Contract - Management",SP!$C$5:$C$124,"Owner",SP!$N$5:$N$124,"Due soon")</f>
        <v/>
      </c>
      <c r="E54" s="12">
        <f>COUNTIFS(SP!$B$5:$B$124,"Contract - Management",SP!$C$5:$C$124,"Owner",SP!$N$5:$N$124,"OK")</f>
        <v/>
      </c>
      <c r="F54" s="12">
        <f>COUNTIFS(SP!$B$5:$B$124,"Contract - Management",SP!$C$5:$C$124,"Owner",SP!$N$5:$N$124,"No date")</f>
        <v/>
      </c>
      <c r="G54" s="12">
        <f>COUNTIFS(SP!$B$5:$B$124,"Contract - Management",SP!$C$5:$C$124,"Owner",SP!$D$5:$D$124,"?*")</f>
        <v/>
      </c>
    </row>
    <row r="55">
      <c r="A55" s="11" t="inlineStr">
        <is>
          <t xml:space="preserve">      Contract - OTA</t>
        </is>
      </c>
      <c r="B55" s="12">
        <f>COUNTIFS(SP!$B$5:$B$124,"Contract - OTA",SP!$C$5:$C$124,"Owner",SP!$N$5:$N$124,"Expired")</f>
        <v/>
      </c>
      <c r="C55" s="12">
        <f>COUNTIFS(SP!$B$5:$B$124,"Contract - OTA",SP!$C$5:$C$124,"Owner",SP!$N$5:$N$124,"Urgent")</f>
        <v/>
      </c>
      <c r="D55" s="12">
        <f>COUNTIFS(SP!$B$5:$B$124,"Contract - OTA",SP!$C$5:$C$124,"Owner",SP!$N$5:$N$124,"Due soon")</f>
        <v/>
      </c>
      <c r="E55" s="12">
        <f>COUNTIFS(SP!$B$5:$B$124,"Contract - OTA",SP!$C$5:$C$124,"Owner",SP!$N$5:$N$124,"OK")</f>
        <v/>
      </c>
      <c r="F55" s="12">
        <f>COUNTIFS(SP!$B$5:$B$124,"Contract - OTA",SP!$C$5:$C$124,"Owner",SP!$N$5:$N$124,"No date")</f>
        <v/>
      </c>
      <c r="G55" s="12">
        <f>COUNTIFS(SP!$B$5:$B$124,"Contract - OTA",SP!$C$5:$C$124,"Owner",SP!$D$5:$D$124,"?*")</f>
        <v/>
      </c>
    </row>
    <row r="56">
      <c r="A56" s="11" t="inlineStr">
        <is>
          <t xml:space="preserve">      Contract - Service</t>
        </is>
      </c>
      <c r="B56" s="12">
        <f>COUNTIFS(SP!$B$5:$B$124,"Contract - Service",SP!$C$5:$C$124,"Owner",SP!$N$5:$N$124,"Expired")</f>
        <v/>
      </c>
      <c r="C56" s="12">
        <f>COUNTIFS(SP!$B$5:$B$124,"Contract - Service",SP!$C$5:$C$124,"Owner",SP!$N$5:$N$124,"Urgent")</f>
        <v/>
      </c>
      <c r="D56" s="12">
        <f>COUNTIFS(SP!$B$5:$B$124,"Contract - Service",SP!$C$5:$C$124,"Owner",SP!$N$5:$N$124,"Due soon")</f>
        <v/>
      </c>
      <c r="E56" s="12">
        <f>COUNTIFS(SP!$B$5:$B$124,"Contract - Service",SP!$C$5:$C$124,"Owner",SP!$N$5:$N$124,"OK")</f>
        <v/>
      </c>
      <c r="F56" s="12">
        <f>COUNTIFS(SP!$B$5:$B$124,"Contract - Service",SP!$C$5:$C$124,"Owner",SP!$N$5:$N$124,"No date")</f>
        <v/>
      </c>
      <c r="G56" s="12">
        <f>COUNTIFS(SP!$B$5:$B$124,"Contract - Service",SP!$C$5:$C$124,"Owner",SP!$D$5:$D$124,"?*")</f>
        <v/>
      </c>
    </row>
    <row r="57">
      <c r="A57" s="11" t="inlineStr">
        <is>
          <t xml:space="preserve">      Contract - Utility</t>
        </is>
      </c>
      <c r="B57" s="12">
        <f>COUNTIFS(SP!$B$5:$B$124,"Contract - Utility",SP!$C$5:$C$124,"Owner",SP!$N$5:$N$124,"Expired")</f>
        <v/>
      </c>
      <c r="C57" s="12">
        <f>COUNTIFS(SP!$B$5:$B$124,"Contract - Utility",SP!$C$5:$C$124,"Owner",SP!$N$5:$N$124,"Urgent")</f>
        <v/>
      </c>
      <c r="D57" s="12">
        <f>COUNTIFS(SP!$B$5:$B$124,"Contract - Utility",SP!$C$5:$C$124,"Owner",SP!$N$5:$N$124,"Due soon")</f>
        <v/>
      </c>
      <c r="E57" s="12">
        <f>COUNTIFS(SP!$B$5:$B$124,"Contract - Utility",SP!$C$5:$C$124,"Owner",SP!$N$5:$N$124,"OK")</f>
        <v/>
      </c>
      <c r="F57" s="12">
        <f>COUNTIFS(SP!$B$5:$B$124,"Contract - Utility",SP!$C$5:$C$124,"Owner",SP!$N$5:$N$124,"No date")</f>
        <v/>
      </c>
      <c r="G57" s="12">
        <f>COUNTIFS(SP!$B$5:$B$124,"Contract - Utility",SP!$C$5:$C$124,"Owner",SP!$D$5:$D$124,"?*")</f>
        <v/>
      </c>
    </row>
    <row r="58">
      <c r="A58" s="11" t="inlineStr">
        <is>
          <t xml:space="preserve">      Contract - Lease / Finance</t>
        </is>
      </c>
      <c r="B58" s="12">
        <f>COUNTIFS(SP!$B$5:$B$124,"Contract - Lease / Finance",SP!$C$5:$C$124,"Owner",SP!$N$5:$N$124,"Expired")</f>
        <v/>
      </c>
      <c r="C58" s="12">
        <f>COUNTIFS(SP!$B$5:$B$124,"Contract - Lease / Finance",SP!$C$5:$C$124,"Owner",SP!$N$5:$N$124,"Urgent")</f>
        <v/>
      </c>
      <c r="D58" s="12">
        <f>COUNTIFS(SP!$B$5:$B$124,"Contract - Lease / Finance",SP!$C$5:$C$124,"Owner",SP!$N$5:$N$124,"Due soon")</f>
        <v/>
      </c>
      <c r="E58" s="12">
        <f>COUNTIFS(SP!$B$5:$B$124,"Contract - Lease / Finance",SP!$C$5:$C$124,"Owner",SP!$N$5:$N$124,"OK")</f>
        <v/>
      </c>
      <c r="F58" s="12">
        <f>COUNTIFS(SP!$B$5:$B$124,"Contract - Lease / Finance",SP!$C$5:$C$124,"Owner",SP!$N$5:$N$124,"No date")</f>
        <v/>
      </c>
      <c r="G58" s="12">
        <f>COUNTIFS(SP!$B$5:$B$124,"Contract - Lease / Finance",SP!$C$5:$C$124,"Owner",SP!$D$5:$D$124,"?*")</f>
        <v/>
      </c>
    </row>
    <row r="59">
      <c r="A59" s="13" t="inlineStr">
        <is>
          <t>SP total</t>
        </is>
      </c>
      <c r="B59" s="14">
        <f>SUM(B48:B58)</f>
        <v/>
      </c>
      <c r="C59" s="14">
        <f>SUM(C48:C58)</f>
        <v/>
      </c>
      <c r="D59" s="14">
        <f>SUM(D48:D58)</f>
        <v/>
      </c>
      <c r="E59" s="14">
        <f>SUM(E48:E58)</f>
        <v/>
      </c>
      <c r="F59" s="14">
        <f>SUM(F48:F58)</f>
        <v/>
      </c>
      <c r="G59" s="14">
        <f>SUM(G48:G58)</f>
        <v/>
      </c>
      <c r="I59" s="15">
        <f>IF(G59=COUNTIFS(SP!$C$5:$C$124,"Owner",SP!$D$5:$D$124,"?*"),"✓","CHECK — categories ≠ tab")</f>
        <v/>
      </c>
    </row>
    <row r="60">
      <c r="A60" s="16" t="inlineStr">
        <is>
          <t>OWNER TOTAL</t>
        </is>
      </c>
      <c r="B60" s="17">
        <f>B20+B33+B46+B59</f>
        <v/>
      </c>
      <c r="C60" s="17">
        <f>C20+C33+C46+C59</f>
        <v/>
      </c>
      <c r="D60" s="17">
        <f>D20+D33+D46+D59</f>
        <v/>
      </c>
      <c r="E60" s="17">
        <f>E20+E33+E46+E59</f>
        <v/>
      </c>
      <c r="F60" s="17">
        <f>F20+F33+F46+F59</f>
        <v/>
      </c>
      <c r="G60" s="17">
        <f>G20+G33+G46+G59</f>
        <v/>
      </c>
    </row>
    <row r="62">
      <c r="A62" s="18" t="inlineStr">
        <is>
          <t>PROPERTY — renewed by the hotel operation / ฝ่ายโรงแรม</t>
        </is>
      </c>
    </row>
    <row r="63" ht="30" customHeight="1">
      <c r="A63" s="19" t="inlineStr">
        <is>
          <t>Hotel / Document type</t>
        </is>
      </c>
      <c r="B63" s="19" t="inlineStr">
        <is>
          <t>Expired</t>
        </is>
      </c>
      <c r="C63" s="19" t="inlineStr">
        <is>
          <t>Urgent (≤30 d)</t>
        </is>
      </c>
      <c r="D63" s="19" t="inlineStr">
        <is>
          <t>Due soon (≤90 d)</t>
        </is>
      </c>
      <c r="E63" s="19" t="inlineStr">
        <is>
          <t>OK</t>
        </is>
      </c>
      <c r="F63" s="19" t="inlineStr">
        <is>
          <t>No date</t>
        </is>
      </c>
      <c r="G63" s="19" t="inlineStr">
        <is>
          <t>Total</t>
        </is>
      </c>
    </row>
    <row r="64">
      <c r="A64" s="20" t="inlineStr">
        <is>
          <t>1. SR9 — Somerset Rama 9 Bangkok</t>
        </is>
      </c>
      <c r="B64" s="10" t="n"/>
      <c r="C64" s="10" t="n"/>
      <c r="D64" s="10" t="n"/>
      <c r="E64" s="10" t="n"/>
      <c r="F64" s="10" t="n"/>
      <c r="G64" s="10" t="n"/>
    </row>
    <row r="65">
      <c r="A65" s="11" t="inlineStr">
        <is>
          <t xml:space="preserve">      Licence</t>
        </is>
      </c>
      <c r="B65" s="12">
        <f>COUNTIFS(SR9!$B$5:$B$124,"Licence",SR9!$C$5:$C$124,"Property",SR9!$N$5:$N$124,"Expired")</f>
        <v/>
      </c>
      <c r="C65" s="12">
        <f>COUNTIFS(SR9!$B$5:$B$124,"Licence",SR9!$C$5:$C$124,"Property",SR9!$N$5:$N$124,"Urgent")</f>
        <v/>
      </c>
      <c r="D65" s="12">
        <f>COUNTIFS(SR9!$B$5:$B$124,"Licence",SR9!$C$5:$C$124,"Property",SR9!$N$5:$N$124,"Due soon")</f>
        <v/>
      </c>
      <c r="E65" s="12">
        <f>COUNTIFS(SR9!$B$5:$B$124,"Licence",SR9!$C$5:$C$124,"Property",SR9!$N$5:$N$124,"OK")</f>
        <v/>
      </c>
      <c r="F65" s="12">
        <f>COUNTIFS(SR9!$B$5:$B$124,"Licence",SR9!$C$5:$C$124,"Property",SR9!$N$5:$N$124,"No date")</f>
        <v/>
      </c>
      <c r="G65" s="12">
        <f>COUNTIFS(SR9!$B$5:$B$124,"Licence",SR9!$C$5:$C$124,"Property",SR9!$D$5:$D$124,"?*")</f>
        <v/>
      </c>
    </row>
    <row r="66">
      <c r="A66" s="11" t="inlineStr">
        <is>
          <t xml:space="preserve">      Permit</t>
        </is>
      </c>
      <c r="B66" s="12">
        <f>COUNTIFS(SR9!$B$5:$B$124,"Permit",SR9!$C$5:$C$124,"Property",SR9!$N$5:$N$124,"Expired")</f>
        <v/>
      </c>
      <c r="C66" s="12">
        <f>COUNTIFS(SR9!$B$5:$B$124,"Permit",SR9!$C$5:$C$124,"Property",SR9!$N$5:$N$124,"Urgent")</f>
        <v/>
      </c>
      <c r="D66" s="12">
        <f>COUNTIFS(SR9!$B$5:$B$124,"Permit",SR9!$C$5:$C$124,"Property",SR9!$N$5:$N$124,"Due soon")</f>
        <v/>
      </c>
      <c r="E66" s="12">
        <f>COUNTIFS(SR9!$B$5:$B$124,"Permit",SR9!$C$5:$C$124,"Property",SR9!$N$5:$N$124,"OK")</f>
        <v/>
      </c>
      <c r="F66" s="12">
        <f>COUNTIFS(SR9!$B$5:$B$124,"Permit",SR9!$C$5:$C$124,"Property",SR9!$N$5:$N$124,"No date")</f>
        <v/>
      </c>
      <c r="G66" s="12">
        <f>COUNTIFS(SR9!$B$5:$B$124,"Permit",SR9!$C$5:$C$124,"Property",SR9!$D$5:$D$124,"?*")</f>
        <v/>
      </c>
    </row>
    <row r="67">
      <c r="A67" s="11" t="inlineStr">
        <is>
          <t xml:space="preserve">      Certificate</t>
        </is>
      </c>
      <c r="B67" s="12">
        <f>COUNTIFS(SR9!$B$5:$B$124,"Certificate",SR9!$C$5:$C$124,"Property",SR9!$N$5:$N$124,"Expired")</f>
        <v/>
      </c>
      <c r="C67" s="12">
        <f>COUNTIFS(SR9!$B$5:$B$124,"Certificate",SR9!$C$5:$C$124,"Property",SR9!$N$5:$N$124,"Urgent")</f>
        <v/>
      </c>
      <c r="D67" s="12">
        <f>COUNTIFS(SR9!$B$5:$B$124,"Certificate",SR9!$C$5:$C$124,"Property",SR9!$N$5:$N$124,"Due soon")</f>
        <v/>
      </c>
      <c r="E67" s="12">
        <f>COUNTIFS(SR9!$B$5:$B$124,"Certificate",SR9!$C$5:$C$124,"Property",SR9!$N$5:$N$124,"OK")</f>
        <v/>
      </c>
      <c r="F67" s="12">
        <f>COUNTIFS(SR9!$B$5:$B$124,"Certificate",SR9!$C$5:$C$124,"Property",SR9!$N$5:$N$124,"No date")</f>
        <v/>
      </c>
      <c r="G67" s="12">
        <f>COUNTIFS(SR9!$B$5:$B$124,"Certificate",SR9!$C$5:$C$124,"Property",SR9!$D$5:$D$124,"?*")</f>
        <v/>
      </c>
    </row>
    <row r="68">
      <c r="A68" s="11" t="inlineStr">
        <is>
          <t xml:space="preserve">      Tax / Registration</t>
        </is>
      </c>
      <c r="B68" s="12">
        <f>COUNTIFS(SR9!$B$5:$B$124,"Tax / Registration",SR9!$C$5:$C$124,"Property",SR9!$N$5:$N$124,"Expired")</f>
        <v/>
      </c>
      <c r="C68" s="12">
        <f>COUNTIFS(SR9!$B$5:$B$124,"Tax / Registration",SR9!$C$5:$C$124,"Property",SR9!$N$5:$N$124,"Urgent")</f>
        <v/>
      </c>
      <c r="D68" s="12">
        <f>COUNTIFS(SR9!$B$5:$B$124,"Tax / Registration",SR9!$C$5:$C$124,"Property",SR9!$N$5:$N$124,"Due soon")</f>
        <v/>
      </c>
      <c r="E68" s="12">
        <f>COUNTIFS(SR9!$B$5:$B$124,"Tax / Registration",SR9!$C$5:$C$124,"Property",SR9!$N$5:$N$124,"OK")</f>
        <v/>
      </c>
      <c r="F68" s="12">
        <f>COUNTIFS(SR9!$B$5:$B$124,"Tax / Registration",SR9!$C$5:$C$124,"Property",SR9!$N$5:$N$124,"No date")</f>
        <v/>
      </c>
      <c r="G68" s="12">
        <f>COUNTIFS(SR9!$B$5:$B$124,"Tax / Registration",SR9!$C$5:$C$124,"Property",SR9!$D$5:$D$124,"?*")</f>
        <v/>
      </c>
    </row>
    <row r="69">
      <c r="A69" s="11" t="inlineStr">
        <is>
          <t xml:space="preserve">      Corporate</t>
        </is>
      </c>
      <c r="B69" s="12">
        <f>COUNTIFS(SR9!$B$5:$B$124,"Corporate",SR9!$C$5:$C$124,"Property",SR9!$N$5:$N$124,"Expired")</f>
        <v/>
      </c>
      <c r="C69" s="12">
        <f>COUNTIFS(SR9!$B$5:$B$124,"Corporate",SR9!$C$5:$C$124,"Property",SR9!$N$5:$N$124,"Urgent")</f>
        <v/>
      </c>
      <c r="D69" s="12">
        <f>COUNTIFS(SR9!$B$5:$B$124,"Corporate",SR9!$C$5:$C$124,"Property",SR9!$N$5:$N$124,"Due soon")</f>
        <v/>
      </c>
      <c r="E69" s="12">
        <f>COUNTIFS(SR9!$B$5:$B$124,"Corporate",SR9!$C$5:$C$124,"Property",SR9!$N$5:$N$124,"OK")</f>
        <v/>
      </c>
      <c r="F69" s="12">
        <f>COUNTIFS(SR9!$B$5:$B$124,"Corporate",SR9!$C$5:$C$124,"Property",SR9!$N$5:$N$124,"No date")</f>
        <v/>
      </c>
      <c r="G69" s="12">
        <f>COUNTIFS(SR9!$B$5:$B$124,"Corporate",SR9!$C$5:$C$124,"Property",SR9!$D$5:$D$124,"?*")</f>
        <v/>
      </c>
    </row>
    <row r="70">
      <c r="A70" s="11" t="inlineStr">
        <is>
          <t xml:space="preserve">      Insurance</t>
        </is>
      </c>
      <c r="B70" s="12">
        <f>COUNTIFS(SR9!$B$5:$B$124,"Insurance",SR9!$C$5:$C$124,"Property",SR9!$N$5:$N$124,"Expired")</f>
        <v/>
      </c>
      <c r="C70" s="12">
        <f>COUNTIFS(SR9!$B$5:$B$124,"Insurance",SR9!$C$5:$C$124,"Property",SR9!$N$5:$N$124,"Urgent")</f>
        <v/>
      </c>
      <c r="D70" s="12">
        <f>COUNTIFS(SR9!$B$5:$B$124,"Insurance",SR9!$C$5:$C$124,"Property",SR9!$N$5:$N$124,"Due soon")</f>
        <v/>
      </c>
      <c r="E70" s="12">
        <f>COUNTIFS(SR9!$B$5:$B$124,"Insurance",SR9!$C$5:$C$124,"Property",SR9!$N$5:$N$124,"OK")</f>
        <v/>
      </c>
      <c r="F70" s="12">
        <f>COUNTIFS(SR9!$B$5:$B$124,"Insurance",SR9!$C$5:$C$124,"Property",SR9!$N$5:$N$124,"No date")</f>
        <v/>
      </c>
      <c r="G70" s="12">
        <f>COUNTIFS(SR9!$B$5:$B$124,"Insurance",SR9!$C$5:$C$124,"Property",SR9!$D$5:$D$124,"?*")</f>
        <v/>
      </c>
    </row>
    <row r="71">
      <c r="A71" s="11" t="inlineStr">
        <is>
          <t xml:space="preserve">      Contract - Management</t>
        </is>
      </c>
      <c r="B71" s="12">
        <f>COUNTIFS(SR9!$B$5:$B$124,"Contract - Management",SR9!$C$5:$C$124,"Property",SR9!$N$5:$N$124,"Expired")</f>
        <v/>
      </c>
      <c r="C71" s="12">
        <f>COUNTIFS(SR9!$B$5:$B$124,"Contract - Management",SR9!$C$5:$C$124,"Property",SR9!$N$5:$N$124,"Urgent")</f>
        <v/>
      </c>
      <c r="D71" s="12">
        <f>COUNTIFS(SR9!$B$5:$B$124,"Contract - Management",SR9!$C$5:$C$124,"Property",SR9!$N$5:$N$124,"Due soon")</f>
        <v/>
      </c>
      <c r="E71" s="12">
        <f>COUNTIFS(SR9!$B$5:$B$124,"Contract - Management",SR9!$C$5:$C$124,"Property",SR9!$N$5:$N$124,"OK")</f>
        <v/>
      </c>
      <c r="F71" s="12">
        <f>COUNTIFS(SR9!$B$5:$B$124,"Contract - Management",SR9!$C$5:$C$124,"Property",SR9!$N$5:$N$124,"No date")</f>
        <v/>
      </c>
      <c r="G71" s="12">
        <f>COUNTIFS(SR9!$B$5:$B$124,"Contract - Management",SR9!$C$5:$C$124,"Property",SR9!$D$5:$D$124,"?*")</f>
        <v/>
      </c>
    </row>
    <row r="72">
      <c r="A72" s="11" t="inlineStr">
        <is>
          <t xml:space="preserve">      Contract - OTA</t>
        </is>
      </c>
      <c r="B72" s="12">
        <f>COUNTIFS(SR9!$B$5:$B$124,"Contract - OTA",SR9!$C$5:$C$124,"Property",SR9!$N$5:$N$124,"Expired")</f>
        <v/>
      </c>
      <c r="C72" s="12">
        <f>COUNTIFS(SR9!$B$5:$B$124,"Contract - OTA",SR9!$C$5:$C$124,"Property",SR9!$N$5:$N$124,"Urgent")</f>
        <v/>
      </c>
      <c r="D72" s="12">
        <f>COUNTIFS(SR9!$B$5:$B$124,"Contract - OTA",SR9!$C$5:$C$124,"Property",SR9!$N$5:$N$124,"Due soon")</f>
        <v/>
      </c>
      <c r="E72" s="12">
        <f>COUNTIFS(SR9!$B$5:$B$124,"Contract - OTA",SR9!$C$5:$C$124,"Property",SR9!$N$5:$N$124,"OK")</f>
        <v/>
      </c>
      <c r="F72" s="12">
        <f>COUNTIFS(SR9!$B$5:$B$124,"Contract - OTA",SR9!$C$5:$C$124,"Property",SR9!$N$5:$N$124,"No date")</f>
        <v/>
      </c>
      <c r="G72" s="12">
        <f>COUNTIFS(SR9!$B$5:$B$124,"Contract - OTA",SR9!$C$5:$C$124,"Property",SR9!$D$5:$D$124,"?*")</f>
        <v/>
      </c>
    </row>
    <row r="73">
      <c r="A73" s="11" t="inlineStr">
        <is>
          <t xml:space="preserve">      Contract - Service</t>
        </is>
      </c>
      <c r="B73" s="12">
        <f>COUNTIFS(SR9!$B$5:$B$124,"Contract - Service",SR9!$C$5:$C$124,"Property",SR9!$N$5:$N$124,"Expired")</f>
        <v/>
      </c>
      <c r="C73" s="12">
        <f>COUNTIFS(SR9!$B$5:$B$124,"Contract - Service",SR9!$C$5:$C$124,"Property",SR9!$N$5:$N$124,"Urgent")</f>
        <v/>
      </c>
      <c r="D73" s="12">
        <f>COUNTIFS(SR9!$B$5:$B$124,"Contract - Service",SR9!$C$5:$C$124,"Property",SR9!$N$5:$N$124,"Due soon")</f>
        <v/>
      </c>
      <c r="E73" s="12">
        <f>COUNTIFS(SR9!$B$5:$B$124,"Contract - Service",SR9!$C$5:$C$124,"Property",SR9!$N$5:$N$124,"OK")</f>
        <v/>
      </c>
      <c r="F73" s="12">
        <f>COUNTIFS(SR9!$B$5:$B$124,"Contract - Service",SR9!$C$5:$C$124,"Property",SR9!$N$5:$N$124,"No date")</f>
        <v/>
      </c>
      <c r="G73" s="12">
        <f>COUNTIFS(SR9!$B$5:$B$124,"Contract - Service",SR9!$C$5:$C$124,"Property",SR9!$D$5:$D$124,"?*")</f>
        <v/>
      </c>
    </row>
    <row r="74">
      <c r="A74" s="11" t="inlineStr">
        <is>
          <t xml:space="preserve">      Contract - Utility</t>
        </is>
      </c>
      <c r="B74" s="12">
        <f>COUNTIFS(SR9!$B$5:$B$124,"Contract - Utility",SR9!$C$5:$C$124,"Property",SR9!$N$5:$N$124,"Expired")</f>
        <v/>
      </c>
      <c r="C74" s="12">
        <f>COUNTIFS(SR9!$B$5:$B$124,"Contract - Utility",SR9!$C$5:$C$124,"Property",SR9!$N$5:$N$124,"Urgent")</f>
        <v/>
      </c>
      <c r="D74" s="12">
        <f>COUNTIFS(SR9!$B$5:$B$124,"Contract - Utility",SR9!$C$5:$C$124,"Property",SR9!$N$5:$N$124,"Due soon")</f>
        <v/>
      </c>
      <c r="E74" s="12">
        <f>COUNTIFS(SR9!$B$5:$B$124,"Contract - Utility",SR9!$C$5:$C$124,"Property",SR9!$N$5:$N$124,"OK")</f>
        <v/>
      </c>
      <c r="F74" s="12">
        <f>COUNTIFS(SR9!$B$5:$B$124,"Contract - Utility",SR9!$C$5:$C$124,"Property",SR9!$N$5:$N$124,"No date")</f>
        <v/>
      </c>
      <c r="G74" s="12">
        <f>COUNTIFS(SR9!$B$5:$B$124,"Contract - Utility",SR9!$C$5:$C$124,"Property",SR9!$D$5:$D$124,"?*")</f>
        <v/>
      </c>
    </row>
    <row r="75">
      <c r="A75" s="11" t="inlineStr">
        <is>
          <t xml:space="preserve">      Contract - Lease / Finance</t>
        </is>
      </c>
      <c r="B75" s="12">
        <f>COUNTIFS(SR9!$B$5:$B$124,"Contract - Lease / Finance",SR9!$C$5:$C$124,"Property",SR9!$N$5:$N$124,"Expired")</f>
        <v/>
      </c>
      <c r="C75" s="12">
        <f>COUNTIFS(SR9!$B$5:$B$124,"Contract - Lease / Finance",SR9!$C$5:$C$124,"Property",SR9!$N$5:$N$124,"Urgent")</f>
        <v/>
      </c>
      <c r="D75" s="12">
        <f>COUNTIFS(SR9!$B$5:$B$124,"Contract - Lease / Finance",SR9!$C$5:$C$124,"Property",SR9!$N$5:$N$124,"Due soon")</f>
        <v/>
      </c>
      <c r="E75" s="12">
        <f>COUNTIFS(SR9!$B$5:$B$124,"Contract - Lease / Finance",SR9!$C$5:$C$124,"Property",SR9!$N$5:$N$124,"OK")</f>
        <v/>
      </c>
      <c r="F75" s="12">
        <f>COUNTIFS(SR9!$B$5:$B$124,"Contract - Lease / Finance",SR9!$C$5:$C$124,"Property",SR9!$N$5:$N$124,"No date")</f>
        <v/>
      </c>
      <c r="G75" s="12">
        <f>COUNTIFS(SR9!$B$5:$B$124,"Contract - Lease / Finance",SR9!$C$5:$C$124,"Property",SR9!$D$5:$D$124,"?*")</f>
        <v/>
      </c>
    </row>
    <row r="76">
      <c r="A76" s="13" t="inlineStr">
        <is>
          <t>SR9 total</t>
        </is>
      </c>
      <c r="B76" s="14">
        <f>SUM(B65:B75)</f>
        <v/>
      </c>
      <c r="C76" s="14">
        <f>SUM(C65:C75)</f>
        <v/>
      </c>
      <c r="D76" s="14">
        <f>SUM(D65:D75)</f>
        <v/>
      </c>
      <c r="E76" s="14">
        <f>SUM(E65:E75)</f>
        <v/>
      </c>
      <c r="F76" s="14">
        <f>SUM(F65:F75)</f>
        <v/>
      </c>
      <c r="G76" s="14">
        <f>SUM(G65:G75)</f>
        <v/>
      </c>
      <c r="I76" s="15">
        <f>IF(G76=COUNTIFS(SR9!$C$5:$C$124,"Property",SR9!$D$5:$D$124,"?*"),"✓","CHECK — categories ≠ tab")</f>
        <v/>
      </c>
    </row>
    <row r="77">
      <c r="A77" s="20" t="inlineStr">
        <is>
          <t>2. AES — Ascott Embassy Sathorn Bangkok</t>
        </is>
      </c>
      <c r="B77" s="10" t="n"/>
      <c r="C77" s="10" t="n"/>
      <c r="D77" s="10" t="n"/>
      <c r="E77" s="10" t="n"/>
      <c r="F77" s="10" t="n"/>
      <c r="G77" s="10" t="n"/>
    </row>
    <row r="78">
      <c r="A78" s="11" t="inlineStr">
        <is>
          <t xml:space="preserve">      Licence</t>
        </is>
      </c>
      <c r="B78" s="12">
        <f>COUNTIFS(AES!$B$5:$B$124,"Licence",AES!$C$5:$C$124,"Property",AES!$N$5:$N$124,"Expired")</f>
        <v/>
      </c>
      <c r="C78" s="12">
        <f>COUNTIFS(AES!$B$5:$B$124,"Licence",AES!$C$5:$C$124,"Property",AES!$N$5:$N$124,"Urgent")</f>
        <v/>
      </c>
      <c r="D78" s="12">
        <f>COUNTIFS(AES!$B$5:$B$124,"Licence",AES!$C$5:$C$124,"Property",AES!$N$5:$N$124,"Due soon")</f>
        <v/>
      </c>
      <c r="E78" s="12">
        <f>COUNTIFS(AES!$B$5:$B$124,"Licence",AES!$C$5:$C$124,"Property",AES!$N$5:$N$124,"OK")</f>
        <v/>
      </c>
      <c r="F78" s="12">
        <f>COUNTIFS(AES!$B$5:$B$124,"Licence",AES!$C$5:$C$124,"Property",AES!$N$5:$N$124,"No date")</f>
        <v/>
      </c>
      <c r="G78" s="12">
        <f>COUNTIFS(AES!$B$5:$B$124,"Licence",AES!$C$5:$C$124,"Property",AES!$D$5:$D$124,"?*")</f>
        <v/>
      </c>
    </row>
    <row r="79">
      <c r="A79" s="11" t="inlineStr">
        <is>
          <t xml:space="preserve">      Permit</t>
        </is>
      </c>
      <c r="B79" s="12">
        <f>COUNTIFS(AES!$B$5:$B$124,"Permit",AES!$C$5:$C$124,"Property",AES!$N$5:$N$124,"Expired")</f>
        <v/>
      </c>
      <c r="C79" s="12">
        <f>COUNTIFS(AES!$B$5:$B$124,"Permit",AES!$C$5:$C$124,"Property",AES!$N$5:$N$124,"Urgent")</f>
        <v/>
      </c>
      <c r="D79" s="12">
        <f>COUNTIFS(AES!$B$5:$B$124,"Permit",AES!$C$5:$C$124,"Property",AES!$N$5:$N$124,"Due soon")</f>
        <v/>
      </c>
      <c r="E79" s="12">
        <f>COUNTIFS(AES!$B$5:$B$124,"Permit",AES!$C$5:$C$124,"Property",AES!$N$5:$N$124,"OK")</f>
        <v/>
      </c>
      <c r="F79" s="12">
        <f>COUNTIFS(AES!$B$5:$B$124,"Permit",AES!$C$5:$C$124,"Property",AES!$N$5:$N$124,"No date")</f>
        <v/>
      </c>
      <c r="G79" s="12">
        <f>COUNTIFS(AES!$B$5:$B$124,"Permit",AES!$C$5:$C$124,"Property",AES!$D$5:$D$124,"?*")</f>
        <v/>
      </c>
    </row>
    <row r="80">
      <c r="A80" s="11" t="inlineStr">
        <is>
          <t xml:space="preserve">      Certificate</t>
        </is>
      </c>
      <c r="B80" s="12">
        <f>COUNTIFS(AES!$B$5:$B$124,"Certificate",AES!$C$5:$C$124,"Property",AES!$N$5:$N$124,"Expired")</f>
        <v/>
      </c>
      <c r="C80" s="12">
        <f>COUNTIFS(AES!$B$5:$B$124,"Certificate",AES!$C$5:$C$124,"Property",AES!$N$5:$N$124,"Urgent")</f>
        <v/>
      </c>
      <c r="D80" s="12">
        <f>COUNTIFS(AES!$B$5:$B$124,"Certificate",AES!$C$5:$C$124,"Property",AES!$N$5:$N$124,"Due soon")</f>
        <v/>
      </c>
      <c r="E80" s="12">
        <f>COUNTIFS(AES!$B$5:$B$124,"Certificate",AES!$C$5:$C$124,"Property",AES!$N$5:$N$124,"OK")</f>
        <v/>
      </c>
      <c r="F80" s="12">
        <f>COUNTIFS(AES!$B$5:$B$124,"Certificate",AES!$C$5:$C$124,"Property",AES!$N$5:$N$124,"No date")</f>
        <v/>
      </c>
      <c r="G80" s="12">
        <f>COUNTIFS(AES!$B$5:$B$124,"Certificate",AES!$C$5:$C$124,"Property",AES!$D$5:$D$124,"?*")</f>
        <v/>
      </c>
    </row>
    <row r="81">
      <c r="A81" s="11" t="inlineStr">
        <is>
          <t xml:space="preserve">      Tax / Registration</t>
        </is>
      </c>
      <c r="B81" s="12">
        <f>COUNTIFS(AES!$B$5:$B$124,"Tax / Registration",AES!$C$5:$C$124,"Property",AES!$N$5:$N$124,"Expired")</f>
        <v/>
      </c>
      <c r="C81" s="12">
        <f>COUNTIFS(AES!$B$5:$B$124,"Tax / Registration",AES!$C$5:$C$124,"Property",AES!$N$5:$N$124,"Urgent")</f>
        <v/>
      </c>
      <c r="D81" s="12">
        <f>COUNTIFS(AES!$B$5:$B$124,"Tax / Registration",AES!$C$5:$C$124,"Property",AES!$N$5:$N$124,"Due soon")</f>
        <v/>
      </c>
      <c r="E81" s="12">
        <f>COUNTIFS(AES!$B$5:$B$124,"Tax / Registration",AES!$C$5:$C$124,"Property",AES!$N$5:$N$124,"OK")</f>
        <v/>
      </c>
      <c r="F81" s="12">
        <f>COUNTIFS(AES!$B$5:$B$124,"Tax / Registration",AES!$C$5:$C$124,"Property",AES!$N$5:$N$124,"No date")</f>
        <v/>
      </c>
      <c r="G81" s="12">
        <f>COUNTIFS(AES!$B$5:$B$124,"Tax / Registration",AES!$C$5:$C$124,"Property",AES!$D$5:$D$124,"?*")</f>
        <v/>
      </c>
    </row>
    <row r="82">
      <c r="A82" s="11" t="inlineStr">
        <is>
          <t xml:space="preserve">      Corporate</t>
        </is>
      </c>
      <c r="B82" s="12">
        <f>COUNTIFS(AES!$B$5:$B$124,"Corporate",AES!$C$5:$C$124,"Property",AES!$N$5:$N$124,"Expired")</f>
        <v/>
      </c>
      <c r="C82" s="12">
        <f>COUNTIFS(AES!$B$5:$B$124,"Corporate",AES!$C$5:$C$124,"Property",AES!$N$5:$N$124,"Urgent")</f>
        <v/>
      </c>
      <c r="D82" s="12">
        <f>COUNTIFS(AES!$B$5:$B$124,"Corporate",AES!$C$5:$C$124,"Property",AES!$N$5:$N$124,"Due soon")</f>
        <v/>
      </c>
      <c r="E82" s="12">
        <f>COUNTIFS(AES!$B$5:$B$124,"Corporate",AES!$C$5:$C$124,"Property",AES!$N$5:$N$124,"OK")</f>
        <v/>
      </c>
      <c r="F82" s="12">
        <f>COUNTIFS(AES!$B$5:$B$124,"Corporate",AES!$C$5:$C$124,"Property",AES!$N$5:$N$124,"No date")</f>
        <v/>
      </c>
      <c r="G82" s="12">
        <f>COUNTIFS(AES!$B$5:$B$124,"Corporate",AES!$C$5:$C$124,"Property",AES!$D$5:$D$124,"?*")</f>
        <v/>
      </c>
    </row>
    <row r="83">
      <c r="A83" s="11" t="inlineStr">
        <is>
          <t xml:space="preserve">      Insurance</t>
        </is>
      </c>
      <c r="B83" s="12">
        <f>COUNTIFS(AES!$B$5:$B$124,"Insurance",AES!$C$5:$C$124,"Property",AES!$N$5:$N$124,"Expired")</f>
        <v/>
      </c>
      <c r="C83" s="12">
        <f>COUNTIFS(AES!$B$5:$B$124,"Insurance",AES!$C$5:$C$124,"Property",AES!$N$5:$N$124,"Urgent")</f>
        <v/>
      </c>
      <c r="D83" s="12">
        <f>COUNTIFS(AES!$B$5:$B$124,"Insurance",AES!$C$5:$C$124,"Property",AES!$N$5:$N$124,"Due soon")</f>
        <v/>
      </c>
      <c r="E83" s="12">
        <f>COUNTIFS(AES!$B$5:$B$124,"Insurance",AES!$C$5:$C$124,"Property",AES!$N$5:$N$124,"OK")</f>
        <v/>
      </c>
      <c r="F83" s="12">
        <f>COUNTIFS(AES!$B$5:$B$124,"Insurance",AES!$C$5:$C$124,"Property",AES!$N$5:$N$124,"No date")</f>
        <v/>
      </c>
      <c r="G83" s="12">
        <f>COUNTIFS(AES!$B$5:$B$124,"Insurance",AES!$C$5:$C$124,"Property",AES!$D$5:$D$124,"?*")</f>
        <v/>
      </c>
    </row>
    <row r="84">
      <c r="A84" s="11" t="inlineStr">
        <is>
          <t xml:space="preserve">      Contract - Management</t>
        </is>
      </c>
      <c r="B84" s="12">
        <f>COUNTIFS(AES!$B$5:$B$124,"Contract - Management",AES!$C$5:$C$124,"Property",AES!$N$5:$N$124,"Expired")</f>
        <v/>
      </c>
      <c r="C84" s="12">
        <f>COUNTIFS(AES!$B$5:$B$124,"Contract - Management",AES!$C$5:$C$124,"Property",AES!$N$5:$N$124,"Urgent")</f>
        <v/>
      </c>
      <c r="D84" s="12">
        <f>COUNTIFS(AES!$B$5:$B$124,"Contract - Management",AES!$C$5:$C$124,"Property",AES!$N$5:$N$124,"Due soon")</f>
        <v/>
      </c>
      <c r="E84" s="12">
        <f>COUNTIFS(AES!$B$5:$B$124,"Contract - Management",AES!$C$5:$C$124,"Property",AES!$N$5:$N$124,"OK")</f>
        <v/>
      </c>
      <c r="F84" s="12">
        <f>COUNTIFS(AES!$B$5:$B$124,"Contract - Management",AES!$C$5:$C$124,"Property",AES!$N$5:$N$124,"No date")</f>
        <v/>
      </c>
      <c r="G84" s="12">
        <f>COUNTIFS(AES!$B$5:$B$124,"Contract - Management",AES!$C$5:$C$124,"Property",AES!$D$5:$D$124,"?*")</f>
        <v/>
      </c>
    </row>
    <row r="85">
      <c r="A85" s="11" t="inlineStr">
        <is>
          <t xml:space="preserve">      Contract - OTA</t>
        </is>
      </c>
      <c r="B85" s="12">
        <f>COUNTIFS(AES!$B$5:$B$124,"Contract - OTA",AES!$C$5:$C$124,"Property",AES!$N$5:$N$124,"Expired")</f>
        <v/>
      </c>
      <c r="C85" s="12">
        <f>COUNTIFS(AES!$B$5:$B$124,"Contract - OTA",AES!$C$5:$C$124,"Property",AES!$N$5:$N$124,"Urgent")</f>
        <v/>
      </c>
      <c r="D85" s="12">
        <f>COUNTIFS(AES!$B$5:$B$124,"Contract - OTA",AES!$C$5:$C$124,"Property",AES!$N$5:$N$124,"Due soon")</f>
        <v/>
      </c>
      <c r="E85" s="12">
        <f>COUNTIFS(AES!$B$5:$B$124,"Contract - OTA",AES!$C$5:$C$124,"Property",AES!$N$5:$N$124,"OK")</f>
        <v/>
      </c>
      <c r="F85" s="12">
        <f>COUNTIFS(AES!$B$5:$B$124,"Contract - OTA",AES!$C$5:$C$124,"Property",AES!$N$5:$N$124,"No date")</f>
        <v/>
      </c>
      <c r="G85" s="12">
        <f>COUNTIFS(AES!$B$5:$B$124,"Contract - OTA",AES!$C$5:$C$124,"Property",AES!$D$5:$D$124,"?*")</f>
        <v/>
      </c>
    </row>
    <row r="86">
      <c r="A86" s="11" t="inlineStr">
        <is>
          <t xml:space="preserve">      Contract - Service</t>
        </is>
      </c>
      <c r="B86" s="12">
        <f>COUNTIFS(AES!$B$5:$B$124,"Contract - Service",AES!$C$5:$C$124,"Property",AES!$N$5:$N$124,"Expired")</f>
        <v/>
      </c>
      <c r="C86" s="12">
        <f>COUNTIFS(AES!$B$5:$B$124,"Contract - Service",AES!$C$5:$C$124,"Property",AES!$N$5:$N$124,"Urgent")</f>
        <v/>
      </c>
      <c r="D86" s="12">
        <f>COUNTIFS(AES!$B$5:$B$124,"Contract - Service",AES!$C$5:$C$124,"Property",AES!$N$5:$N$124,"Due soon")</f>
        <v/>
      </c>
      <c r="E86" s="12">
        <f>COUNTIFS(AES!$B$5:$B$124,"Contract - Service",AES!$C$5:$C$124,"Property",AES!$N$5:$N$124,"OK")</f>
        <v/>
      </c>
      <c r="F86" s="12">
        <f>COUNTIFS(AES!$B$5:$B$124,"Contract - Service",AES!$C$5:$C$124,"Property",AES!$N$5:$N$124,"No date")</f>
        <v/>
      </c>
      <c r="G86" s="12">
        <f>COUNTIFS(AES!$B$5:$B$124,"Contract - Service",AES!$C$5:$C$124,"Property",AES!$D$5:$D$124,"?*")</f>
        <v/>
      </c>
    </row>
    <row r="87">
      <c r="A87" s="11" t="inlineStr">
        <is>
          <t xml:space="preserve">      Contract - Utility</t>
        </is>
      </c>
      <c r="B87" s="12">
        <f>COUNTIFS(AES!$B$5:$B$124,"Contract - Utility",AES!$C$5:$C$124,"Property",AES!$N$5:$N$124,"Expired")</f>
        <v/>
      </c>
      <c r="C87" s="12">
        <f>COUNTIFS(AES!$B$5:$B$124,"Contract - Utility",AES!$C$5:$C$124,"Property",AES!$N$5:$N$124,"Urgent")</f>
        <v/>
      </c>
      <c r="D87" s="12">
        <f>COUNTIFS(AES!$B$5:$B$124,"Contract - Utility",AES!$C$5:$C$124,"Property",AES!$N$5:$N$124,"Due soon")</f>
        <v/>
      </c>
      <c r="E87" s="12">
        <f>COUNTIFS(AES!$B$5:$B$124,"Contract - Utility",AES!$C$5:$C$124,"Property",AES!$N$5:$N$124,"OK")</f>
        <v/>
      </c>
      <c r="F87" s="12">
        <f>COUNTIFS(AES!$B$5:$B$124,"Contract - Utility",AES!$C$5:$C$124,"Property",AES!$N$5:$N$124,"No date")</f>
        <v/>
      </c>
      <c r="G87" s="12">
        <f>COUNTIFS(AES!$B$5:$B$124,"Contract - Utility",AES!$C$5:$C$124,"Property",AES!$D$5:$D$124,"?*")</f>
        <v/>
      </c>
    </row>
    <row r="88">
      <c r="A88" s="11" t="inlineStr">
        <is>
          <t xml:space="preserve">      Contract - Lease / Finance</t>
        </is>
      </c>
      <c r="B88" s="12">
        <f>COUNTIFS(AES!$B$5:$B$124,"Contract - Lease / Finance",AES!$C$5:$C$124,"Property",AES!$N$5:$N$124,"Expired")</f>
        <v/>
      </c>
      <c r="C88" s="12">
        <f>COUNTIFS(AES!$B$5:$B$124,"Contract - Lease / Finance",AES!$C$5:$C$124,"Property",AES!$N$5:$N$124,"Urgent")</f>
        <v/>
      </c>
      <c r="D88" s="12">
        <f>COUNTIFS(AES!$B$5:$B$124,"Contract - Lease / Finance",AES!$C$5:$C$124,"Property",AES!$N$5:$N$124,"Due soon")</f>
        <v/>
      </c>
      <c r="E88" s="12">
        <f>COUNTIFS(AES!$B$5:$B$124,"Contract - Lease / Finance",AES!$C$5:$C$124,"Property",AES!$N$5:$N$124,"OK")</f>
        <v/>
      </c>
      <c r="F88" s="12">
        <f>COUNTIFS(AES!$B$5:$B$124,"Contract - Lease / Finance",AES!$C$5:$C$124,"Property",AES!$N$5:$N$124,"No date")</f>
        <v/>
      </c>
      <c r="G88" s="12">
        <f>COUNTIFS(AES!$B$5:$B$124,"Contract - Lease / Finance",AES!$C$5:$C$124,"Property",AES!$D$5:$D$124,"?*")</f>
        <v/>
      </c>
    </row>
    <row r="89">
      <c r="A89" s="13" t="inlineStr">
        <is>
          <t>AES total</t>
        </is>
      </c>
      <c r="B89" s="14">
        <f>SUM(B78:B88)</f>
        <v/>
      </c>
      <c r="C89" s="14">
        <f>SUM(C78:C88)</f>
        <v/>
      </c>
      <c r="D89" s="14">
        <f>SUM(D78:D88)</f>
        <v/>
      </c>
      <c r="E89" s="14">
        <f>SUM(E78:E88)</f>
        <v/>
      </c>
      <c r="F89" s="14">
        <f>SUM(F78:F88)</f>
        <v/>
      </c>
      <c r="G89" s="14">
        <f>SUM(G78:G88)</f>
        <v/>
      </c>
      <c r="I89" s="15">
        <f>IF(G89=COUNTIFS(AES!$C$5:$C$124,"Property",AES!$D$5:$D$124,"?*"),"✓","CHECK — categories ≠ tab")</f>
        <v/>
      </c>
    </row>
    <row r="90">
      <c r="A90" s="20" t="inlineStr">
        <is>
          <t>3. LYF — lyf Sukhumvit 8 Bangkok</t>
        </is>
      </c>
      <c r="B90" s="10" t="n"/>
      <c r="C90" s="10" t="n"/>
      <c r="D90" s="10" t="n"/>
      <c r="E90" s="10" t="n"/>
      <c r="F90" s="10" t="n"/>
      <c r="G90" s="10" t="n"/>
    </row>
    <row r="91">
      <c r="A91" s="11" t="inlineStr">
        <is>
          <t xml:space="preserve">      Licence</t>
        </is>
      </c>
      <c r="B91" s="12">
        <f>COUNTIFS(LYF!$B$5:$B$124,"Licence",LYF!$C$5:$C$124,"Property",LYF!$N$5:$N$124,"Expired")</f>
        <v/>
      </c>
      <c r="C91" s="12">
        <f>COUNTIFS(LYF!$B$5:$B$124,"Licence",LYF!$C$5:$C$124,"Property",LYF!$N$5:$N$124,"Urgent")</f>
        <v/>
      </c>
      <c r="D91" s="12">
        <f>COUNTIFS(LYF!$B$5:$B$124,"Licence",LYF!$C$5:$C$124,"Property",LYF!$N$5:$N$124,"Due soon")</f>
        <v/>
      </c>
      <c r="E91" s="12">
        <f>COUNTIFS(LYF!$B$5:$B$124,"Licence",LYF!$C$5:$C$124,"Property",LYF!$N$5:$N$124,"OK")</f>
        <v/>
      </c>
      <c r="F91" s="12">
        <f>COUNTIFS(LYF!$B$5:$B$124,"Licence",LYF!$C$5:$C$124,"Property",LYF!$N$5:$N$124,"No date")</f>
        <v/>
      </c>
      <c r="G91" s="12">
        <f>COUNTIFS(LYF!$B$5:$B$124,"Licence",LYF!$C$5:$C$124,"Property",LYF!$D$5:$D$124,"?*")</f>
        <v/>
      </c>
    </row>
    <row r="92">
      <c r="A92" s="11" t="inlineStr">
        <is>
          <t xml:space="preserve">      Permit</t>
        </is>
      </c>
      <c r="B92" s="12">
        <f>COUNTIFS(LYF!$B$5:$B$124,"Permit",LYF!$C$5:$C$124,"Property",LYF!$N$5:$N$124,"Expired")</f>
        <v/>
      </c>
      <c r="C92" s="12">
        <f>COUNTIFS(LYF!$B$5:$B$124,"Permit",LYF!$C$5:$C$124,"Property",LYF!$N$5:$N$124,"Urgent")</f>
        <v/>
      </c>
      <c r="D92" s="12">
        <f>COUNTIFS(LYF!$B$5:$B$124,"Permit",LYF!$C$5:$C$124,"Property",LYF!$N$5:$N$124,"Due soon")</f>
        <v/>
      </c>
      <c r="E92" s="12">
        <f>COUNTIFS(LYF!$B$5:$B$124,"Permit",LYF!$C$5:$C$124,"Property",LYF!$N$5:$N$124,"OK")</f>
        <v/>
      </c>
      <c r="F92" s="12">
        <f>COUNTIFS(LYF!$B$5:$B$124,"Permit",LYF!$C$5:$C$124,"Property",LYF!$N$5:$N$124,"No date")</f>
        <v/>
      </c>
      <c r="G92" s="12">
        <f>COUNTIFS(LYF!$B$5:$B$124,"Permit",LYF!$C$5:$C$124,"Property",LYF!$D$5:$D$124,"?*")</f>
        <v/>
      </c>
    </row>
    <row r="93">
      <c r="A93" s="11" t="inlineStr">
        <is>
          <t xml:space="preserve">      Certificate</t>
        </is>
      </c>
      <c r="B93" s="12">
        <f>COUNTIFS(LYF!$B$5:$B$124,"Certificate",LYF!$C$5:$C$124,"Property",LYF!$N$5:$N$124,"Expired")</f>
        <v/>
      </c>
      <c r="C93" s="12">
        <f>COUNTIFS(LYF!$B$5:$B$124,"Certificate",LYF!$C$5:$C$124,"Property",LYF!$N$5:$N$124,"Urgent")</f>
        <v/>
      </c>
      <c r="D93" s="12">
        <f>COUNTIFS(LYF!$B$5:$B$124,"Certificate",LYF!$C$5:$C$124,"Property",LYF!$N$5:$N$124,"Due soon")</f>
        <v/>
      </c>
      <c r="E93" s="12">
        <f>COUNTIFS(LYF!$B$5:$B$124,"Certificate",LYF!$C$5:$C$124,"Property",LYF!$N$5:$N$124,"OK")</f>
        <v/>
      </c>
      <c r="F93" s="12">
        <f>COUNTIFS(LYF!$B$5:$B$124,"Certificate",LYF!$C$5:$C$124,"Property",LYF!$N$5:$N$124,"No date")</f>
        <v/>
      </c>
      <c r="G93" s="12">
        <f>COUNTIFS(LYF!$B$5:$B$124,"Certificate",LYF!$C$5:$C$124,"Property",LYF!$D$5:$D$124,"?*")</f>
        <v/>
      </c>
    </row>
    <row r="94">
      <c r="A94" s="11" t="inlineStr">
        <is>
          <t xml:space="preserve">      Tax / Registration</t>
        </is>
      </c>
      <c r="B94" s="12">
        <f>COUNTIFS(LYF!$B$5:$B$124,"Tax / Registration",LYF!$C$5:$C$124,"Property",LYF!$N$5:$N$124,"Expired")</f>
        <v/>
      </c>
      <c r="C94" s="12">
        <f>COUNTIFS(LYF!$B$5:$B$124,"Tax / Registration",LYF!$C$5:$C$124,"Property",LYF!$N$5:$N$124,"Urgent")</f>
        <v/>
      </c>
      <c r="D94" s="12">
        <f>COUNTIFS(LYF!$B$5:$B$124,"Tax / Registration",LYF!$C$5:$C$124,"Property",LYF!$N$5:$N$124,"Due soon")</f>
        <v/>
      </c>
      <c r="E94" s="12">
        <f>COUNTIFS(LYF!$B$5:$B$124,"Tax / Registration",LYF!$C$5:$C$124,"Property",LYF!$N$5:$N$124,"OK")</f>
        <v/>
      </c>
      <c r="F94" s="12">
        <f>COUNTIFS(LYF!$B$5:$B$124,"Tax / Registration",LYF!$C$5:$C$124,"Property",LYF!$N$5:$N$124,"No date")</f>
        <v/>
      </c>
      <c r="G94" s="12">
        <f>COUNTIFS(LYF!$B$5:$B$124,"Tax / Registration",LYF!$C$5:$C$124,"Property",LYF!$D$5:$D$124,"?*")</f>
        <v/>
      </c>
    </row>
    <row r="95">
      <c r="A95" s="11" t="inlineStr">
        <is>
          <t xml:space="preserve">      Corporate</t>
        </is>
      </c>
      <c r="B95" s="12">
        <f>COUNTIFS(LYF!$B$5:$B$124,"Corporate",LYF!$C$5:$C$124,"Property",LYF!$N$5:$N$124,"Expired")</f>
        <v/>
      </c>
      <c r="C95" s="12">
        <f>COUNTIFS(LYF!$B$5:$B$124,"Corporate",LYF!$C$5:$C$124,"Property",LYF!$N$5:$N$124,"Urgent")</f>
        <v/>
      </c>
      <c r="D95" s="12">
        <f>COUNTIFS(LYF!$B$5:$B$124,"Corporate",LYF!$C$5:$C$124,"Property",LYF!$N$5:$N$124,"Due soon")</f>
        <v/>
      </c>
      <c r="E95" s="12">
        <f>COUNTIFS(LYF!$B$5:$B$124,"Corporate",LYF!$C$5:$C$124,"Property",LYF!$N$5:$N$124,"OK")</f>
        <v/>
      </c>
      <c r="F95" s="12">
        <f>COUNTIFS(LYF!$B$5:$B$124,"Corporate",LYF!$C$5:$C$124,"Property",LYF!$N$5:$N$124,"No date")</f>
        <v/>
      </c>
      <c r="G95" s="12">
        <f>COUNTIFS(LYF!$B$5:$B$124,"Corporate",LYF!$C$5:$C$124,"Property",LYF!$D$5:$D$124,"?*")</f>
        <v/>
      </c>
    </row>
    <row r="96">
      <c r="A96" s="11" t="inlineStr">
        <is>
          <t xml:space="preserve">      Insurance</t>
        </is>
      </c>
      <c r="B96" s="12">
        <f>COUNTIFS(LYF!$B$5:$B$124,"Insurance",LYF!$C$5:$C$124,"Property",LYF!$N$5:$N$124,"Expired")</f>
        <v/>
      </c>
      <c r="C96" s="12">
        <f>COUNTIFS(LYF!$B$5:$B$124,"Insurance",LYF!$C$5:$C$124,"Property",LYF!$N$5:$N$124,"Urgent")</f>
        <v/>
      </c>
      <c r="D96" s="12">
        <f>COUNTIFS(LYF!$B$5:$B$124,"Insurance",LYF!$C$5:$C$124,"Property",LYF!$N$5:$N$124,"Due soon")</f>
        <v/>
      </c>
      <c r="E96" s="12">
        <f>COUNTIFS(LYF!$B$5:$B$124,"Insurance",LYF!$C$5:$C$124,"Property",LYF!$N$5:$N$124,"OK")</f>
        <v/>
      </c>
      <c r="F96" s="12">
        <f>COUNTIFS(LYF!$B$5:$B$124,"Insurance",LYF!$C$5:$C$124,"Property",LYF!$N$5:$N$124,"No date")</f>
        <v/>
      </c>
      <c r="G96" s="12">
        <f>COUNTIFS(LYF!$B$5:$B$124,"Insurance",LYF!$C$5:$C$124,"Property",LYF!$D$5:$D$124,"?*")</f>
        <v/>
      </c>
    </row>
    <row r="97">
      <c r="A97" s="11" t="inlineStr">
        <is>
          <t xml:space="preserve">      Contract - Management</t>
        </is>
      </c>
      <c r="B97" s="12">
        <f>COUNTIFS(LYF!$B$5:$B$124,"Contract - Management",LYF!$C$5:$C$124,"Property",LYF!$N$5:$N$124,"Expired")</f>
        <v/>
      </c>
      <c r="C97" s="12">
        <f>COUNTIFS(LYF!$B$5:$B$124,"Contract - Management",LYF!$C$5:$C$124,"Property",LYF!$N$5:$N$124,"Urgent")</f>
        <v/>
      </c>
      <c r="D97" s="12">
        <f>COUNTIFS(LYF!$B$5:$B$124,"Contract - Management",LYF!$C$5:$C$124,"Property",LYF!$N$5:$N$124,"Due soon")</f>
        <v/>
      </c>
      <c r="E97" s="12">
        <f>COUNTIFS(LYF!$B$5:$B$124,"Contract - Management",LYF!$C$5:$C$124,"Property",LYF!$N$5:$N$124,"OK")</f>
        <v/>
      </c>
      <c r="F97" s="12">
        <f>COUNTIFS(LYF!$B$5:$B$124,"Contract - Management",LYF!$C$5:$C$124,"Property",LYF!$N$5:$N$124,"No date")</f>
        <v/>
      </c>
      <c r="G97" s="12">
        <f>COUNTIFS(LYF!$B$5:$B$124,"Contract - Management",LYF!$C$5:$C$124,"Property",LYF!$D$5:$D$124,"?*")</f>
        <v/>
      </c>
    </row>
    <row r="98">
      <c r="A98" s="11" t="inlineStr">
        <is>
          <t xml:space="preserve">      Contract - OTA</t>
        </is>
      </c>
      <c r="B98" s="12">
        <f>COUNTIFS(LYF!$B$5:$B$124,"Contract - OTA",LYF!$C$5:$C$124,"Property",LYF!$N$5:$N$124,"Expired")</f>
        <v/>
      </c>
      <c r="C98" s="12">
        <f>COUNTIFS(LYF!$B$5:$B$124,"Contract - OTA",LYF!$C$5:$C$124,"Property",LYF!$N$5:$N$124,"Urgent")</f>
        <v/>
      </c>
      <c r="D98" s="12">
        <f>COUNTIFS(LYF!$B$5:$B$124,"Contract - OTA",LYF!$C$5:$C$124,"Property",LYF!$N$5:$N$124,"Due soon")</f>
        <v/>
      </c>
      <c r="E98" s="12">
        <f>COUNTIFS(LYF!$B$5:$B$124,"Contract - OTA",LYF!$C$5:$C$124,"Property",LYF!$N$5:$N$124,"OK")</f>
        <v/>
      </c>
      <c r="F98" s="12">
        <f>COUNTIFS(LYF!$B$5:$B$124,"Contract - OTA",LYF!$C$5:$C$124,"Property",LYF!$N$5:$N$124,"No date")</f>
        <v/>
      </c>
      <c r="G98" s="12">
        <f>COUNTIFS(LYF!$B$5:$B$124,"Contract - OTA",LYF!$C$5:$C$124,"Property",LYF!$D$5:$D$124,"?*")</f>
        <v/>
      </c>
    </row>
    <row r="99">
      <c r="A99" s="11" t="inlineStr">
        <is>
          <t xml:space="preserve">      Contract - Service</t>
        </is>
      </c>
      <c r="B99" s="12">
        <f>COUNTIFS(LYF!$B$5:$B$124,"Contract - Service",LYF!$C$5:$C$124,"Property",LYF!$N$5:$N$124,"Expired")</f>
        <v/>
      </c>
      <c r="C99" s="12">
        <f>COUNTIFS(LYF!$B$5:$B$124,"Contract - Service",LYF!$C$5:$C$124,"Property",LYF!$N$5:$N$124,"Urgent")</f>
        <v/>
      </c>
      <c r="D99" s="12">
        <f>COUNTIFS(LYF!$B$5:$B$124,"Contract - Service",LYF!$C$5:$C$124,"Property",LYF!$N$5:$N$124,"Due soon")</f>
        <v/>
      </c>
      <c r="E99" s="12">
        <f>COUNTIFS(LYF!$B$5:$B$124,"Contract - Service",LYF!$C$5:$C$124,"Property",LYF!$N$5:$N$124,"OK")</f>
        <v/>
      </c>
      <c r="F99" s="12">
        <f>COUNTIFS(LYF!$B$5:$B$124,"Contract - Service",LYF!$C$5:$C$124,"Property",LYF!$N$5:$N$124,"No date")</f>
        <v/>
      </c>
      <c r="G99" s="12">
        <f>COUNTIFS(LYF!$B$5:$B$124,"Contract - Service",LYF!$C$5:$C$124,"Property",LYF!$D$5:$D$124,"?*")</f>
        <v/>
      </c>
    </row>
    <row r="100">
      <c r="A100" s="11" t="inlineStr">
        <is>
          <t xml:space="preserve">      Contract - Utility</t>
        </is>
      </c>
      <c r="B100" s="12">
        <f>COUNTIFS(LYF!$B$5:$B$124,"Contract - Utility",LYF!$C$5:$C$124,"Property",LYF!$N$5:$N$124,"Expired")</f>
        <v/>
      </c>
      <c r="C100" s="12">
        <f>COUNTIFS(LYF!$B$5:$B$124,"Contract - Utility",LYF!$C$5:$C$124,"Property",LYF!$N$5:$N$124,"Urgent")</f>
        <v/>
      </c>
      <c r="D100" s="12">
        <f>COUNTIFS(LYF!$B$5:$B$124,"Contract - Utility",LYF!$C$5:$C$124,"Property",LYF!$N$5:$N$124,"Due soon")</f>
        <v/>
      </c>
      <c r="E100" s="12">
        <f>COUNTIFS(LYF!$B$5:$B$124,"Contract - Utility",LYF!$C$5:$C$124,"Property",LYF!$N$5:$N$124,"OK")</f>
        <v/>
      </c>
      <c r="F100" s="12">
        <f>COUNTIFS(LYF!$B$5:$B$124,"Contract - Utility",LYF!$C$5:$C$124,"Property",LYF!$N$5:$N$124,"No date")</f>
        <v/>
      </c>
      <c r="G100" s="12">
        <f>COUNTIFS(LYF!$B$5:$B$124,"Contract - Utility",LYF!$C$5:$C$124,"Property",LYF!$D$5:$D$124,"?*")</f>
        <v/>
      </c>
    </row>
    <row r="101">
      <c r="A101" s="11" t="inlineStr">
        <is>
          <t xml:space="preserve">      Contract - Lease / Finance</t>
        </is>
      </c>
      <c r="B101" s="12">
        <f>COUNTIFS(LYF!$B$5:$B$124,"Contract - Lease / Finance",LYF!$C$5:$C$124,"Property",LYF!$N$5:$N$124,"Expired")</f>
        <v/>
      </c>
      <c r="C101" s="12">
        <f>COUNTIFS(LYF!$B$5:$B$124,"Contract - Lease / Finance",LYF!$C$5:$C$124,"Property",LYF!$N$5:$N$124,"Urgent")</f>
        <v/>
      </c>
      <c r="D101" s="12">
        <f>COUNTIFS(LYF!$B$5:$B$124,"Contract - Lease / Finance",LYF!$C$5:$C$124,"Property",LYF!$N$5:$N$124,"Due soon")</f>
        <v/>
      </c>
      <c r="E101" s="12">
        <f>COUNTIFS(LYF!$B$5:$B$124,"Contract - Lease / Finance",LYF!$C$5:$C$124,"Property",LYF!$N$5:$N$124,"OK")</f>
        <v/>
      </c>
      <c r="F101" s="12">
        <f>COUNTIFS(LYF!$B$5:$B$124,"Contract - Lease / Finance",LYF!$C$5:$C$124,"Property",LYF!$N$5:$N$124,"No date")</f>
        <v/>
      </c>
      <c r="G101" s="12">
        <f>COUNTIFS(LYF!$B$5:$B$124,"Contract - Lease / Finance",LYF!$C$5:$C$124,"Property",LYF!$D$5:$D$124,"?*")</f>
        <v/>
      </c>
    </row>
    <row r="102">
      <c r="A102" s="13" t="inlineStr">
        <is>
          <t>LYF total</t>
        </is>
      </c>
      <c r="B102" s="14">
        <f>SUM(B91:B101)</f>
        <v/>
      </c>
      <c r="C102" s="14">
        <f>SUM(C91:C101)</f>
        <v/>
      </c>
      <c r="D102" s="14">
        <f>SUM(D91:D101)</f>
        <v/>
      </c>
      <c r="E102" s="14">
        <f>SUM(E91:E101)</f>
        <v/>
      </c>
      <c r="F102" s="14">
        <f>SUM(F91:F101)</f>
        <v/>
      </c>
      <c r="G102" s="14">
        <f>SUM(G91:G101)</f>
        <v/>
      </c>
      <c r="I102" s="15">
        <f>IF(G102=COUNTIFS(LYF!$C$5:$C$124,"Property",LYF!$D$5:$D$124,"?*"),"✓","CHECK — categories ≠ tab")</f>
        <v/>
      </c>
    </row>
    <row r="103">
      <c r="A103" s="20" t="inlineStr">
        <is>
          <t>4. SP — Somerset Pattaya</t>
        </is>
      </c>
      <c r="B103" s="10" t="n"/>
      <c r="C103" s="10" t="n"/>
      <c r="D103" s="10" t="n"/>
      <c r="E103" s="10" t="n"/>
      <c r="F103" s="10" t="n"/>
      <c r="G103" s="10" t="n"/>
    </row>
    <row r="104">
      <c r="A104" s="11" t="inlineStr">
        <is>
          <t xml:space="preserve">      Licence</t>
        </is>
      </c>
      <c r="B104" s="12">
        <f>COUNTIFS(SP!$B$5:$B$124,"Licence",SP!$C$5:$C$124,"Property",SP!$N$5:$N$124,"Expired")</f>
        <v/>
      </c>
      <c r="C104" s="12">
        <f>COUNTIFS(SP!$B$5:$B$124,"Licence",SP!$C$5:$C$124,"Property",SP!$N$5:$N$124,"Urgent")</f>
        <v/>
      </c>
      <c r="D104" s="12">
        <f>COUNTIFS(SP!$B$5:$B$124,"Licence",SP!$C$5:$C$124,"Property",SP!$N$5:$N$124,"Due soon")</f>
        <v/>
      </c>
      <c r="E104" s="12">
        <f>COUNTIFS(SP!$B$5:$B$124,"Licence",SP!$C$5:$C$124,"Property",SP!$N$5:$N$124,"OK")</f>
        <v/>
      </c>
      <c r="F104" s="12">
        <f>COUNTIFS(SP!$B$5:$B$124,"Licence",SP!$C$5:$C$124,"Property",SP!$N$5:$N$124,"No date")</f>
        <v/>
      </c>
      <c r="G104" s="12">
        <f>COUNTIFS(SP!$B$5:$B$124,"Licence",SP!$C$5:$C$124,"Property",SP!$D$5:$D$124,"?*")</f>
        <v/>
      </c>
    </row>
    <row r="105">
      <c r="A105" s="11" t="inlineStr">
        <is>
          <t xml:space="preserve">      Permit</t>
        </is>
      </c>
      <c r="B105" s="12">
        <f>COUNTIFS(SP!$B$5:$B$124,"Permit",SP!$C$5:$C$124,"Property",SP!$N$5:$N$124,"Expired")</f>
        <v/>
      </c>
      <c r="C105" s="12">
        <f>COUNTIFS(SP!$B$5:$B$124,"Permit",SP!$C$5:$C$124,"Property",SP!$N$5:$N$124,"Urgent")</f>
        <v/>
      </c>
      <c r="D105" s="12">
        <f>COUNTIFS(SP!$B$5:$B$124,"Permit",SP!$C$5:$C$124,"Property",SP!$N$5:$N$124,"Due soon")</f>
        <v/>
      </c>
      <c r="E105" s="12">
        <f>COUNTIFS(SP!$B$5:$B$124,"Permit",SP!$C$5:$C$124,"Property",SP!$N$5:$N$124,"OK")</f>
        <v/>
      </c>
      <c r="F105" s="12">
        <f>COUNTIFS(SP!$B$5:$B$124,"Permit",SP!$C$5:$C$124,"Property",SP!$N$5:$N$124,"No date")</f>
        <v/>
      </c>
      <c r="G105" s="12">
        <f>COUNTIFS(SP!$B$5:$B$124,"Permit",SP!$C$5:$C$124,"Property",SP!$D$5:$D$124,"?*")</f>
        <v/>
      </c>
    </row>
    <row r="106">
      <c r="A106" s="11" t="inlineStr">
        <is>
          <t xml:space="preserve">      Certificate</t>
        </is>
      </c>
      <c r="B106" s="12">
        <f>COUNTIFS(SP!$B$5:$B$124,"Certificate",SP!$C$5:$C$124,"Property",SP!$N$5:$N$124,"Expired")</f>
        <v/>
      </c>
      <c r="C106" s="12">
        <f>COUNTIFS(SP!$B$5:$B$124,"Certificate",SP!$C$5:$C$124,"Property",SP!$N$5:$N$124,"Urgent")</f>
        <v/>
      </c>
      <c r="D106" s="12">
        <f>COUNTIFS(SP!$B$5:$B$124,"Certificate",SP!$C$5:$C$124,"Property",SP!$N$5:$N$124,"Due soon")</f>
        <v/>
      </c>
      <c r="E106" s="12">
        <f>COUNTIFS(SP!$B$5:$B$124,"Certificate",SP!$C$5:$C$124,"Property",SP!$N$5:$N$124,"OK")</f>
        <v/>
      </c>
      <c r="F106" s="12">
        <f>COUNTIFS(SP!$B$5:$B$124,"Certificate",SP!$C$5:$C$124,"Property",SP!$N$5:$N$124,"No date")</f>
        <v/>
      </c>
      <c r="G106" s="12">
        <f>COUNTIFS(SP!$B$5:$B$124,"Certificate",SP!$C$5:$C$124,"Property",SP!$D$5:$D$124,"?*")</f>
        <v/>
      </c>
    </row>
    <row r="107">
      <c r="A107" s="11" t="inlineStr">
        <is>
          <t xml:space="preserve">      Tax / Registration</t>
        </is>
      </c>
      <c r="B107" s="12">
        <f>COUNTIFS(SP!$B$5:$B$124,"Tax / Registration",SP!$C$5:$C$124,"Property",SP!$N$5:$N$124,"Expired")</f>
        <v/>
      </c>
      <c r="C107" s="12">
        <f>COUNTIFS(SP!$B$5:$B$124,"Tax / Registration",SP!$C$5:$C$124,"Property",SP!$N$5:$N$124,"Urgent")</f>
        <v/>
      </c>
      <c r="D107" s="12">
        <f>COUNTIFS(SP!$B$5:$B$124,"Tax / Registration",SP!$C$5:$C$124,"Property",SP!$N$5:$N$124,"Due soon")</f>
        <v/>
      </c>
      <c r="E107" s="12">
        <f>COUNTIFS(SP!$B$5:$B$124,"Tax / Registration",SP!$C$5:$C$124,"Property",SP!$N$5:$N$124,"OK")</f>
        <v/>
      </c>
      <c r="F107" s="12">
        <f>COUNTIFS(SP!$B$5:$B$124,"Tax / Registration",SP!$C$5:$C$124,"Property",SP!$N$5:$N$124,"No date")</f>
        <v/>
      </c>
      <c r="G107" s="12">
        <f>COUNTIFS(SP!$B$5:$B$124,"Tax / Registration",SP!$C$5:$C$124,"Property",SP!$D$5:$D$124,"?*")</f>
        <v/>
      </c>
    </row>
    <row r="108">
      <c r="A108" s="11" t="inlineStr">
        <is>
          <t xml:space="preserve">      Corporate</t>
        </is>
      </c>
      <c r="B108" s="12">
        <f>COUNTIFS(SP!$B$5:$B$124,"Corporate",SP!$C$5:$C$124,"Property",SP!$N$5:$N$124,"Expired")</f>
        <v/>
      </c>
      <c r="C108" s="12">
        <f>COUNTIFS(SP!$B$5:$B$124,"Corporate",SP!$C$5:$C$124,"Property",SP!$N$5:$N$124,"Urgent")</f>
        <v/>
      </c>
      <c r="D108" s="12">
        <f>COUNTIFS(SP!$B$5:$B$124,"Corporate",SP!$C$5:$C$124,"Property",SP!$N$5:$N$124,"Due soon")</f>
        <v/>
      </c>
      <c r="E108" s="12">
        <f>COUNTIFS(SP!$B$5:$B$124,"Corporate",SP!$C$5:$C$124,"Property",SP!$N$5:$N$124,"OK")</f>
        <v/>
      </c>
      <c r="F108" s="12">
        <f>COUNTIFS(SP!$B$5:$B$124,"Corporate",SP!$C$5:$C$124,"Property",SP!$N$5:$N$124,"No date")</f>
        <v/>
      </c>
      <c r="G108" s="12">
        <f>COUNTIFS(SP!$B$5:$B$124,"Corporate",SP!$C$5:$C$124,"Property",SP!$D$5:$D$124,"?*")</f>
        <v/>
      </c>
    </row>
    <row r="109">
      <c r="A109" s="11" t="inlineStr">
        <is>
          <t xml:space="preserve">      Insurance</t>
        </is>
      </c>
      <c r="B109" s="12">
        <f>COUNTIFS(SP!$B$5:$B$124,"Insurance",SP!$C$5:$C$124,"Property",SP!$N$5:$N$124,"Expired")</f>
        <v/>
      </c>
      <c r="C109" s="12">
        <f>COUNTIFS(SP!$B$5:$B$124,"Insurance",SP!$C$5:$C$124,"Property",SP!$N$5:$N$124,"Urgent")</f>
        <v/>
      </c>
      <c r="D109" s="12">
        <f>COUNTIFS(SP!$B$5:$B$124,"Insurance",SP!$C$5:$C$124,"Property",SP!$N$5:$N$124,"Due soon")</f>
        <v/>
      </c>
      <c r="E109" s="12">
        <f>COUNTIFS(SP!$B$5:$B$124,"Insurance",SP!$C$5:$C$124,"Property",SP!$N$5:$N$124,"OK")</f>
        <v/>
      </c>
      <c r="F109" s="12">
        <f>COUNTIFS(SP!$B$5:$B$124,"Insurance",SP!$C$5:$C$124,"Property",SP!$N$5:$N$124,"No date")</f>
        <v/>
      </c>
      <c r="G109" s="12">
        <f>COUNTIFS(SP!$B$5:$B$124,"Insurance",SP!$C$5:$C$124,"Property",SP!$D$5:$D$124,"?*")</f>
        <v/>
      </c>
    </row>
    <row r="110">
      <c r="A110" s="11" t="inlineStr">
        <is>
          <t xml:space="preserve">      Contract - Management</t>
        </is>
      </c>
      <c r="B110" s="12">
        <f>COUNTIFS(SP!$B$5:$B$124,"Contract - Management",SP!$C$5:$C$124,"Property",SP!$N$5:$N$124,"Expired")</f>
        <v/>
      </c>
      <c r="C110" s="12">
        <f>COUNTIFS(SP!$B$5:$B$124,"Contract - Management",SP!$C$5:$C$124,"Property",SP!$N$5:$N$124,"Urgent")</f>
        <v/>
      </c>
      <c r="D110" s="12">
        <f>COUNTIFS(SP!$B$5:$B$124,"Contract - Management",SP!$C$5:$C$124,"Property",SP!$N$5:$N$124,"Due soon")</f>
        <v/>
      </c>
      <c r="E110" s="12">
        <f>COUNTIFS(SP!$B$5:$B$124,"Contract - Management",SP!$C$5:$C$124,"Property",SP!$N$5:$N$124,"OK")</f>
        <v/>
      </c>
      <c r="F110" s="12">
        <f>COUNTIFS(SP!$B$5:$B$124,"Contract - Management",SP!$C$5:$C$124,"Property",SP!$N$5:$N$124,"No date")</f>
        <v/>
      </c>
      <c r="G110" s="12">
        <f>COUNTIFS(SP!$B$5:$B$124,"Contract - Management",SP!$C$5:$C$124,"Property",SP!$D$5:$D$124,"?*")</f>
        <v/>
      </c>
    </row>
    <row r="111">
      <c r="A111" s="11" t="inlineStr">
        <is>
          <t xml:space="preserve">      Contract - OTA</t>
        </is>
      </c>
      <c r="B111" s="12">
        <f>COUNTIFS(SP!$B$5:$B$124,"Contract - OTA",SP!$C$5:$C$124,"Property",SP!$N$5:$N$124,"Expired")</f>
        <v/>
      </c>
      <c r="C111" s="12">
        <f>COUNTIFS(SP!$B$5:$B$124,"Contract - OTA",SP!$C$5:$C$124,"Property",SP!$N$5:$N$124,"Urgent")</f>
        <v/>
      </c>
      <c r="D111" s="12">
        <f>COUNTIFS(SP!$B$5:$B$124,"Contract - OTA",SP!$C$5:$C$124,"Property",SP!$N$5:$N$124,"Due soon")</f>
        <v/>
      </c>
      <c r="E111" s="12">
        <f>COUNTIFS(SP!$B$5:$B$124,"Contract - OTA",SP!$C$5:$C$124,"Property",SP!$N$5:$N$124,"OK")</f>
        <v/>
      </c>
      <c r="F111" s="12">
        <f>COUNTIFS(SP!$B$5:$B$124,"Contract - OTA",SP!$C$5:$C$124,"Property",SP!$N$5:$N$124,"No date")</f>
        <v/>
      </c>
      <c r="G111" s="12">
        <f>COUNTIFS(SP!$B$5:$B$124,"Contract - OTA",SP!$C$5:$C$124,"Property",SP!$D$5:$D$124,"?*")</f>
        <v/>
      </c>
    </row>
    <row r="112">
      <c r="A112" s="11" t="inlineStr">
        <is>
          <t xml:space="preserve">      Contract - Service</t>
        </is>
      </c>
      <c r="B112" s="12">
        <f>COUNTIFS(SP!$B$5:$B$124,"Contract - Service",SP!$C$5:$C$124,"Property",SP!$N$5:$N$124,"Expired")</f>
        <v/>
      </c>
      <c r="C112" s="12">
        <f>COUNTIFS(SP!$B$5:$B$124,"Contract - Service",SP!$C$5:$C$124,"Property",SP!$N$5:$N$124,"Urgent")</f>
        <v/>
      </c>
      <c r="D112" s="12">
        <f>COUNTIFS(SP!$B$5:$B$124,"Contract - Service",SP!$C$5:$C$124,"Property",SP!$N$5:$N$124,"Due soon")</f>
        <v/>
      </c>
      <c r="E112" s="12">
        <f>COUNTIFS(SP!$B$5:$B$124,"Contract - Service",SP!$C$5:$C$124,"Property",SP!$N$5:$N$124,"OK")</f>
        <v/>
      </c>
      <c r="F112" s="12">
        <f>COUNTIFS(SP!$B$5:$B$124,"Contract - Service",SP!$C$5:$C$124,"Property",SP!$N$5:$N$124,"No date")</f>
        <v/>
      </c>
      <c r="G112" s="12">
        <f>COUNTIFS(SP!$B$5:$B$124,"Contract - Service",SP!$C$5:$C$124,"Property",SP!$D$5:$D$124,"?*")</f>
        <v/>
      </c>
    </row>
    <row r="113">
      <c r="A113" s="11" t="inlineStr">
        <is>
          <t xml:space="preserve">      Contract - Utility</t>
        </is>
      </c>
      <c r="B113" s="12">
        <f>COUNTIFS(SP!$B$5:$B$124,"Contract - Utility",SP!$C$5:$C$124,"Property",SP!$N$5:$N$124,"Expired")</f>
        <v/>
      </c>
      <c r="C113" s="12">
        <f>COUNTIFS(SP!$B$5:$B$124,"Contract - Utility",SP!$C$5:$C$124,"Property",SP!$N$5:$N$124,"Urgent")</f>
        <v/>
      </c>
      <c r="D113" s="12">
        <f>COUNTIFS(SP!$B$5:$B$124,"Contract - Utility",SP!$C$5:$C$124,"Property",SP!$N$5:$N$124,"Due soon")</f>
        <v/>
      </c>
      <c r="E113" s="12">
        <f>COUNTIFS(SP!$B$5:$B$124,"Contract - Utility",SP!$C$5:$C$124,"Property",SP!$N$5:$N$124,"OK")</f>
        <v/>
      </c>
      <c r="F113" s="12">
        <f>COUNTIFS(SP!$B$5:$B$124,"Contract - Utility",SP!$C$5:$C$124,"Property",SP!$N$5:$N$124,"No date")</f>
        <v/>
      </c>
      <c r="G113" s="12">
        <f>COUNTIFS(SP!$B$5:$B$124,"Contract - Utility",SP!$C$5:$C$124,"Property",SP!$D$5:$D$124,"?*")</f>
        <v/>
      </c>
    </row>
    <row r="114">
      <c r="A114" s="11" t="inlineStr">
        <is>
          <t xml:space="preserve">      Contract - Lease / Finance</t>
        </is>
      </c>
      <c r="B114" s="12">
        <f>COUNTIFS(SP!$B$5:$B$124,"Contract - Lease / Finance",SP!$C$5:$C$124,"Property",SP!$N$5:$N$124,"Expired")</f>
        <v/>
      </c>
      <c r="C114" s="12">
        <f>COUNTIFS(SP!$B$5:$B$124,"Contract - Lease / Finance",SP!$C$5:$C$124,"Property",SP!$N$5:$N$124,"Urgent")</f>
        <v/>
      </c>
      <c r="D114" s="12">
        <f>COUNTIFS(SP!$B$5:$B$124,"Contract - Lease / Finance",SP!$C$5:$C$124,"Property",SP!$N$5:$N$124,"Due soon")</f>
        <v/>
      </c>
      <c r="E114" s="12">
        <f>COUNTIFS(SP!$B$5:$B$124,"Contract - Lease / Finance",SP!$C$5:$C$124,"Property",SP!$N$5:$N$124,"OK")</f>
        <v/>
      </c>
      <c r="F114" s="12">
        <f>COUNTIFS(SP!$B$5:$B$124,"Contract - Lease / Finance",SP!$C$5:$C$124,"Property",SP!$N$5:$N$124,"No date")</f>
        <v/>
      </c>
      <c r="G114" s="12">
        <f>COUNTIFS(SP!$B$5:$B$124,"Contract - Lease / Finance",SP!$C$5:$C$124,"Property",SP!$D$5:$D$124,"?*")</f>
        <v/>
      </c>
    </row>
    <row r="115">
      <c r="A115" s="13" t="inlineStr">
        <is>
          <t>SP total</t>
        </is>
      </c>
      <c r="B115" s="14">
        <f>SUM(B104:B114)</f>
        <v/>
      </c>
      <c r="C115" s="14">
        <f>SUM(C104:C114)</f>
        <v/>
      </c>
      <c r="D115" s="14">
        <f>SUM(D104:D114)</f>
        <v/>
      </c>
      <c r="E115" s="14">
        <f>SUM(E104:E114)</f>
        <v/>
      </c>
      <c r="F115" s="14">
        <f>SUM(F104:F114)</f>
        <v/>
      </c>
      <c r="G115" s="14">
        <f>SUM(G104:G114)</f>
        <v/>
      </c>
      <c r="I115" s="15">
        <f>IF(G115=COUNTIFS(SP!$C$5:$C$124,"Property",SP!$D$5:$D$124,"?*"),"✓","CHECK — categories ≠ tab")</f>
        <v/>
      </c>
    </row>
    <row r="116">
      <c r="A116" s="21" t="inlineStr">
        <is>
          <t>PROPERTY TOTAL</t>
        </is>
      </c>
      <c r="B116" s="22">
        <f>B76+B89+B102+B115</f>
        <v/>
      </c>
      <c r="C116" s="22">
        <f>C76+C89+C102+C115</f>
        <v/>
      </c>
      <c r="D116" s="22">
        <f>D76+D89+D102+D115</f>
        <v/>
      </c>
      <c r="E116" s="22">
        <f>E76+E89+E102+E115</f>
        <v/>
      </c>
      <c r="F116" s="22">
        <f>F76+F89+F102+F115</f>
        <v/>
      </c>
      <c r="G116" s="22">
        <f>G76+G89+G102+G115</f>
        <v/>
      </c>
    </row>
    <row r="118">
      <c r="A118" s="23" t="inlineStr">
        <is>
          <t>NOT ASSIGNED — no Renew by chosen yet / ยังไม่ได้ระบุผู้รับผิดชอบ</t>
        </is>
      </c>
    </row>
    <row r="119" ht="30" customHeight="1">
      <c r="A119" s="24" t="inlineStr">
        <is>
          <t>Hotel</t>
        </is>
      </c>
      <c r="B119" s="24" t="inlineStr">
        <is>
          <t>Expired</t>
        </is>
      </c>
      <c r="C119" s="24" t="inlineStr">
        <is>
          <t>Urgent (≤30 d)</t>
        </is>
      </c>
      <c r="D119" s="24" t="inlineStr">
        <is>
          <t>Due soon (≤90 d)</t>
        </is>
      </c>
      <c r="E119" s="24" t="inlineStr">
        <is>
          <t>OK</t>
        </is>
      </c>
      <c r="F119" s="24" t="inlineStr">
        <is>
          <t>No date</t>
        </is>
      </c>
      <c r="G119" s="24" t="inlineStr">
        <is>
          <t>Total</t>
        </is>
      </c>
    </row>
    <row r="120">
      <c r="A120" s="13" t="inlineStr">
        <is>
          <t>SR9</t>
        </is>
      </c>
      <c r="B120" s="12">
        <f>COUNTIFS(SR9!$C$5:$C$124,"",SR9!$N$5:$N$124,"Expired")</f>
        <v/>
      </c>
      <c r="C120" s="12">
        <f>COUNTIFS(SR9!$C$5:$C$124,"",SR9!$N$5:$N$124,"Urgent")</f>
        <v/>
      </c>
      <c r="D120" s="12">
        <f>COUNTIFS(SR9!$C$5:$C$124,"",SR9!$N$5:$N$124,"Due soon")</f>
        <v/>
      </c>
      <c r="E120" s="12">
        <f>COUNTIFS(SR9!$C$5:$C$124,"",SR9!$N$5:$N$124,"OK")</f>
        <v/>
      </c>
      <c r="F120" s="12">
        <f>COUNTIFS(SR9!$C$5:$C$124,"",SR9!$N$5:$N$124,"No date")</f>
        <v/>
      </c>
      <c r="G120" s="12">
        <f>COUNTIFS(SR9!$C$5:$C$124,"",SR9!$D$5:$D$124,"?*")</f>
        <v/>
      </c>
      <c r="I120" s="25" t="inlineStr">
        <is>
          <t>Somerset Rama 9 Bangkok</t>
        </is>
      </c>
    </row>
    <row r="121">
      <c r="A121" s="13" t="inlineStr">
        <is>
          <t>AES</t>
        </is>
      </c>
      <c r="B121" s="12">
        <f>COUNTIFS(AES!$C$5:$C$124,"",AES!$N$5:$N$124,"Expired")</f>
        <v/>
      </c>
      <c r="C121" s="12">
        <f>COUNTIFS(AES!$C$5:$C$124,"",AES!$N$5:$N$124,"Urgent")</f>
        <v/>
      </c>
      <c r="D121" s="12">
        <f>COUNTIFS(AES!$C$5:$C$124,"",AES!$N$5:$N$124,"Due soon")</f>
        <v/>
      </c>
      <c r="E121" s="12">
        <f>COUNTIFS(AES!$C$5:$C$124,"",AES!$N$5:$N$124,"OK")</f>
        <v/>
      </c>
      <c r="F121" s="12">
        <f>COUNTIFS(AES!$C$5:$C$124,"",AES!$N$5:$N$124,"No date")</f>
        <v/>
      </c>
      <c r="G121" s="12">
        <f>COUNTIFS(AES!$C$5:$C$124,"",AES!$D$5:$D$124,"?*")</f>
        <v/>
      </c>
      <c r="I121" s="25" t="inlineStr">
        <is>
          <t>Ascott Embassy Sathorn Bangkok</t>
        </is>
      </c>
    </row>
    <row r="122">
      <c r="A122" s="13" t="inlineStr">
        <is>
          <t>LYF</t>
        </is>
      </c>
      <c r="B122" s="12">
        <f>COUNTIFS(LYF!$C$5:$C$124,"",LYF!$N$5:$N$124,"Expired")</f>
        <v/>
      </c>
      <c r="C122" s="12">
        <f>COUNTIFS(LYF!$C$5:$C$124,"",LYF!$N$5:$N$124,"Urgent")</f>
        <v/>
      </c>
      <c r="D122" s="12">
        <f>COUNTIFS(LYF!$C$5:$C$124,"",LYF!$N$5:$N$124,"Due soon")</f>
        <v/>
      </c>
      <c r="E122" s="12">
        <f>COUNTIFS(LYF!$C$5:$C$124,"",LYF!$N$5:$N$124,"OK")</f>
        <v/>
      </c>
      <c r="F122" s="12">
        <f>COUNTIFS(LYF!$C$5:$C$124,"",LYF!$N$5:$N$124,"No date")</f>
        <v/>
      </c>
      <c r="G122" s="12">
        <f>COUNTIFS(LYF!$C$5:$C$124,"",LYF!$D$5:$D$124,"?*")</f>
        <v/>
      </c>
      <c r="I122" s="25" t="inlineStr">
        <is>
          <t>lyf Sukhumvit 8 Bangkok</t>
        </is>
      </c>
    </row>
    <row r="123">
      <c r="A123" s="13" t="inlineStr">
        <is>
          <t>SP</t>
        </is>
      </c>
      <c r="B123" s="12">
        <f>COUNTIFS(SP!$C$5:$C$124,"",SP!$N$5:$N$124,"Expired")</f>
        <v/>
      </c>
      <c r="C123" s="12">
        <f>COUNTIFS(SP!$C$5:$C$124,"",SP!$N$5:$N$124,"Urgent")</f>
        <v/>
      </c>
      <c r="D123" s="12">
        <f>COUNTIFS(SP!$C$5:$C$124,"",SP!$N$5:$N$124,"Due soon")</f>
        <v/>
      </c>
      <c r="E123" s="12">
        <f>COUNTIFS(SP!$C$5:$C$124,"",SP!$N$5:$N$124,"OK")</f>
        <v/>
      </c>
      <c r="F123" s="12">
        <f>COUNTIFS(SP!$C$5:$C$124,"",SP!$N$5:$N$124,"No date")</f>
        <v/>
      </c>
      <c r="G123" s="12">
        <f>COUNTIFS(SP!$C$5:$C$124,"",SP!$D$5:$D$124,"?*")</f>
        <v/>
      </c>
      <c r="I123" s="25" t="inlineStr">
        <is>
          <t>Somerset Pattaya</t>
        </is>
      </c>
    </row>
    <row r="124">
      <c r="A124" s="13" t="inlineStr">
        <is>
          <t>NOT ASSIGNED TOTAL</t>
        </is>
      </c>
      <c r="B124" s="14">
        <f>SUM(B120:B123)</f>
        <v/>
      </c>
      <c r="C124" s="14">
        <f>SUM(C120:C123)</f>
        <v/>
      </c>
      <c r="D124" s="14">
        <f>SUM(D120:D123)</f>
        <v/>
      </c>
      <c r="E124" s="14">
        <f>SUM(E120:E123)</f>
        <v/>
      </c>
      <c r="F124" s="14">
        <f>SUM(F120:F123)</f>
        <v/>
      </c>
      <c r="G124" s="14">
        <f>SUM(G120:G123)</f>
        <v/>
      </c>
    </row>
    <row r="126">
      <c r="A126" s="16" t="inlineStr">
        <is>
          <t>ALL</t>
        </is>
      </c>
      <c r="B126" s="17">
        <f>B60+B116+B124</f>
        <v/>
      </c>
      <c r="C126" s="17">
        <f>C60+C116+C124</f>
        <v/>
      </c>
      <c r="D126" s="17">
        <f>D60+D116+D124</f>
        <v/>
      </c>
      <c r="E126" s="17">
        <f>E60+E116+E124</f>
        <v/>
      </c>
      <c r="F126" s="17">
        <f>F60+F116+F124</f>
        <v/>
      </c>
      <c r="G126" s="17">
        <f>G60+G116+G124</f>
        <v/>
      </c>
      <c r="I126" s="4" t="inlineStr">
        <is>
          <t>Owner + Property + Not assigned = every row on the 4 hotel tabs</t>
        </is>
      </c>
    </row>
    <row r="128">
      <c r="A128" s="7" t="inlineStr">
        <is>
          <t>Expiring next — soonest first, all hotels together</t>
        </is>
      </c>
    </row>
    <row r="129">
      <c r="A129" s="26" t="inlineStr">
        <is>
          <t>Hotel</t>
        </is>
      </c>
      <c r="B129" s="26" t="inlineStr">
        <is>
          <t>Renew by</t>
        </is>
      </c>
      <c r="C129" s="26" t="inlineStr">
        <is>
          <t>Document type</t>
        </is>
      </c>
      <c r="D129" s="26" t="inlineStr">
        <is>
          <t>Item</t>
        </is>
      </c>
      <c r="E129" s="26" t="inlineStr">
        <is>
          <t>Counterparty</t>
        </is>
      </c>
      <c r="F129" s="26" t="inlineStr">
        <is>
          <t>Expiry date</t>
        </is>
      </c>
      <c r="G129" s="26" t="inlineStr">
        <is>
          <t>Days left</t>
        </is>
      </c>
      <c r="H129" s="26" t="inlineStr">
        <is>
          <t>Status</t>
        </is>
      </c>
      <c r="I129" s="26" t="inlineStr">
        <is>
          <t>Responsible</t>
        </is>
      </c>
    </row>
    <row r="130">
      <c r="A130" s="27">
        <f>IFERROR(INDEX(Feed!$A$2:$A$481,MATCH(SMALL(Feed!$J$2:$J$481,ROW()-129),Feed!$J$2:$J$481,0)),"")</f>
        <v/>
      </c>
      <c r="B130" s="27">
        <f>IFERROR(INDEX(Feed!$B$2:$B$481,MATCH(SMALL(Feed!$J$2:$J$481,ROW()-129),Feed!$J$2:$J$481,0)),"")</f>
        <v/>
      </c>
      <c r="C130" s="28">
        <f>IFERROR(INDEX(Feed!$C$2:$C$481,MATCH(SMALL(Feed!$J$2:$J$481,ROW()-129),Feed!$J$2:$J$481,0)),"")</f>
        <v/>
      </c>
      <c r="D130" s="28">
        <f>IFERROR(INDEX(Feed!$D$2:$D$481,MATCH(SMALL(Feed!$J$2:$J$481,ROW()-129),Feed!$J$2:$J$481,0)),"")</f>
        <v/>
      </c>
      <c r="E130" s="28">
        <f>IFERROR(INDEX(Feed!$E$2:$E$481,MATCH(SMALL(Feed!$J$2:$J$481,ROW()-129),Feed!$J$2:$J$481,0)),"")</f>
        <v/>
      </c>
      <c r="F130" s="29">
        <f>IFERROR(INDEX(Feed!$F$2:$F$481,MATCH(SMALL(Feed!$J$2:$J$481,ROW()-129),Feed!$J$2:$J$481,0)),"")</f>
        <v/>
      </c>
      <c r="G130" s="27">
        <f>IFERROR(INDEX(Feed!$G$2:$G$481,MATCH(SMALL(Feed!$J$2:$J$481,ROW()-129),Feed!$J$2:$J$481,0)),"")</f>
        <v/>
      </c>
      <c r="H130" s="27">
        <f>IFERROR(INDEX(Feed!$H$2:$H$481,MATCH(SMALL(Feed!$J$2:$J$481,ROW()-129),Feed!$J$2:$J$481,0)),"")</f>
        <v/>
      </c>
      <c r="I130" s="30">
        <f>IFERROR(INDEX(Feed!$I$2:$I$481,MATCH(SMALL(Feed!$J$2:$J$481,ROW()-129),Feed!$J$2:$J$481,0)),"")</f>
        <v/>
      </c>
    </row>
    <row r="131">
      <c r="A131" s="27">
        <f>IFERROR(INDEX(Feed!$A$2:$A$481,MATCH(SMALL(Feed!$J$2:$J$481,ROW()-129),Feed!$J$2:$J$481,0)),"")</f>
        <v/>
      </c>
      <c r="B131" s="27">
        <f>IFERROR(INDEX(Feed!$B$2:$B$481,MATCH(SMALL(Feed!$J$2:$J$481,ROW()-129),Feed!$J$2:$J$481,0)),"")</f>
        <v/>
      </c>
      <c r="C131" s="28">
        <f>IFERROR(INDEX(Feed!$C$2:$C$481,MATCH(SMALL(Feed!$J$2:$J$481,ROW()-129),Feed!$J$2:$J$481,0)),"")</f>
        <v/>
      </c>
      <c r="D131" s="28">
        <f>IFERROR(INDEX(Feed!$D$2:$D$481,MATCH(SMALL(Feed!$J$2:$J$481,ROW()-129),Feed!$J$2:$J$481,0)),"")</f>
        <v/>
      </c>
      <c r="E131" s="28">
        <f>IFERROR(INDEX(Feed!$E$2:$E$481,MATCH(SMALL(Feed!$J$2:$J$481,ROW()-129),Feed!$J$2:$J$481,0)),"")</f>
        <v/>
      </c>
      <c r="F131" s="29">
        <f>IFERROR(INDEX(Feed!$F$2:$F$481,MATCH(SMALL(Feed!$J$2:$J$481,ROW()-129),Feed!$J$2:$J$481,0)),"")</f>
        <v/>
      </c>
      <c r="G131" s="27">
        <f>IFERROR(INDEX(Feed!$G$2:$G$481,MATCH(SMALL(Feed!$J$2:$J$481,ROW()-129),Feed!$J$2:$J$481,0)),"")</f>
        <v/>
      </c>
      <c r="H131" s="27">
        <f>IFERROR(INDEX(Feed!$H$2:$H$481,MATCH(SMALL(Feed!$J$2:$J$481,ROW()-129),Feed!$J$2:$J$481,0)),"")</f>
        <v/>
      </c>
      <c r="I131" s="30">
        <f>IFERROR(INDEX(Feed!$I$2:$I$481,MATCH(SMALL(Feed!$J$2:$J$481,ROW()-129),Feed!$J$2:$J$481,0)),"")</f>
        <v/>
      </c>
    </row>
    <row r="132">
      <c r="A132" s="27">
        <f>IFERROR(INDEX(Feed!$A$2:$A$481,MATCH(SMALL(Feed!$J$2:$J$481,ROW()-129),Feed!$J$2:$J$481,0)),"")</f>
        <v/>
      </c>
      <c r="B132" s="27">
        <f>IFERROR(INDEX(Feed!$B$2:$B$481,MATCH(SMALL(Feed!$J$2:$J$481,ROW()-129),Feed!$J$2:$J$481,0)),"")</f>
        <v/>
      </c>
      <c r="C132" s="28">
        <f>IFERROR(INDEX(Feed!$C$2:$C$481,MATCH(SMALL(Feed!$J$2:$J$481,ROW()-129),Feed!$J$2:$J$481,0)),"")</f>
        <v/>
      </c>
      <c r="D132" s="28">
        <f>IFERROR(INDEX(Feed!$D$2:$D$481,MATCH(SMALL(Feed!$J$2:$J$481,ROW()-129),Feed!$J$2:$J$481,0)),"")</f>
        <v/>
      </c>
      <c r="E132" s="28">
        <f>IFERROR(INDEX(Feed!$E$2:$E$481,MATCH(SMALL(Feed!$J$2:$J$481,ROW()-129),Feed!$J$2:$J$481,0)),"")</f>
        <v/>
      </c>
      <c r="F132" s="29">
        <f>IFERROR(INDEX(Feed!$F$2:$F$481,MATCH(SMALL(Feed!$J$2:$J$481,ROW()-129),Feed!$J$2:$J$481,0)),"")</f>
        <v/>
      </c>
      <c r="G132" s="27">
        <f>IFERROR(INDEX(Feed!$G$2:$G$481,MATCH(SMALL(Feed!$J$2:$J$481,ROW()-129),Feed!$J$2:$J$481,0)),"")</f>
        <v/>
      </c>
      <c r="H132" s="27">
        <f>IFERROR(INDEX(Feed!$H$2:$H$481,MATCH(SMALL(Feed!$J$2:$J$481,ROW()-129),Feed!$J$2:$J$481,0)),"")</f>
        <v/>
      </c>
      <c r="I132" s="30">
        <f>IFERROR(INDEX(Feed!$I$2:$I$481,MATCH(SMALL(Feed!$J$2:$J$481,ROW()-129),Feed!$J$2:$J$481,0)),"")</f>
        <v/>
      </c>
    </row>
    <row r="133">
      <c r="A133" s="27">
        <f>IFERROR(INDEX(Feed!$A$2:$A$481,MATCH(SMALL(Feed!$J$2:$J$481,ROW()-129),Feed!$J$2:$J$481,0)),"")</f>
        <v/>
      </c>
      <c r="B133" s="27">
        <f>IFERROR(INDEX(Feed!$B$2:$B$481,MATCH(SMALL(Feed!$J$2:$J$481,ROW()-129),Feed!$J$2:$J$481,0)),"")</f>
        <v/>
      </c>
      <c r="C133" s="28">
        <f>IFERROR(INDEX(Feed!$C$2:$C$481,MATCH(SMALL(Feed!$J$2:$J$481,ROW()-129),Feed!$J$2:$J$481,0)),"")</f>
        <v/>
      </c>
      <c r="D133" s="28">
        <f>IFERROR(INDEX(Feed!$D$2:$D$481,MATCH(SMALL(Feed!$J$2:$J$481,ROW()-129),Feed!$J$2:$J$481,0)),"")</f>
        <v/>
      </c>
      <c r="E133" s="28">
        <f>IFERROR(INDEX(Feed!$E$2:$E$481,MATCH(SMALL(Feed!$J$2:$J$481,ROW()-129),Feed!$J$2:$J$481,0)),"")</f>
        <v/>
      </c>
      <c r="F133" s="29">
        <f>IFERROR(INDEX(Feed!$F$2:$F$481,MATCH(SMALL(Feed!$J$2:$J$481,ROW()-129),Feed!$J$2:$J$481,0)),"")</f>
        <v/>
      </c>
      <c r="G133" s="27">
        <f>IFERROR(INDEX(Feed!$G$2:$G$481,MATCH(SMALL(Feed!$J$2:$J$481,ROW()-129),Feed!$J$2:$J$481,0)),"")</f>
        <v/>
      </c>
      <c r="H133" s="27">
        <f>IFERROR(INDEX(Feed!$H$2:$H$481,MATCH(SMALL(Feed!$J$2:$J$481,ROW()-129),Feed!$J$2:$J$481,0)),"")</f>
        <v/>
      </c>
      <c r="I133" s="30">
        <f>IFERROR(INDEX(Feed!$I$2:$I$481,MATCH(SMALL(Feed!$J$2:$J$481,ROW()-129),Feed!$J$2:$J$481,0)),"")</f>
        <v/>
      </c>
    </row>
    <row r="134">
      <c r="A134" s="27">
        <f>IFERROR(INDEX(Feed!$A$2:$A$481,MATCH(SMALL(Feed!$J$2:$J$481,ROW()-129),Feed!$J$2:$J$481,0)),"")</f>
        <v/>
      </c>
      <c r="B134" s="27">
        <f>IFERROR(INDEX(Feed!$B$2:$B$481,MATCH(SMALL(Feed!$J$2:$J$481,ROW()-129),Feed!$J$2:$J$481,0)),"")</f>
        <v/>
      </c>
      <c r="C134" s="28">
        <f>IFERROR(INDEX(Feed!$C$2:$C$481,MATCH(SMALL(Feed!$J$2:$J$481,ROW()-129),Feed!$J$2:$J$481,0)),"")</f>
        <v/>
      </c>
      <c r="D134" s="28">
        <f>IFERROR(INDEX(Feed!$D$2:$D$481,MATCH(SMALL(Feed!$J$2:$J$481,ROW()-129),Feed!$J$2:$J$481,0)),"")</f>
        <v/>
      </c>
      <c r="E134" s="28">
        <f>IFERROR(INDEX(Feed!$E$2:$E$481,MATCH(SMALL(Feed!$J$2:$J$481,ROW()-129),Feed!$J$2:$J$481,0)),"")</f>
        <v/>
      </c>
      <c r="F134" s="29">
        <f>IFERROR(INDEX(Feed!$F$2:$F$481,MATCH(SMALL(Feed!$J$2:$J$481,ROW()-129),Feed!$J$2:$J$481,0)),"")</f>
        <v/>
      </c>
      <c r="G134" s="27">
        <f>IFERROR(INDEX(Feed!$G$2:$G$481,MATCH(SMALL(Feed!$J$2:$J$481,ROW()-129),Feed!$J$2:$J$481,0)),"")</f>
        <v/>
      </c>
      <c r="H134" s="27">
        <f>IFERROR(INDEX(Feed!$H$2:$H$481,MATCH(SMALL(Feed!$J$2:$J$481,ROW()-129),Feed!$J$2:$J$481,0)),"")</f>
        <v/>
      </c>
      <c r="I134" s="30">
        <f>IFERROR(INDEX(Feed!$I$2:$I$481,MATCH(SMALL(Feed!$J$2:$J$481,ROW()-129),Feed!$J$2:$J$481,0)),"")</f>
        <v/>
      </c>
    </row>
    <row r="135">
      <c r="A135" s="27">
        <f>IFERROR(INDEX(Feed!$A$2:$A$481,MATCH(SMALL(Feed!$J$2:$J$481,ROW()-129),Feed!$J$2:$J$481,0)),"")</f>
        <v/>
      </c>
      <c r="B135" s="27">
        <f>IFERROR(INDEX(Feed!$B$2:$B$481,MATCH(SMALL(Feed!$J$2:$J$481,ROW()-129),Feed!$J$2:$J$481,0)),"")</f>
        <v/>
      </c>
      <c r="C135" s="28">
        <f>IFERROR(INDEX(Feed!$C$2:$C$481,MATCH(SMALL(Feed!$J$2:$J$481,ROW()-129),Feed!$J$2:$J$481,0)),"")</f>
        <v/>
      </c>
      <c r="D135" s="28">
        <f>IFERROR(INDEX(Feed!$D$2:$D$481,MATCH(SMALL(Feed!$J$2:$J$481,ROW()-129),Feed!$J$2:$J$481,0)),"")</f>
        <v/>
      </c>
      <c r="E135" s="28">
        <f>IFERROR(INDEX(Feed!$E$2:$E$481,MATCH(SMALL(Feed!$J$2:$J$481,ROW()-129),Feed!$J$2:$J$481,0)),"")</f>
        <v/>
      </c>
      <c r="F135" s="29">
        <f>IFERROR(INDEX(Feed!$F$2:$F$481,MATCH(SMALL(Feed!$J$2:$J$481,ROW()-129),Feed!$J$2:$J$481,0)),"")</f>
        <v/>
      </c>
      <c r="G135" s="27">
        <f>IFERROR(INDEX(Feed!$G$2:$G$481,MATCH(SMALL(Feed!$J$2:$J$481,ROW()-129),Feed!$J$2:$J$481,0)),"")</f>
        <v/>
      </c>
      <c r="H135" s="27">
        <f>IFERROR(INDEX(Feed!$H$2:$H$481,MATCH(SMALL(Feed!$J$2:$J$481,ROW()-129),Feed!$J$2:$J$481,0)),"")</f>
        <v/>
      </c>
      <c r="I135" s="30">
        <f>IFERROR(INDEX(Feed!$I$2:$I$481,MATCH(SMALL(Feed!$J$2:$J$481,ROW()-129),Feed!$J$2:$J$481,0)),"")</f>
        <v/>
      </c>
    </row>
    <row r="136">
      <c r="A136" s="27">
        <f>IFERROR(INDEX(Feed!$A$2:$A$481,MATCH(SMALL(Feed!$J$2:$J$481,ROW()-129),Feed!$J$2:$J$481,0)),"")</f>
        <v/>
      </c>
      <c r="B136" s="27">
        <f>IFERROR(INDEX(Feed!$B$2:$B$481,MATCH(SMALL(Feed!$J$2:$J$481,ROW()-129),Feed!$J$2:$J$481,0)),"")</f>
        <v/>
      </c>
      <c r="C136" s="28">
        <f>IFERROR(INDEX(Feed!$C$2:$C$481,MATCH(SMALL(Feed!$J$2:$J$481,ROW()-129),Feed!$J$2:$J$481,0)),"")</f>
        <v/>
      </c>
      <c r="D136" s="28">
        <f>IFERROR(INDEX(Feed!$D$2:$D$481,MATCH(SMALL(Feed!$J$2:$J$481,ROW()-129),Feed!$J$2:$J$481,0)),"")</f>
        <v/>
      </c>
      <c r="E136" s="28">
        <f>IFERROR(INDEX(Feed!$E$2:$E$481,MATCH(SMALL(Feed!$J$2:$J$481,ROW()-129),Feed!$J$2:$J$481,0)),"")</f>
        <v/>
      </c>
      <c r="F136" s="29">
        <f>IFERROR(INDEX(Feed!$F$2:$F$481,MATCH(SMALL(Feed!$J$2:$J$481,ROW()-129),Feed!$J$2:$J$481,0)),"")</f>
        <v/>
      </c>
      <c r="G136" s="27">
        <f>IFERROR(INDEX(Feed!$G$2:$G$481,MATCH(SMALL(Feed!$J$2:$J$481,ROW()-129),Feed!$J$2:$J$481,0)),"")</f>
        <v/>
      </c>
      <c r="H136" s="27">
        <f>IFERROR(INDEX(Feed!$H$2:$H$481,MATCH(SMALL(Feed!$J$2:$J$481,ROW()-129),Feed!$J$2:$J$481,0)),"")</f>
        <v/>
      </c>
      <c r="I136" s="30">
        <f>IFERROR(INDEX(Feed!$I$2:$I$481,MATCH(SMALL(Feed!$J$2:$J$481,ROW()-129),Feed!$J$2:$J$481,0)),"")</f>
        <v/>
      </c>
    </row>
    <row r="137">
      <c r="A137" s="27">
        <f>IFERROR(INDEX(Feed!$A$2:$A$481,MATCH(SMALL(Feed!$J$2:$J$481,ROW()-129),Feed!$J$2:$J$481,0)),"")</f>
        <v/>
      </c>
      <c r="B137" s="27">
        <f>IFERROR(INDEX(Feed!$B$2:$B$481,MATCH(SMALL(Feed!$J$2:$J$481,ROW()-129),Feed!$J$2:$J$481,0)),"")</f>
        <v/>
      </c>
      <c r="C137" s="28">
        <f>IFERROR(INDEX(Feed!$C$2:$C$481,MATCH(SMALL(Feed!$J$2:$J$481,ROW()-129),Feed!$J$2:$J$481,0)),"")</f>
        <v/>
      </c>
      <c r="D137" s="28">
        <f>IFERROR(INDEX(Feed!$D$2:$D$481,MATCH(SMALL(Feed!$J$2:$J$481,ROW()-129),Feed!$J$2:$J$481,0)),"")</f>
        <v/>
      </c>
      <c r="E137" s="28">
        <f>IFERROR(INDEX(Feed!$E$2:$E$481,MATCH(SMALL(Feed!$J$2:$J$481,ROW()-129),Feed!$J$2:$J$481,0)),"")</f>
        <v/>
      </c>
      <c r="F137" s="29">
        <f>IFERROR(INDEX(Feed!$F$2:$F$481,MATCH(SMALL(Feed!$J$2:$J$481,ROW()-129),Feed!$J$2:$J$481,0)),"")</f>
        <v/>
      </c>
      <c r="G137" s="27">
        <f>IFERROR(INDEX(Feed!$G$2:$G$481,MATCH(SMALL(Feed!$J$2:$J$481,ROW()-129),Feed!$J$2:$J$481,0)),"")</f>
        <v/>
      </c>
      <c r="H137" s="27">
        <f>IFERROR(INDEX(Feed!$H$2:$H$481,MATCH(SMALL(Feed!$J$2:$J$481,ROW()-129),Feed!$J$2:$J$481,0)),"")</f>
        <v/>
      </c>
      <c r="I137" s="30">
        <f>IFERROR(INDEX(Feed!$I$2:$I$481,MATCH(SMALL(Feed!$J$2:$J$481,ROW()-129),Feed!$J$2:$J$481,0)),"")</f>
        <v/>
      </c>
    </row>
    <row r="138">
      <c r="A138" s="27">
        <f>IFERROR(INDEX(Feed!$A$2:$A$481,MATCH(SMALL(Feed!$J$2:$J$481,ROW()-129),Feed!$J$2:$J$481,0)),"")</f>
        <v/>
      </c>
      <c r="B138" s="27">
        <f>IFERROR(INDEX(Feed!$B$2:$B$481,MATCH(SMALL(Feed!$J$2:$J$481,ROW()-129),Feed!$J$2:$J$481,0)),"")</f>
        <v/>
      </c>
      <c r="C138" s="28">
        <f>IFERROR(INDEX(Feed!$C$2:$C$481,MATCH(SMALL(Feed!$J$2:$J$481,ROW()-129),Feed!$J$2:$J$481,0)),"")</f>
        <v/>
      </c>
      <c r="D138" s="28">
        <f>IFERROR(INDEX(Feed!$D$2:$D$481,MATCH(SMALL(Feed!$J$2:$J$481,ROW()-129),Feed!$J$2:$J$481,0)),"")</f>
        <v/>
      </c>
      <c r="E138" s="28">
        <f>IFERROR(INDEX(Feed!$E$2:$E$481,MATCH(SMALL(Feed!$J$2:$J$481,ROW()-129),Feed!$J$2:$J$481,0)),"")</f>
        <v/>
      </c>
      <c r="F138" s="29">
        <f>IFERROR(INDEX(Feed!$F$2:$F$481,MATCH(SMALL(Feed!$J$2:$J$481,ROW()-129),Feed!$J$2:$J$481,0)),"")</f>
        <v/>
      </c>
      <c r="G138" s="27">
        <f>IFERROR(INDEX(Feed!$G$2:$G$481,MATCH(SMALL(Feed!$J$2:$J$481,ROW()-129),Feed!$J$2:$J$481,0)),"")</f>
        <v/>
      </c>
      <c r="H138" s="27">
        <f>IFERROR(INDEX(Feed!$H$2:$H$481,MATCH(SMALL(Feed!$J$2:$J$481,ROW()-129),Feed!$J$2:$J$481,0)),"")</f>
        <v/>
      </c>
      <c r="I138" s="30">
        <f>IFERROR(INDEX(Feed!$I$2:$I$481,MATCH(SMALL(Feed!$J$2:$J$481,ROW()-129),Feed!$J$2:$J$481,0)),"")</f>
        <v/>
      </c>
    </row>
    <row r="139">
      <c r="A139" s="27">
        <f>IFERROR(INDEX(Feed!$A$2:$A$481,MATCH(SMALL(Feed!$J$2:$J$481,ROW()-129),Feed!$J$2:$J$481,0)),"")</f>
        <v/>
      </c>
      <c r="B139" s="27">
        <f>IFERROR(INDEX(Feed!$B$2:$B$481,MATCH(SMALL(Feed!$J$2:$J$481,ROW()-129),Feed!$J$2:$J$481,0)),"")</f>
        <v/>
      </c>
      <c r="C139" s="28">
        <f>IFERROR(INDEX(Feed!$C$2:$C$481,MATCH(SMALL(Feed!$J$2:$J$481,ROW()-129),Feed!$J$2:$J$481,0)),"")</f>
        <v/>
      </c>
      <c r="D139" s="28">
        <f>IFERROR(INDEX(Feed!$D$2:$D$481,MATCH(SMALL(Feed!$J$2:$J$481,ROW()-129),Feed!$J$2:$J$481,0)),"")</f>
        <v/>
      </c>
      <c r="E139" s="28">
        <f>IFERROR(INDEX(Feed!$E$2:$E$481,MATCH(SMALL(Feed!$J$2:$J$481,ROW()-129),Feed!$J$2:$J$481,0)),"")</f>
        <v/>
      </c>
      <c r="F139" s="29">
        <f>IFERROR(INDEX(Feed!$F$2:$F$481,MATCH(SMALL(Feed!$J$2:$J$481,ROW()-129),Feed!$J$2:$J$481,0)),"")</f>
        <v/>
      </c>
      <c r="G139" s="27">
        <f>IFERROR(INDEX(Feed!$G$2:$G$481,MATCH(SMALL(Feed!$J$2:$J$481,ROW()-129),Feed!$J$2:$J$481,0)),"")</f>
        <v/>
      </c>
      <c r="H139" s="27">
        <f>IFERROR(INDEX(Feed!$H$2:$H$481,MATCH(SMALL(Feed!$J$2:$J$481,ROW()-129),Feed!$J$2:$J$481,0)),"")</f>
        <v/>
      </c>
      <c r="I139" s="30">
        <f>IFERROR(INDEX(Feed!$I$2:$I$481,MATCH(SMALL(Feed!$J$2:$J$481,ROW()-129),Feed!$J$2:$J$481,0)),"")</f>
        <v/>
      </c>
    </row>
    <row r="140">
      <c r="A140" s="27">
        <f>IFERROR(INDEX(Feed!$A$2:$A$481,MATCH(SMALL(Feed!$J$2:$J$481,ROW()-129),Feed!$J$2:$J$481,0)),"")</f>
        <v/>
      </c>
      <c r="B140" s="27">
        <f>IFERROR(INDEX(Feed!$B$2:$B$481,MATCH(SMALL(Feed!$J$2:$J$481,ROW()-129),Feed!$J$2:$J$481,0)),"")</f>
        <v/>
      </c>
      <c r="C140" s="28">
        <f>IFERROR(INDEX(Feed!$C$2:$C$481,MATCH(SMALL(Feed!$J$2:$J$481,ROW()-129),Feed!$J$2:$J$481,0)),"")</f>
        <v/>
      </c>
      <c r="D140" s="28">
        <f>IFERROR(INDEX(Feed!$D$2:$D$481,MATCH(SMALL(Feed!$J$2:$J$481,ROW()-129),Feed!$J$2:$J$481,0)),"")</f>
        <v/>
      </c>
      <c r="E140" s="28">
        <f>IFERROR(INDEX(Feed!$E$2:$E$481,MATCH(SMALL(Feed!$J$2:$J$481,ROW()-129),Feed!$J$2:$J$481,0)),"")</f>
        <v/>
      </c>
      <c r="F140" s="29">
        <f>IFERROR(INDEX(Feed!$F$2:$F$481,MATCH(SMALL(Feed!$J$2:$J$481,ROW()-129),Feed!$J$2:$J$481,0)),"")</f>
        <v/>
      </c>
      <c r="G140" s="27">
        <f>IFERROR(INDEX(Feed!$G$2:$G$481,MATCH(SMALL(Feed!$J$2:$J$481,ROW()-129),Feed!$J$2:$J$481,0)),"")</f>
        <v/>
      </c>
      <c r="H140" s="27">
        <f>IFERROR(INDEX(Feed!$H$2:$H$481,MATCH(SMALL(Feed!$J$2:$J$481,ROW()-129),Feed!$J$2:$J$481,0)),"")</f>
        <v/>
      </c>
      <c r="I140" s="30">
        <f>IFERROR(INDEX(Feed!$I$2:$I$481,MATCH(SMALL(Feed!$J$2:$J$481,ROW()-129),Feed!$J$2:$J$481,0)),"")</f>
        <v/>
      </c>
    </row>
    <row r="141">
      <c r="A141" s="27">
        <f>IFERROR(INDEX(Feed!$A$2:$A$481,MATCH(SMALL(Feed!$J$2:$J$481,ROW()-129),Feed!$J$2:$J$481,0)),"")</f>
        <v/>
      </c>
      <c r="B141" s="27">
        <f>IFERROR(INDEX(Feed!$B$2:$B$481,MATCH(SMALL(Feed!$J$2:$J$481,ROW()-129),Feed!$J$2:$J$481,0)),"")</f>
        <v/>
      </c>
      <c r="C141" s="28">
        <f>IFERROR(INDEX(Feed!$C$2:$C$481,MATCH(SMALL(Feed!$J$2:$J$481,ROW()-129),Feed!$J$2:$J$481,0)),"")</f>
        <v/>
      </c>
      <c r="D141" s="28">
        <f>IFERROR(INDEX(Feed!$D$2:$D$481,MATCH(SMALL(Feed!$J$2:$J$481,ROW()-129),Feed!$J$2:$J$481,0)),"")</f>
        <v/>
      </c>
      <c r="E141" s="28">
        <f>IFERROR(INDEX(Feed!$E$2:$E$481,MATCH(SMALL(Feed!$J$2:$J$481,ROW()-129),Feed!$J$2:$J$481,0)),"")</f>
        <v/>
      </c>
      <c r="F141" s="29">
        <f>IFERROR(INDEX(Feed!$F$2:$F$481,MATCH(SMALL(Feed!$J$2:$J$481,ROW()-129),Feed!$J$2:$J$481,0)),"")</f>
        <v/>
      </c>
      <c r="G141" s="27">
        <f>IFERROR(INDEX(Feed!$G$2:$G$481,MATCH(SMALL(Feed!$J$2:$J$481,ROW()-129),Feed!$J$2:$J$481,0)),"")</f>
        <v/>
      </c>
      <c r="H141" s="27">
        <f>IFERROR(INDEX(Feed!$H$2:$H$481,MATCH(SMALL(Feed!$J$2:$J$481,ROW()-129),Feed!$J$2:$J$481,0)),"")</f>
        <v/>
      </c>
      <c r="I141" s="30">
        <f>IFERROR(INDEX(Feed!$I$2:$I$481,MATCH(SMALL(Feed!$J$2:$J$481,ROW()-129),Feed!$J$2:$J$481,0)),"")</f>
        <v/>
      </c>
    </row>
    <row r="142">
      <c r="A142" s="27">
        <f>IFERROR(INDEX(Feed!$A$2:$A$481,MATCH(SMALL(Feed!$J$2:$J$481,ROW()-129),Feed!$J$2:$J$481,0)),"")</f>
        <v/>
      </c>
      <c r="B142" s="27">
        <f>IFERROR(INDEX(Feed!$B$2:$B$481,MATCH(SMALL(Feed!$J$2:$J$481,ROW()-129),Feed!$J$2:$J$481,0)),"")</f>
        <v/>
      </c>
      <c r="C142" s="28">
        <f>IFERROR(INDEX(Feed!$C$2:$C$481,MATCH(SMALL(Feed!$J$2:$J$481,ROW()-129),Feed!$J$2:$J$481,0)),"")</f>
        <v/>
      </c>
      <c r="D142" s="28">
        <f>IFERROR(INDEX(Feed!$D$2:$D$481,MATCH(SMALL(Feed!$J$2:$J$481,ROW()-129),Feed!$J$2:$J$481,0)),"")</f>
        <v/>
      </c>
      <c r="E142" s="28">
        <f>IFERROR(INDEX(Feed!$E$2:$E$481,MATCH(SMALL(Feed!$J$2:$J$481,ROW()-129),Feed!$J$2:$J$481,0)),"")</f>
        <v/>
      </c>
      <c r="F142" s="29">
        <f>IFERROR(INDEX(Feed!$F$2:$F$481,MATCH(SMALL(Feed!$J$2:$J$481,ROW()-129),Feed!$J$2:$J$481,0)),"")</f>
        <v/>
      </c>
      <c r="G142" s="27">
        <f>IFERROR(INDEX(Feed!$G$2:$G$481,MATCH(SMALL(Feed!$J$2:$J$481,ROW()-129),Feed!$J$2:$J$481,0)),"")</f>
        <v/>
      </c>
      <c r="H142" s="27">
        <f>IFERROR(INDEX(Feed!$H$2:$H$481,MATCH(SMALL(Feed!$J$2:$J$481,ROW()-129),Feed!$J$2:$J$481,0)),"")</f>
        <v/>
      </c>
      <c r="I142" s="30">
        <f>IFERROR(INDEX(Feed!$I$2:$I$481,MATCH(SMALL(Feed!$J$2:$J$481,ROW()-129),Feed!$J$2:$J$481,0)),"")</f>
        <v/>
      </c>
    </row>
    <row r="143">
      <c r="A143" s="27">
        <f>IFERROR(INDEX(Feed!$A$2:$A$481,MATCH(SMALL(Feed!$J$2:$J$481,ROW()-129),Feed!$J$2:$J$481,0)),"")</f>
        <v/>
      </c>
      <c r="B143" s="27">
        <f>IFERROR(INDEX(Feed!$B$2:$B$481,MATCH(SMALL(Feed!$J$2:$J$481,ROW()-129),Feed!$J$2:$J$481,0)),"")</f>
        <v/>
      </c>
      <c r="C143" s="28">
        <f>IFERROR(INDEX(Feed!$C$2:$C$481,MATCH(SMALL(Feed!$J$2:$J$481,ROW()-129),Feed!$J$2:$J$481,0)),"")</f>
        <v/>
      </c>
      <c r="D143" s="28">
        <f>IFERROR(INDEX(Feed!$D$2:$D$481,MATCH(SMALL(Feed!$J$2:$J$481,ROW()-129),Feed!$J$2:$J$481,0)),"")</f>
        <v/>
      </c>
      <c r="E143" s="28">
        <f>IFERROR(INDEX(Feed!$E$2:$E$481,MATCH(SMALL(Feed!$J$2:$J$481,ROW()-129),Feed!$J$2:$J$481,0)),"")</f>
        <v/>
      </c>
      <c r="F143" s="29">
        <f>IFERROR(INDEX(Feed!$F$2:$F$481,MATCH(SMALL(Feed!$J$2:$J$481,ROW()-129),Feed!$J$2:$J$481,0)),"")</f>
        <v/>
      </c>
      <c r="G143" s="27">
        <f>IFERROR(INDEX(Feed!$G$2:$G$481,MATCH(SMALL(Feed!$J$2:$J$481,ROW()-129),Feed!$J$2:$J$481,0)),"")</f>
        <v/>
      </c>
      <c r="H143" s="27">
        <f>IFERROR(INDEX(Feed!$H$2:$H$481,MATCH(SMALL(Feed!$J$2:$J$481,ROW()-129),Feed!$J$2:$J$481,0)),"")</f>
        <v/>
      </c>
      <c r="I143" s="30">
        <f>IFERROR(INDEX(Feed!$I$2:$I$481,MATCH(SMALL(Feed!$J$2:$J$481,ROW()-129),Feed!$J$2:$J$481,0)),"")</f>
        <v/>
      </c>
    </row>
    <row r="144">
      <c r="A144" s="27">
        <f>IFERROR(INDEX(Feed!$A$2:$A$481,MATCH(SMALL(Feed!$J$2:$J$481,ROW()-129),Feed!$J$2:$J$481,0)),"")</f>
        <v/>
      </c>
      <c r="B144" s="27">
        <f>IFERROR(INDEX(Feed!$B$2:$B$481,MATCH(SMALL(Feed!$J$2:$J$481,ROW()-129),Feed!$J$2:$J$481,0)),"")</f>
        <v/>
      </c>
      <c r="C144" s="28">
        <f>IFERROR(INDEX(Feed!$C$2:$C$481,MATCH(SMALL(Feed!$J$2:$J$481,ROW()-129),Feed!$J$2:$J$481,0)),"")</f>
        <v/>
      </c>
      <c r="D144" s="28">
        <f>IFERROR(INDEX(Feed!$D$2:$D$481,MATCH(SMALL(Feed!$J$2:$J$481,ROW()-129),Feed!$J$2:$J$481,0)),"")</f>
        <v/>
      </c>
      <c r="E144" s="28">
        <f>IFERROR(INDEX(Feed!$E$2:$E$481,MATCH(SMALL(Feed!$J$2:$J$481,ROW()-129),Feed!$J$2:$J$481,0)),"")</f>
        <v/>
      </c>
      <c r="F144" s="29">
        <f>IFERROR(INDEX(Feed!$F$2:$F$481,MATCH(SMALL(Feed!$J$2:$J$481,ROW()-129),Feed!$J$2:$J$481,0)),"")</f>
        <v/>
      </c>
      <c r="G144" s="27">
        <f>IFERROR(INDEX(Feed!$G$2:$G$481,MATCH(SMALL(Feed!$J$2:$J$481,ROW()-129),Feed!$J$2:$J$481,0)),"")</f>
        <v/>
      </c>
      <c r="H144" s="27">
        <f>IFERROR(INDEX(Feed!$H$2:$H$481,MATCH(SMALL(Feed!$J$2:$J$481,ROW()-129),Feed!$J$2:$J$481,0)),"")</f>
        <v/>
      </c>
      <c r="I144" s="30">
        <f>IFERROR(INDEX(Feed!$I$2:$I$481,MATCH(SMALL(Feed!$J$2:$J$481,ROW()-129),Feed!$J$2:$J$481,0)),"")</f>
        <v/>
      </c>
    </row>
    <row r="145">
      <c r="A145" s="27">
        <f>IFERROR(INDEX(Feed!$A$2:$A$481,MATCH(SMALL(Feed!$J$2:$J$481,ROW()-129),Feed!$J$2:$J$481,0)),"")</f>
        <v/>
      </c>
      <c r="B145" s="27">
        <f>IFERROR(INDEX(Feed!$B$2:$B$481,MATCH(SMALL(Feed!$J$2:$J$481,ROW()-129),Feed!$J$2:$J$481,0)),"")</f>
        <v/>
      </c>
      <c r="C145" s="28">
        <f>IFERROR(INDEX(Feed!$C$2:$C$481,MATCH(SMALL(Feed!$J$2:$J$481,ROW()-129),Feed!$J$2:$J$481,0)),"")</f>
        <v/>
      </c>
      <c r="D145" s="28">
        <f>IFERROR(INDEX(Feed!$D$2:$D$481,MATCH(SMALL(Feed!$J$2:$J$481,ROW()-129),Feed!$J$2:$J$481,0)),"")</f>
        <v/>
      </c>
      <c r="E145" s="28">
        <f>IFERROR(INDEX(Feed!$E$2:$E$481,MATCH(SMALL(Feed!$J$2:$J$481,ROW()-129),Feed!$J$2:$J$481,0)),"")</f>
        <v/>
      </c>
      <c r="F145" s="29">
        <f>IFERROR(INDEX(Feed!$F$2:$F$481,MATCH(SMALL(Feed!$J$2:$J$481,ROW()-129),Feed!$J$2:$J$481,0)),"")</f>
        <v/>
      </c>
      <c r="G145" s="27">
        <f>IFERROR(INDEX(Feed!$G$2:$G$481,MATCH(SMALL(Feed!$J$2:$J$481,ROW()-129),Feed!$J$2:$J$481,0)),"")</f>
        <v/>
      </c>
      <c r="H145" s="27">
        <f>IFERROR(INDEX(Feed!$H$2:$H$481,MATCH(SMALL(Feed!$J$2:$J$481,ROW()-129),Feed!$J$2:$J$481,0)),"")</f>
        <v/>
      </c>
      <c r="I145" s="30">
        <f>IFERROR(INDEX(Feed!$I$2:$I$481,MATCH(SMALL(Feed!$J$2:$J$481,ROW()-129),Feed!$J$2:$J$481,0)),"")</f>
        <v/>
      </c>
    </row>
    <row r="146">
      <c r="A146" s="27">
        <f>IFERROR(INDEX(Feed!$A$2:$A$481,MATCH(SMALL(Feed!$J$2:$J$481,ROW()-129),Feed!$J$2:$J$481,0)),"")</f>
        <v/>
      </c>
      <c r="B146" s="27">
        <f>IFERROR(INDEX(Feed!$B$2:$B$481,MATCH(SMALL(Feed!$J$2:$J$481,ROW()-129),Feed!$J$2:$J$481,0)),"")</f>
        <v/>
      </c>
      <c r="C146" s="28">
        <f>IFERROR(INDEX(Feed!$C$2:$C$481,MATCH(SMALL(Feed!$J$2:$J$481,ROW()-129),Feed!$J$2:$J$481,0)),"")</f>
        <v/>
      </c>
      <c r="D146" s="28">
        <f>IFERROR(INDEX(Feed!$D$2:$D$481,MATCH(SMALL(Feed!$J$2:$J$481,ROW()-129),Feed!$J$2:$J$481,0)),"")</f>
        <v/>
      </c>
      <c r="E146" s="28">
        <f>IFERROR(INDEX(Feed!$E$2:$E$481,MATCH(SMALL(Feed!$J$2:$J$481,ROW()-129),Feed!$J$2:$J$481,0)),"")</f>
        <v/>
      </c>
      <c r="F146" s="29">
        <f>IFERROR(INDEX(Feed!$F$2:$F$481,MATCH(SMALL(Feed!$J$2:$J$481,ROW()-129),Feed!$J$2:$J$481,0)),"")</f>
        <v/>
      </c>
      <c r="G146" s="27">
        <f>IFERROR(INDEX(Feed!$G$2:$G$481,MATCH(SMALL(Feed!$J$2:$J$481,ROW()-129),Feed!$J$2:$J$481,0)),"")</f>
        <v/>
      </c>
      <c r="H146" s="27">
        <f>IFERROR(INDEX(Feed!$H$2:$H$481,MATCH(SMALL(Feed!$J$2:$J$481,ROW()-129),Feed!$J$2:$J$481,0)),"")</f>
        <v/>
      </c>
      <c r="I146" s="30">
        <f>IFERROR(INDEX(Feed!$I$2:$I$481,MATCH(SMALL(Feed!$J$2:$J$481,ROW()-129),Feed!$J$2:$J$481,0)),"")</f>
        <v/>
      </c>
    </row>
    <row r="147">
      <c r="A147" s="27">
        <f>IFERROR(INDEX(Feed!$A$2:$A$481,MATCH(SMALL(Feed!$J$2:$J$481,ROW()-129),Feed!$J$2:$J$481,0)),"")</f>
        <v/>
      </c>
      <c r="B147" s="27">
        <f>IFERROR(INDEX(Feed!$B$2:$B$481,MATCH(SMALL(Feed!$J$2:$J$481,ROW()-129),Feed!$J$2:$J$481,0)),"")</f>
        <v/>
      </c>
      <c r="C147" s="28">
        <f>IFERROR(INDEX(Feed!$C$2:$C$481,MATCH(SMALL(Feed!$J$2:$J$481,ROW()-129),Feed!$J$2:$J$481,0)),"")</f>
        <v/>
      </c>
      <c r="D147" s="28">
        <f>IFERROR(INDEX(Feed!$D$2:$D$481,MATCH(SMALL(Feed!$J$2:$J$481,ROW()-129),Feed!$J$2:$J$481,0)),"")</f>
        <v/>
      </c>
      <c r="E147" s="28">
        <f>IFERROR(INDEX(Feed!$E$2:$E$481,MATCH(SMALL(Feed!$J$2:$J$481,ROW()-129),Feed!$J$2:$J$481,0)),"")</f>
        <v/>
      </c>
      <c r="F147" s="29">
        <f>IFERROR(INDEX(Feed!$F$2:$F$481,MATCH(SMALL(Feed!$J$2:$J$481,ROW()-129),Feed!$J$2:$J$481,0)),"")</f>
        <v/>
      </c>
      <c r="G147" s="27">
        <f>IFERROR(INDEX(Feed!$G$2:$G$481,MATCH(SMALL(Feed!$J$2:$J$481,ROW()-129),Feed!$J$2:$J$481,0)),"")</f>
        <v/>
      </c>
      <c r="H147" s="27">
        <f>IFERROR(INDEX(Feed!$H$2:$H$481,MATCH(SMALL(Feed!$J$2:$J$481,ROW()-129),Feed!$J$2:$J$481,0)),"")</f>
        <v/>
      </c>
      <c r="I147" s="30">
        <f>IFERROR(INDEX(Feed!$I$2:$I$481,MATCH(SMALL(Feed!$J$2:$J$481,ROW()-129),Feed!$J$2:$J$481,0)),"")</f>
        <v/>
      </c>
    </row>
    <row r="148">
      <c r="A148" s="27">
        <f>IFERROR(INDEX(Feed!$A$2:$A$481,MATCH(SMALL(Feed!$J$2:$J$481,ROW()-129),Feed!$J$2:$J$481,0)),"")</f>
        <v/>
      </c>
      <c r="B148" s="27">
        <f>IFERROR(INDEX(Feed!$B$2:$B$481,MATCH(SMALL(Feed!$J$2:$J$481,ROW()-129),Feed!$J$2:$J$481,0)),"")</f>
        <v/>
      </c>
      <c r="C148" s="28">
        <f>IFERROR(INDEX(Feed!$C$2:$C$481,MATCH(SMALL(Feed!$J$2:$J$481,ROW()-129),Feed!$J$2:$J$481,0)),"")</f>
        <v/>
      </c>
      <c r="D148" s="28">
        <f>IFERROR(INDEX(Feed!$D$2:$D$481,MATCH(SMALL(Feed!$J$2:$J$481,ROW()-129),Feed!$J$2:$J$481,0)),"")</f>
        <v/>
      </c>
      <c r="E148" s="28">
        <f>IFERROR(INDEX(Feed!$E$2:$E$481,MATCH(SMALL(Feed!$J$2:$J$481,ROW()-129),Feed!$J$2:$J$481,0)),"")</f>
        <v/>
      </c>
      <c r="F148" s="29">
        <f>IFERROR(INDEX(Feed!$F$2:$F$481,MATCH(SMALL(Feed!$J$2:$J$481,ROW()-129),Feed!$J$2:$J$481,0)),"")</f>
        <v/>
      </c>
      <c r="G148" s="27">
        <f>IFERROR(INDEX(Feed!$G$2:$G$481,MATCH(SMALL(Feed!$J$2:$J$481,ROW()-129),Feed!$J$2:$J$481,0)),"")</f>
        <v/>
      </c>
      <c r="H148" s="27">
        <f>IFERROR(INDEX(Feed!$H$2:$H$481,MATCH(SMALL(Feed!$J$2:$J$481,ROW()-129),Feed!$J$2:$J$481,0)),"")</f>
        <v/>
      </c>
      <c r="I148" s="30">
        <f>IFERROR(INDEX(Feed!$I$2:$I$481,MATCH(SMALL(Feed!$J$2:$J$481,ROW()-129),Feed!$J$2:$J$481,0)),"")</f>
        <v/>
      </c>
    </row>
    <row r="149">
      <c r="A149" s="27">
        <f>IFERROR(INDEX(Feed!$A$2:$A$481,MATCH(SMALL(Feed!$J$2:$J$481,ROW()-129),Feed!$J$2:$J$481,0)),"")</f>
        <v/>
      </c>
      <c r="B149" s="27">
        <f>IFERROR(INDEX(Feed!$B$2:$B$481,MATCH(SMALL(Feed!$J$2:$J$481,ROW()-129),Feed!$J$2:$J$481,0)),"")</f>
        <v/>
      </c>
      <c r="C149" s="28">
        <f>IFERROR(INDEX(Feed!$C$2:$C$481,MATCH(SMALL(Feed!$J$2:$J$481,ROW()-129),Feed!$J$2:$J$481,0)),"")</f>
        <v/>
      </c>
      <c r="D149" s="28">
        <f>IFERROR(INDEX(Feed!$D$2:$D$481,MATCH(SMALL(Feed!$J$2:$J$481,ROW()-129),Feed!$J$2:$J$481,0)),"")</f>
        <v/>
      </c>
      <c r="E149" s="28">
        <f>IFERROR(INDEX(Feed!$E$2:$E$481,MATCH(SMALL(Feed!$J$2:$J$481,ROW()-129),Feed!$J$2:$J$481,0)),"")</f>
        <v/>
      </c>
      <c r="F149" s="29">
        <f>IFERROR(INDEX(Feed!$F$2:$F$481,MATCH(SMALL(Feed!$J$2:$J$481,ROW()-129),Feed!$J$2:$J$481,0)),"")</f>
        <v/>
      </c>
      <c r="G149" s="27">
        <f>IFERROR(INDEX(Feed!$G$2:$G$481,MATCH(SMALL(Feed!$J$2:$J$481,ROW()-129),Feed!$J$2:$J$481,0)),"")</f>
        <v/>
      </c>
      <c r="H149" s="27">
        <f>IFERROR(INDEX(Feed!$H$2:$H$481,MATCH(SMALL(Feed!$J$2:$J$481,ROW()-129),Feed!$J$2:$J$481,0)),"")</f>
        <v/>
      </c>
      <c r="I149" s="30">
        <f>IFERROR(INDEX(Feed!$I$2:$I$481,MATCH(SMALL(Feed!$J$2:$J$481,ROW()-129),Feed!$J$2:$J$481,0)),"")</f>
        <v/>
      </c>
    </row>
    <row r="150">
      <c r="A150" s="27">
        <f>IFERROR(INDEX(Feed!$A$2:$A$481,MATCH(SMALL(Feed!$J$2:$J$481,ROW()-129),Feed!$J$2:$J$481,0)),"")</f>
        <v/>
      </c>
      <c r="B150" s="27">
        <f>IFERROR(INDEX(Feed!$B$2:$B$481,MATCH(SMALL(Feed!$J$2:$J$481,ROW()-129),Feed!$J$2:$J$481,0)),"")</f>
        <v/>
      </c>
      <c r="C150" s="28">
        <f>IFERROR(INDEX(Feed!$C$2:$C$481,MATCH(SMALL(Feed!$J$2:$J$481,ROW()-129),Feed!$J$2:$J$481,0)),"")</f>
        <v/>
      </c>
      <c r="D150" s="28">
        <f>IFERROR(INDEX(Feed!$D$2:$D$481,MATCH(SMALL(Feed!$J$2:$J$481,ROW()-129),Feed!$J$2:$J$481,0)),"")</f>
        <v/>
      </c>
      <c r="E150" s="28">
        <f>IFERROR(INDEX(Feed!$E$2:$E$481,MATCH(SMALL(Feed!$J$2:$J$481,ROW()-129),Feed!$J$2:$J$481,0)),"")</f>
        <v/>
      </c>
      <c r="F150" s="29">
        <f>IFERROR(INDEX(Feed!$F$2:$F$481,MATCH(SMALL(Feed!$J$2:$J$481,ROW()-129),Feed!$J$2:$J$481,0)),"")</f>
        <v/>
      </c>
      <c r="G150" s="27">
        <f>IFERROR(INDEX(Feed!$G$2:$G$481,MATCH(SMALL(Feed!$J$2:$J$481,ROW()-129),Feed!$J$2:$J$481,0)),"")</f>
        <v/>
      </c>
      <c r="H150" s="27">
        <f>IFERROR(INDEX(Feed!$H$2:$H$481,MATCH(SMALL(Feed!$J$2:$J$481,ROW()-129),Feed!$J$2:$J$481,0)),"")</f>
        <v/>
      </c>
      <c r="I150" s="30">
        <f>IFERROR(INDEX(Feed!$I$2:$I$481,MATCH(SMALL(Feed!$J$2:$J$481,ROW()-129),Feed!$J$2:$J$481,0)),"")</f>
        <v/>
      </c>
    </row>
    <row r="151">
      <c r="A151" s="27">
        <f>IFERROR(INDEX(Feed!$A$2:$A$481,MATCH(SMALL(Feed!$J$2:$J$481,ROW()-129),Feed!$J$2:$J$481,0)),"")</f>
        <v/>
      </c>
      <c r="B151" s="27">
        <f>IFERROR(INDEX(Feed!$B$2:$B$481,MATCH(SMALL(Feed!$J$2:$J$481,ROW()-129),Feed!$J$2:$J$481,0)),"")</f>
        <v/>
      </c>
      <c r="C151" s="28">
        <f>IFERROR(INDEX(Feed!$C$2:$C$481,MATCH(SMALL(Feed!$J$2:$J$481,ROW()-129),Feed!$J$2:$J$481,0)),"")</f>
        <v/>
      </c>
      <c r="D151" s="28">
        <f>IFERROR(INDEX(Feed!$D$2:$D$481,MATCH(SMALL(Feed!$J$2:$J$481,ROW()-129),Feed!$J$2:$J$481,0)),"")</f>
        <v/>
      </c>
      <c r="E151" s="28">
        <f>IFERROR(INDEX(Feed!$E$2:$E$481,MATCH(SMALL(Feed!$J$2:$J$481,ROW()-129),Feed!$J$2:$J$481,0)),"")</f>
        <v/>
      </c>
      <c r="F151" s="29">
        <f>IFERROR(INDEX(Feed!$F$2:$F$481,MATCH(SMALL(Feed!$J$2:$J$481,ROW()-129),Feed!$J$2:$J$481,0)),"")</f>
        <v/>
      </c>
      <c r="G151" s="27">
        <f>IFERROR(INDEX(Feed!$G$2:$G$481,MATCH(SMALL(Feed!$J$2:$J$481,ROW()-129),Feed!$J$2:$J$481,0)),"")</f>
        <v/>
      </c>
      <c r="H151" s="27">
        <f>IFERROR(INDEX(Feed!$H$2:$H$481,MATCH(SMALL(Feed!$J$2:$J$481,ROW()-129),Feed!$J$2:$J$481,0)),"")</f>
        <v/>
      </c>
      <c r="I151" s="30">
        <f>IFERROR(INDEX(Feed!$I$2:$I$481,MATCH(SMALL(Feed!$J$2:$J$481,ROW()-129),Feed!$J$2:$J$481,0)),"")</f>
        <v/>
      </c>
    </row>
    <row r="152">
      <c r="A152" s="27">
        <f>IFERROR(INDEX(Feed!$A$2:$A$481,MATCH(SMALL(Feed!$J$2:$J$481,ROW()-129),Feed!$J$2:$J$481,0)),"")</f>
        <v/>
      </c>
      <c r="B152" s="27">
        <f>IFERROR(INDEX(Feed!$B$2:$B$481,MATCH(SMALL(Feed!$J$2:$J$481,ROW()-129),Feed!$J$2:$J$481,0)),"")</f>
        <v/>
      </c>
      <c r="C152" s="28">
        <f>IFERROR(INDEX(Feed!$C$2:$C$481,MATCH(SMALL(Feed!$J$2:$J$481,ROW()-129),Feed!$J$2:$J$481,0)),"")</f>
        <v/>
      </c>
      <c r="D152" s="28">
        <f>IFERROR(INDEX(Feed!$D$2:$D$481,MATCH(SMALL(Feed!$J$2:$J$481,ROW()-129),Feed!$J$2:$J$481,0)),"")</f>
        <v/>
      </c>
      <c r="E152" s="28">
        <f>IFERROR(INDEX(Feed!$E$2:$E$481,MATCH(SMALL(Feed!$J$2:$J$481,ROW()-129),Feed!$J$2:$J$481,0)),"")</f>
        <v/>
      </c>
      <c r="F152" s="29">
        <f>IFERROR(INDEX(Feed!$F$2:$F$481,MATCH(SMALL(Feed!$J$2:$J$481,ROW()-129),Feed!$J$2:$J$481,0)),"")</f>
        <v/>
      </c>
      <c r="G152" s="27">
        <f>IFERROR(INDEX(Feed!$G$2:$G$481,MATCH(SMALL(Feed!$J$2:$J$481,ROW()-129),Feed!$J$2:$J$481,0)),"")</f>
        <v/>
      </c>
      <c r="H152" s="27">
        <f>IFERROR(INDEX(Feed!$H$2:$H$481,MATCH(SMALL(Feed!$J$2:$J$481,ROW()-129),Feed!$J$2:$J$481,0)),"")</f>
        <v/>
      </c>
      <c r="I152" s="30">
        <f>IFERROR(INDEX(Feed!$I$2:$I$481,MATCH(SMALL(Feed!$J$2:$J$481,ROW()-129),Feed!$J$2:$J$481,0)),"")</f>
        <v/>
      </c>
    </row>
    <row r="153">
      <c r="A153" s="27">
        <f>IFERROR(INDEX(Feed!$A$2:$A$481,MATCH(SMALL(Feed!$J$2:$J$481,ROW()-129),Feed!$J$2:$J$481,0)),"")</f>
        <v/>
      </c>
      <c r="B153" s="27">
        <f>IFERROR(INDEX(Feed!$B$2:$B$481,MATCH(SMALL(Feed!$J$2:$J$481,ROW()-129),Feed!$J$2:$J$481,0)),"")</f>
        <v/>
      </c>
      <c r="C153" s="28">
        <f>IFERROR(INDEX(Feed!$C$2:$C$481,MATCH(SMALL(Feed!$J$2:$J$481,ROW()-129),Feed!$J$2:$J$481,0)),"")</f>
        <v/>
      </c>
      <c r="D153" s="28">
        <f>IFERROR(INDEX(Feed!$D$2:$D$481,MATCH(SMALL(Feed!$J$2:$J$481,ROW()-129),Feed!$J$2:$J$481,0)),"")</f>
        <v/>
      </c>
      <c r="E153" s="28">
        <f>IFERROR(INDEX(Feed!$E$2:$E$481,MATCH(SMALL(Feed!$J$2:$J$481,ROW()-129),Feed!$J$2:$J$481,0)),"")</f>
        <v/>
      </c>
      <c r="F153" s="29">
        <f>IFERROR(INDEX(Feed!$F$2:$F$481,MATCH(SMALL(Feed!$J$2:$J$481,ROW()-129),Feed!$J$2:$J$481,0)),"")</f>
        <v/>
      </c>
      <c r="G153" s="27">
        <f>IFERROR(INDEX(Feed!$G$2:$G$481,MATCH(SMALL(Feed!$J$2:$J$481,ROW()-129),Feed!$J$2:$J$481,0)),"")</f>
        <v/>
      </c>
      <c r="H153" s="27">
        <f>IFERROR(INDEX(Feed!$H$2:$H$481,MATCH(SMALL(Feed!$J$2:$J$481,ROW()-129),Feed!$J$2:$J$481,0)),"")</f>
        <v/>
      </c>
      <c r="I153" s="30">
        <f>IFERROR(INDEX(Feed!$I$2:$I$481,MATCH(SMALL(Feed!$J$2:$J$481,ROW()-129),Feed!$J$2:$J$481,0)),"")</f>
        <v/>
      </c>
    </row>
    <row r="154">
      <c r="A154" s="27">
        <f>IFERROR(INDEX(Feed!$A$2:$A$481,MATCH(SMALL(Feed!$J$2:$J$481,ROW()-129),Feed!$J$2:$J$481,0)),"")</f>
        <v/>
      </c>
      <c r="B154" s="27">
        <f>IFERROR(INDEX(Feed!$B$2:$B$481,MATCH(SMALL(Feed!$J$2:$J$481,ROW()-129),Feed!$J$2:$J$481,0)),"")</f>
        <v/>
      </c>
      <c r="C154" s="28">
        <f>IFERROR(INDEX(Feed!$C$2:$C$481,MATCH(SMALL(Feed!$J$2:$J$481,ROW()-129),Feed!$J$2:$J$481,0)),"")</f>
        <v/>
      </c>
      <c r="D154" s="28">
        <f>IFERROR(INDEX(Feed!$D$2:$D$481,MATCH(SMALL(Feed!$J$2:$J$481,ROW()-129),Feed!$J$2:$J$481,0)),"")</f>
        <v/>
      </c>
      <c r="E154" s="28">
        <f>IFERROR(INDEX(Feed!$E$2:$E$481,MATCH(SMALL(Feed!$J$2:$J$481,ROW()-129),Feed!$J$2:$J$481,0)),"")</f>
        <v/>
      </c>
      <c r="F154" s="29">
        <f>IFERROR(INDEX(Feed!$F$2:$F$481,MATCH(SMALL(Feed!$J$2:$J$481,ROW()-129),Feed!$J$2:$J$481,0)),"")</f>
        <v/>
      </c>
      <c r="G154" s="27">
        <f>IFERROR(INDEX(Feed!$G$2:$G$481,MATCH(SMALL(Feed!$J$2:$J$481,ROW()-129),Feed!$J$2:$J$481,0)),"")</f>
        <v/>
      </c>
      <c r="H154" s="27">
        <f>IFERROR(INDEX(Feed!$H$2:$H$481,MATCH(SMALL(Feed!$J$2:$J$481,ROW()-129),Feed!$J$2:$J$481,0)),"")</f>
        <v/>
      </c>
      <c r="I154" s="30">
        <f>IFERROR(INDEX(Feed!$I$2:$I$481,MATCH(SMALL(Feed!$J$2:$J$481,ROW()-129),Feed!$J$2:$J$481,0)),"")</f>
        <v/>
      </c>
    </row>
    <row r="155">
      <c r="A155" s="27">
        <f>IFERROR(INDEX(Feed!$A$2:$A$481,MATCH(SMALL(Feed!$J$2:$J$481,ROW()-129),Feed!$J$2:$J$481,0)),"")</f>
        <v/>
      </c>
      <c r="B155" s="27">
        <f>IFERROR(INDEX(Feed!$B$2:$B$481,MATCH(SMALL(Feed!$J$2:$J$481,ROW()-129),Feed!$J$2:$J$481,0)),"")</f>
        <v/>
      </c>
      <c r="C155" s="28">
        <f>IFERROR(INDEX(Feed!$C$2:$C$481,MATCH(SMALL(Feed!$J$2:$J$481,ROW()-129),Feed!$J$2:$J$481,0)),"")</f>
        <v/>
      </c>
      <c r="D155" s="28">
        <f>IFERROR(INDEX(Feed!$D$2:$D$481,MATCH(SMALL(Feed!$J$2:$J$481,ROW()-129),Feed!$J$2:$J$481,0)),"")</f>
        <v/>
      </c>
      <c r="E155" s="28">
        <f>IFERROR(INDEX(Feed!$E$2:$E$481,MATCH(SMALL(Feed!$J$2:$J$481,ROW()-129),Feed!$J$2:$J$481,0)),"")</f>
        <v/>
      </c>
      <c r="F155" s="29">
        <f>IFERROR(INDEX(Feed!$F$2:$F$481,MATCH(SMALL(Feed!$J$2:$J$481,ROW()-129),Feed!$J$2:$J$481,0)),"")</f>
        <v/>
      </c>
      <c r="G155" s="27">
        <f>IFERROR(INDEX(Feed!$G$2:$G$481,MATCH(SMALL(Feed!$J$2:$J$481,ROW()-129),Feed!$J$2:$J$481,0)),"")</f>
        <v/>
      </c>
      <c r="H155" s="27">
        <f>IFERROR(INDEX(Feed!$H$2:$H$481,MATCH(SMALL(Feed!$J$2:$J$481,ROW()-129),Feed!$J$2:$J$481,0)),"")</f>
        <v/>
      </c>
      <c r="I155" s="30">
        <f>IFERROR(INDEX(Feed!$I$2:$I$481,MATCH(SMALL(Feed!$J$2:$J$481,ROW()-129),Feed!$J$2:$J$481,0)),"")</f>
        <v/>
      </c>
    </row>
    <row r="156">
      <c r="A156" s="27">
        <f>IFERROR(INDEX(Feed!$A$2:$A$481,MATCH(SMALL(Feed!$J$2:$J$481,ROW()-129),Feed!$J$2:$J$481,0)),"")</f>
        <v/>
      </c>
      <c r="B156" s="27">
        <f>IFERROR(INDEX(Feed!$B$2:$B$481,MATCH(SMALL(Feed!$J$2:$J$481,ROW()-129),Feed!$J$2:$J$481,0)),"")</f>
        <v/>
      </c>
      <c r="C156" s="28">
        <f>IFERROR(INDEX(Feed!$C$2:$C$481,MATCH(SMALL(Feed!$J$2:$J$481,ROW()-129),Feed!$J$2:$J$481,0)),"")</f>
        <v/>
      </c>
      <c r="D156" s="28">
        <f>IFERROR(INDEX(Feed!$D$2:$D$481,MATCH(SMALL(Feed!$J$2:$J$481,ROW()-129),Feed!$J$2:$J$481,0)),"")</f>
        <v/>
      </c>
      <c r="E156" s="28">
        <f>IFERROR(INDEX(Feed!$E$2:$E$481,MATCH(SMALL(Feed!$J$2:$J$481,ROW()-129),Feed!$J$2:$J$481,0)),"")</f>
        <v/>
      </c>
      <c r="F156" s="29">
        <f>IFERROR(INDEX(Feed!$F$2:$F$481,MATCH(SMALL(Feed!$J$2:$J$481,ROW()-129),Feed!$J$2:$J$481,0)),"")</f>
        <v/>
      </c>
      <c r="G156" s="27">
        <f>IFERROR(INDEX(Feed!$G$2:$G$481,MATCH(SMALL(Feed!$J$2:$J$481,ROW()-129),Feed!$J$2:$J$481,0)),"")</f>
        <v/>
      </c>
      <c r="H156" s="27">
        <f>IFERROR(INDEX(Feed!$H$2:$H$481,MATCH(SMALL(Feed!$J$2:$J$481,ROW()-129),Feed!$J$2:$J$481,0)),"")</f>
        <v/>
      </c>
      <c r="I156" s="30">
        <f>IFERROR(INDEX(Feed!$I$2:$I$481,MATCH(SMALL(Feed!$J$2:$J$481,ROW()-129),Feed!$J$2:$J$481,0)),"")</f>
        <v/>
      </c>
    </row>
    <row r="157">
      <c r="A157" s="27">
        <f>IFERROR(INDEX(Feed!$A$2:$A$481,MATCH(SMALL(Feed!$J$2:$J$481,ROW()-129),Feed!$J$2:$J$481,0)),"")</f>
        <v/>
      </c>
      <c r="B157" s="27">
        <f>IFERROR(INDEX(Feed!$B$2:$B$481,MATCH(SMALL(Feed!$J$2:$J$481,ROW()-129),Feed!$J$2:$J$481,0)),"")</f>
        <v/>
      </c>
      <c r="C157" s="28">
        <f>IFERROR(INDEX(Feed!$C$2:$C$481,MATCH(SMALL(Feed!$J$2:$J$481,ROW()-129),Feed!$J$2:$J$481,0)),"")</f>
        <v/>
      </c>
      <c r="D157" s="28">
        <f>IFERROR(INDEX(Feed!$D$2:$D$481,MATCH(SMALL(Feed!$J$2:$J$481,ROW()-129),Feed!$J$2:$J$481,0)),"")</f>
        <v/>
      </c>
      <c r="E157" s="28">
        <f>IFERROR(INDEX(Feed!$E$2:$E$481,MATCH(SMALL(Feed!$J$2:$J$481,ROW()-129),Feed!$J$2:$J$481,0)),"")</f>
        <v/>
      </c>
      <c r="F157" s="29">
        <f>IFERROR(INDEX(Feed!$F$2:$F$481,MATCH(SMALL(Feed!$J$2:$J$481,ROW()-129),Feed!$J$2:$J$481,0)),"")</f>
        <v/>
      </c>
      <c r="G157" s="27">
        <f>IFERROR(INDEX(Feed!$G$2:$G$481,MATCH(SMALL(Feed!$J$2:$J$481,ROW()-129),Feed!$J$2:$J$481,0)),"")</f>
        <v/>
      </c>
      <c r="H157" s="27">
        <f>IFERROR(INDEX(Feed!$H$2:$H$481,MATCH(SMALL(Feed!$J$2:$J$481,ROW()-129),Feed!$J$2:$J$481,0)),"")</f>
        <v/>
      </c>
      <c r="I157" s="30">
        <f>IFERROR(INDEX(Feed!$I$2:$I$481,MATCH(SMALL(Feed!$J$2:$J$481,ROW()-129),Feed!$J$2:$J$481,0)),"")</f>
        <v/>
      </c>
    </row>
    <row r="158">
      <c r="A158" s="27">
        <f>IFERROR(INDEX(Feed!$A$2:$A$481,MATCH(SMALL(Feed!$J$2:$J$481,ROW()-129),Feed!$J$2:$J$481,0)),"")</f>
        <v/>
      </c>
      <c r="B158" s="27">
        <f>IFERROR(INDEX(Feed!$B$2:$B$481,MATCH(SMALL(Feed!$J$2:$J$481,ROW()-129),Feed!$J$2:$J$481,0)),"")</f>
        <v/>
      </c>
      <c r="C158" s="28">
        <f>IFERROR(INDEX(Feed!$C$2:$C$481,MATCH(SMALL(Feed!$J$2:$J$481,ROW()-129),Feed!$J$2:$J$481,0)),"")</f>
        <v/>
      </c>
      <c r="D158" s="28">
        <f>IFERROR(INDEX(Feed!$D$2:$D$481,MATCH(SMALL(Feed!$J$2:$J$481,ROW()-129),Feed!$J$2:$J$481,0)),"")</f>
        <v/>
      </c>
      <c r="E158" s="28">
        <f>IFERROR(INDEX(Feed!$E$2:$E$481,MATCH(SMALL(Feed!$J$2:$J$481,ROW()-129),Feed!$J$2:$J$481,0)),"")</f>
        <v/>
      </c>
      <c r="F158" s="29">
        <f>IFERROR(INDEX(Feed!$F$2:$F$481,MATCH(SMALL(Feed!$J$2:$J$481,ROW()-129),Feed!$J$2:$J$481,0)),"")</f>
        <v/>
      </c>
      <c r="G158" s="27">
        <f>IFERROR(INDEX(Feed!$G$2:$G$481,MATCH(SMALL(Feed!$J$2:$J$481,ROW()-129),Feed!$J$2:$J$481,0)),"")</f>
        <v/>
      </c>
      <c r="H158" s="27">
        <f>IFERROR(INDEX(Feed!$H$2:$H$481,MATCH(SMALL(Feed!$J$2:$J$481,ROW()-129),Feed!$J$2:$J$481,0)),"")</f>
        <v/>
      </c>
      <c r="I158" s="30">
        <f>IFERROR(INDEX(Feed!$I$2:$I$481,MATCH(SMALL(Feed!$J$2:$J$481,ROW()-129),Feed!$J$2:$J$481,0)),"")</f>
        <v/>
      </c>
    </row>
    <row r="159">
      <c r="A159" s="27">
        <f>IFERROR(INDEX(Feed!$A$2:$A$481,MATCH(SMALL(Feed!$J$2:$J$481,ROW()-129),Feed!$J$2:$J$481,0)),"")</f>
        <v/>
      </c>
      <c r="B159" s="27">
        <f>IFERROR(INDEX(Feed!$B$2:$B$481,MATCH(SMALL(Feed!$J$2:$J$481,ROW()-129),Feed!$J$2:$J$481,0)),"")</f>
        <v/>
      </c>
      <c r="C159" s="28">
        <f>IFERROR(INDEX(Feed!$C$2:$C$481,MATCH(SMALL(Feed!$J$2:$J$481,ROW()-129),Feed!$J$2:$J$481,0)),"")</f>
        <v/>
      </c>
      <c r="D159" s="28">
        <f>IFERROR(INDEX(Feed!$D$2:$D$481,MATCH(SMALL(Feed!$J$2:$J$481,ROW()-129),Feed!$J$2:$J$481,0)),"")</f>
        <v/>
      </c>
      <c r="E159" s="28">
        <f>IFERROR(INDEX(Feed!$E$2:$E$481,MATCH(SMALL(Feed!$J$2:$J$481,ROW()-129),Feed!$J$2:$J$481,0)),"")</f>
        <v/>
      </c>
      <c r="F159" s="29">
        <f>IFERROR(INDEX(Feed!$F$2:$F$481,MATCH(SMALL(Feed!$J$2:$J$481,ROW()-129),Feed!$J$2:$J$481,0)),"")</f>
        <v/>
      </c>
      <c r="G159" s="27">
        <f>IFERROR(INDEX(Feed!$G$2:$G$481,MATCH(SMALL(Feed!$J$2:$J$481,ROW()-129),Feed!$J$2:$J$481,0)),"")</f>
        <v/>
      </c>
      <c r="H159" s="27">
        <f>IFERROR(INDEX(Feed!$H$2:$H$481,MATCH(SMALL(Feed!$J$2:$J$481,ROW()-129),Feed!$J$2:$J$481,0)),"")</f>
        <v/>
      </c>
      <c r="I159" s="30">
        <f>IFERROR(INDEX(Feed!$I$2:$I$481,MATCH(SMALL(Feed!$J$2:$J$481,ROW()-129),Feed!$J$2:$J$481,0)),"")</f>
        <v/>
      </c>
    </row>
    <row r="162">
      <c r="A162" s="31" t="inlineStr">
        <is>
          <t>Who renews it / ใครต่ออายุ</t>
        </is>
      </c>
    </row>
    <row r="163">
      <c r="A163" s="32" t="inlineStr">
        <is>
          <t>Owner</t>
        </is>
      </c>
      <c r="B163" s="4" t="inlineStr">
        <is>
          <t>the asset company (AMH …): building, taxes, asset insurance, head agreements — เจ้าของอาคาร</t>
        </is>
      </c>
    </row>
    <row r="164">
      <c r="A164" s="33" t="inlineStr">
        <is>
          <t>Property</t>
        </is>
      </c>
      <c r="B164" s="4" t="inlineStr">
        <is>
          <t>the hotel operation: operating licences, staff, suppliers, OTAs — ฝ่ายโรงแรม</t>
        </is>
      </c>
    </row>
    <row r="166">
      <c r="A166" s="31" t="inlineStr">
        <is>
          <t>Colours / สีบอกสถานะ</t>
        </is>
      </c>
    </row>
    <row r="167">
      <c r="A167" s="34" t="inlineStr">
        <is>
          <t>Expired</t>
        </is>
      </c>
      <c r="B167" s="4" t="inlineStr">
        <is>
          <t>past the expiry date — เลยกำหนดแล้ว</t>
        </is>
      </c>
    </row>
    <row r="168">
      <c r="A168" s="35" t="inlineStr">
        <is>
          <t>Urgent</t>
        </is>
      </c>
      <c r="B168" s="4" t="inlineStr">
        <is>
          <t>expires within 30 days — ครบกำหนดใน 30 วัน</t>
        </is>
      </c>
    </row>
    <row r="169">
      <c r="A169" s="36" t="inlineStr">
        <is>
          <t>Due soon</t>
        </is>
      </c>
      <c r="B169" s="4" t="inlineStr">
        <is>
          <t>expires within 90 days — ครบกำหนดใน 90 วัน</t>
        </is>
      </c>
    </row>
    <row r="170">
      <c r="A170" s="37" t="inlineStr">
        <is>
          <t>OK</t>
        </is>
      </c>
      <c r="B170" s="4" t="inlineStr">
        <is>
          <t>more than 90 days left — ยังมีเวลา</t>
        </is>
      </c>
    </row>
    <row r="171">
      <c r="A171" s="38" t="inlineStr">
        <is>
          <t>No date</t>
        </is>
      </c>
      <c r="B171" s="4" t="inlineStr">
        <is>
          <t>expiry date not filled in yet — ยังไม่ได้ใส่วันหมดอายุ</t>
        </is>
      </c>
    </row>
  </sheetData>
  <mergeCells count="9">
    <mergeCell ref="B170:H170"/>
    <mergeCell ref="B163:H163"/>
    <mergeCell ref="A2:I2"/>
    <mergeCell ref="A1:I1"/>
    <mergeCell ref="B167:H167"/>
    <mergeCell ref="B171:H171"/>
    <mergeCell ref="B169:H169"/>
    <mergeCell ref="B164:H164"/>
    <mergeCell ref="B168:H168"/>
  </mergeCells>
  <conditionalFormatting sqref="B8:B59">
    <cfRule type="expression" priority="1" dxfId="0">
      <formula>B8&gt;0</formula>
    </cfRule>
  </conditionalFormatting>
  <conditionalFormatting sqref="C8:C59">
    <cfRule type="expression" priority="2" dxfId="1">
      <formula>C8&gt;0</formula>
    </cfRule>
  </conditionalFormatting>
  <conditionalFormatting sqref="D8:D59">
    <cfRule type="expression" priority="3" dxfId="2">
      <formula>D8&gt;0</formula>
    </cfRule>
  </conditionalFormatting>
  <conditionalFormatting sqref="E8:E59">
    <cfRule type="expression" priority="4" dxfId="3">
      <formula>E8&gt;0</formula>
    </cfRule>
  </conditionalFormatting>
  <conditionalFormatting sqref="B64:B115">
    <cfRule type="expression" priority="5" dxfId="0">
      <formula>B64&gt;0</formula>
    </cfRule>
  </conditionalFormatting>
  <conditionalFormatting sqref="C64:C115">
    <cfRule type="expression" priority="6" dxfId="1">
      <formula>C64&gt;0</formula>
    </cfRule>
  </conditionalFormatting>
  <conditionalFormatting sqref="D64:D115">
    <cfRule type="expression" priority="7" dxfId="2">
      <formula>D64&gt;0</formula>
    </cfRule>
  </conditionalFormatting>
  <conditionalFormatting sqref="E64:E115">
    <cfRule type="expression" priority="8" dxfId="3">
      <formula>E64&gt;0</formula>
    </cfRule>
  </conditionalFormatting>
  <conditionalFormatting sqref="B120:B123">
    <cfRule type="expression" priority="9" dxfId="0">
      <formula>B120&gt;0</formula>
    </cfRule>
  </conditionalFormatting>
  <conditionalFormatting sqref="C120:C123">
    <cfRule type="expression" priority="10" dxfId="1">
      <formula>C120&gt;0</formula>
    </cfRule>
  </conditionalFormatting>
  <conditionalFormatting sqref="D120:D123">
    <cfRule type="expression" priority="11" dxfId="2">
      <formula>D120&gt;0</formula>
    </cfRule>
  </conditionalFormatting>
  <conditionalFormatting sqref="E120:E123">
    <cfRule type="expression" priority="12" dxfId="3">
      <formula>E120&gt;0</formula>
    </cfRule>
  </conditionalFormatting>
  <conditionalFormatting sqref="B130:B159">
    <cfRule type="expression" priority="13" dxfId="4" stopIfTrue="1">
      <formula>$B130="Owner"</formula>
    </cfRule>
    <cfRule type="expression" priority="14" dxfId="5" stopIfTrue="1">
      <formula>$B130="Property"</formula>
    </cfRule>
  </conditionalFormatting>
  <conditionalFormatting sqref="A130:I159">
    <cfRule type="expression" priority="15" dxfId="0">
      <formula>$H130="Expired"</formula>
    </cfRule>
    <cfRule type="expression" priority="16" dxfId="1">
      <formula>$H130="Urgent"</formula>
    </cfRule>
    <cfRule type="expression" priority="17" dxfId="2">
      <formula>$H130="Due soon"</formula>
    </cfRule>
    <cfRule type="expression" priority="18" dxfId="3">
      <formula>$H130="OK"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SR9 — Somerset Rama 9 Bangkok</t>
        </is>
      </c>
    </row>
    <row r="2">
      <c r="A2" s="4" t="inlineStr">
        <is>
          <t>AMH Ratchada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Corporate</t>
        </is>
      </c>
      <c r="C9" s="12" t="inlineStr">
        <is>
          <t>Owner</t>
        </is>
      </c>
      <c r="D9" s="40" t="inlineStr">
        <is>
          <t>AGM — annual shareholders meeting</t>
        </is>
      </c>
      <c r="E9" s="40" t="inlineStr">
        <is>
          <t>ประชุมสามัญผู้ถือหุ้นประจำปี (ภายใน 4 เดือนหลังปิดงบ)</t>
        </is>
      </c>
      <c r="F9" s="40" t="inlineStr">
        <is>
          <t>Shareholders / DBD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Corporate</t>
        </is>
      </c>
      <c r="C10" s="12" t="inlineStr">
        <is>
          <t>Owner</t>
        </is>
      </c>
      <c r="D10" s="40" t="inlineStr">
        <is>
          <t>Audited FS filing to DBD</t>
        </is>
      </c>
      <c r="E10" s="40" t="inlineStr">
        <is>
          <t>ยื่นงบการเงินต่อกรมพัฒนาธุรกิจการค้า (ภายใน 1 เดือนหลัง AGM)</t>
        </is>
      </c>
      <c r="F10" s="40" t="inlineStr">
        <is>
          <t>Dept. of Business Development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Corporate</t>
        </is>
      </c>
      <c r="C11" s="12" t="inlineStr">
        <is>
          <t>Owner</t>
        </is>
      </c>
      <c r="D11" s="40" t="inlineStr">
        <is>
          <t>Corporate income tax (PND.50)</t>
        </is>
      </c>
      <c r="E11" s="40" t="inlineStr">
        <is>
          <t>ภ.ง.ด.50 (ภายใน 150 วันหลังปิดงบ)</t>
        </is>
      </c>
      <c r="F11" s="40" t="inlineStr">
        <is>
          <t>Revenue Department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Corporate</t>
        </is>
      </c>
      <c r="C12" s="12" t="inlineStr">
        <is>
          <t>Owner</t>
        </is>
      </c>
      <c r="D12" s="40" t="inlineStr">
        <is>
          <t>Half-year corporate tax (PND.51)</t>
        </is>
      </c>
      <c r="E12" s="40" t="inlineStr">
        <is>
          <t>ภ.ง.ด.51 (ภายใน 2 เดือนหลังครึ่งปี)</t>
        </is>
      </c>
      <c r="F12" s="40" t="inlineStr">
        <is>
          <t>Revenue Department</t>
        </is>
      </c>
      <c r="G12" s="39" t="n"/>
      <c r="H12" s="41" t="n"/>
      <c r="I12" s="41" t="n"/>
      <c r="J12" s="39" t="inlineStr">
        <is>
          <t>Annual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Corporate</t>
        </is>
      </c>
      <c r="C13" s="12" t="inlineStr">
        <is>
          <t>Owner</t>
        </is>
      </c>
      <c r="D13" s="40" t="inlineStr">
        <is>
          <t>Company affidavit refresh</t>
        </is>
      </c>
      <c r="E13" s="40" t="inlineStr">
        <is>
          <t>ขอหนังสือรับรองบริษัทฉบับใหม่ (ธนาคารมักขอไม่เกิน 6 เดือน)</t>
        </is>
      </c>
      <c r="F13" s="40" t="inlineStr">
        <is>
          <t>Dept. of Business Development</t>
        </is>
      </c>
      <c r="G13" s="39" t="n"/>
      <c r="H13" s="41" t="n"/>
      <c r="I13" s="41" t="n"/>
      <c r="J13" s="39" t="inlineStr">
        <is>
          <t>Semi-annual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Insurance</t>
        </is>
      </c>
      <c r="C14" s="12" t="inlineStr">
        <is>
          <t>Owner</t>
        </is>
      </c>
      <c r="D14" s="40" t="inlineStr">
        <is>
          <t>Industrial all risks insurance</t>
        </is>
      </c>
      <c r="E14" s="40" t="inlineStr">
        <is>
          <t>ประกันภัยความเสี่ยงภัยทรัพย์สิน (IAR)</t>
        </is>
      </c>
      <c r="F14" s="40" t="inlineStr">
        <is>
          <t>Insurer / broker</t>
        </is>
      </c>
      <c r="G14" s="39" t="n"/>
      <c r="H14" s="41" t="n"/>
      <c r="I14" s="41" t="n"/>
      <c r="J14" s="39" t="inlineStr">
        <is>
          <t>Annual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Insurance</t>
        </is>
      </c>
      <c r="C15" s="12" t="inlineStr">
        <is>
          <t>Owner</t>
        </is>
      </c>
      <c r="D15" s="40" t="inlineStr">
        <is>
          <t>Business interruption insurance</t>
        </is>
      </c>
      <c r="E15" s="40" t="inlineStr">
        <is>
          <t>ประกันภัยธุรกิจหยุดชะงัก</t>
        </is>
      </c>
      <c r="F15" s="40" t="inlineStr">
        <is>
          <t>Insurer / broker</t>
        </is>
      </c>
      <c r="G15" s="39" t="n"/>
      <c r="H15" s="41" t="n"/>
      <c r="I15" s="41" t="n"/>
      <c r="J15" s="39" t="inlineStr">
        <is>
          <t>Annual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Insurance</t>
        </is>
      </c>
      <c r="C16" s="12" t="inlineStr">
        <is>
          <t>Owner</t>
        </is>
      </c>
      <c r="D16" s="40" t="inlineStr">
        <is>
          <t>Political violence insurance</t>
        </is>
      </c>
      <c r="E16" s="40" t="inlineStr">
        <is>
          <t>ประกันภัยความรุนแรงทางการเมือง</t>
        </is>
      </c>
      <c r="F16" s="40" t="inlineStr">
        <is>
          <t>Insurer / broker</t>
        </is>
      </c>
      <c r="G16" s="39" t="n"/>
      <c r="H16" s="41" t="n"/>
      <c r="I16" s="41" t="n"/>
      <c r="J16" s="39" t="inlineStr">
        <is>
          <t>Annual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Contract - Management</t>
        </is>
      </c>
      <c r="C17" s="12" t="inlineStr">
        <is>
          <t>Owner</t>
        </is>
      </c>
      <c r="D17" s="40" t="inlineStr">
        <is>
          <t>Serviced residence management agreement (Ascott)</t>
        </is>
      </c>
      <c r="E17" s="40" t="inlineStr">
        <is>
          <t>สัญญาบริหารเซอร์วิสเรสซิเดนซ์ (Ascott)</t>
        </is>
      </c>
      <c r="F17" s="40" t="inlineStr">
        <is>
          <t>Ascott International Management (Thailand) Ltd.</t>
        </is>
      </c>
      <c r="G17" s="39" t="n"/>
      <c r="H17" s="41" t="n"/>
      <c r="I17" s="41" t="n"/>
      <c r="J17" s="39" t="inlineStr">
        <is>
          <t>Rolling / evergreen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Contract - Management</t>
        </is>
      </c>
      <c r="C18" s="12" t="inlineStr">
        <is>
          <t>Owner</t>
        </is>
      </c>
      <c r="D18" s="40" t="inlineStr">
        <is>
          <t>Management service / central fee agreement</t>
        </is>
      </c>
      <c r="E18" s="40" t="inlineStr">
        <is>
          <t>สัญญาค่าบริการส่วนกลาง</t>
        </is>
      </c>
      <c r="F18" s="40" t="inlineStr">
        <is>
          <t>Ascott International Management (Thailand) Ltd.</t>
        </is>
      </c>
      <c r="G18" s="39" t="n"/>
      <c r="H18" s="41" t="n"/>
      <c r="I18" s="41" t="n"/>
      <c r="J18" s="39" t="inlineStr">
        <is>
          <t>Rolling / evergreen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Contract - Service</t>
        </is>
      </c>
      <c r="C19" s="12" t="inlineStr">
        <is>
          <t>Owner</t>
        </is>
      </c>
      <c r="D19" s="40" t="inlineStr">
        <is>
          <t>F&amp;B outlet operator (MOU + lease + service)</t>
        </is>
      </c>
      <c r="E19" s="40" t="inlineStr">
        <is>
          <t>สัญญาผู้ประกอบการร้านอาหาร</t>
        </is>
      </c>
      <c r="F19" s="40" t="inlineStr">
        <is>
          <t>DK Wow Venture Co., Ltd.</t>
        </is>
      </c>
      <c r="G19" s="39" t="n"/>
      <c r="H19" s="41" t="n"/>
      <c r="I19" s="41" t="n"/>
      <c r="J19" s="39" t="inlineStr">
        <is>
          <t>Other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Contract - Lease / Finance</t>
        </is>
      </c>
      <c r="C20" s="12" t="inlineStr">
        <is>
          <t>Owner</t>
        </is>
      </c>
      <c r="D20" s="40" t="inlineStr">
        <is>
          <t>Land / building lease</t>
        </is>
      </c>
      <c r="E20" s="40" t="inlineStr">
        <is>
          <t>สัญญาเช่าที่ดิน/อาคาร</t>
        </is>
      </c>
      <c r="F20" s="40" t="inlineStr">
        <is>
          <t>Landlord</t>
        </is>
      </c>
      <c r="G20" s="39" t="n"/>
      <c r="H20" s="41" t="n"/>
      <c r="I20" s="41" t="n"/>
      <c r="J20" s="39" t="inlineStr">
        <is>
          <t>Other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Hotel operating licence</t>
        </is>
      </c>
      <c r="E21" s="40" t="inlineStr">
        <is>
          <t>ใบอนุญาตประกอบธุรกิจโรงแรม</t>
        </is>
      </c>
      <c r="F21" s="40" t="inlineStr">
        <is>
          <t>District Office / DOPA</t>
        </is>
      </c>
      <c r="G21" s="39" t="n"/>
      <c r="H21" s="41" t="n"/>
      <c r="I21" s="41" t="n"/>
      <c r="J21" s="39" t="inlineStr">
        <is>
          <t>Every 5 years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Hotel manager licence</t>
        </is>
      </c>
      <c r="E22" s="40" t="inlineStr">
        <is>
          <t>ใบอนุญาตผู้จัดการโรงแรม</t>
        </is>
      </c>
      <c r="F22" s="40" t="inlineStr">
        <is>
          <t>District Office / DOPA</t>
        </is>
      </c>
      <c r="G22" s="39" t="n"/>
      <c r="H22" s="41" t="n"/>
      <c r="I22" s="41" t="n"/>
      <c r="J22" s="39" t="inlineStr">
        <is>
          <t>Every 5 years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Food establishment licence</t>
        </is>
      </c>
      <c r="E23" s="40" t="inlineStr">
        <is>
          <t>ใบอนุญาตสถานที่จำหน่ายอาหาร</t>
        </is>
      </c>
      <c r="F23" s="40" t="inlineStr">
        <is>
          <t>Local authority</t>
        </is>
      </c>
      <c r="G23" s="39" t="n"/>
      <c r="H23" s="41" t="n"/>
      <c r="I23" s="41" t="n"/>
      <c r="J23" s="39" t="inlineStr">
        <is>
          <t>Annual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Alcohol sale licence (per outlet)</t>
        </is>
      </c>
      <c r="E24" s="40" t="inlineStr">
        <is>
          <t>ใบอนุญาตขายสุรา (ต่อร้าน)</t>
        </is>
      </c>
      <c r="F24" s="40" t="inlineStr">
        <is>
          <t>Excise Department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Gym licence</t>
        </is>
      </c>
      <c r="E25" s="40" t="inlineStr">
        <is>
          <t>ใบอนุญาตกิจการฟิตเนส</t>
        </is>
      </c>
      <c r="F25" s="40" t="inlineStr">
        <is>
          <t>Local authority</t>
        </is>
      </c>
      <c r="G25" s="39" t="n"/>
      <c r="H25" s="41" t="n"/>
      <c r="I25" s="41" t="n"/>
      <c r="J25" s="39" t="inlineStr">
        <is>
          <t>Annual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Licence</t>
        </is>
      </c>
      <c r="C26" s="12" t="inlineStr">
        <is>
          <t>Property</t>
        </is>
      </c>
      <c r="D26" s="40" t="inlineStr">
        <is>
          <t>Sauna licence</t>
        </is>
      </c>
      <c r="E26" s="40" t="inlineStr">
        <is>
          <t>ใบอนุญาตกิจการซาวน่า</t>
        </is>
      </c>
      <c r="F26" s="40" t="inlineStr">
        <is>
          <t>Local authority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Licence</t>
        </is>
      </c>
      <c r="C27" s="12" t="inlineStr">
        <is>
          <t>Property</t>
        </is>
      </c>
      <c r="D27" s="40" t="inlineStr">
        <is>
          <t>Swimming pool licence</t>
        </is>
      </c>
      <c r="E27" s="40" t="inlineStr">
        <is>
          <t>ใบอนุญาตกิจการสระว่ายน้ำ</t>
        </is>
      </c>
      <c r="F27" s="40" t="inlineStr">
        <is>
          <t>Local authority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Licence</t>
        </is>
      </c>
      <c r="C28" s="12" t="inlineStr">
        <is>
          <t>Property</t>
        </is>
      </c>
      <c r="D28" s="40" t="inlineStr">
        <is>
          <t>Hazardous substance licence</t>
        </is>
      </c>
      <c r="E28" s="40" t="inlineStr">
        <is>
          <t>ใบอนุญาตวัตถุอันตราย</t>
        </is>
      </c>
      <c r="F28" s="40" t="inlineStr">
        <is>
          <t>Local authority / FDA</t>
        </is>
      </c>
      <c r="G28" s="39" t="n"/>
      <c r="H28" s="41" t="n"/>
      <c r="I28" s="41" t="n"/>
      <c r="J28" s="39" t="inlineStr">
        <is>
          <t>Other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Licence</t>
        </is>
      </c>
      <c r="C29" s="12" t="inlineStr">
        <is>
          <t>Property</t>
        </is>
      </c>
      <c r="D29" s="40" t="inlineStr">
        <is>
          <t>Generator licence</t>
        </is>
      </c>
      <c r="E29" s="40" t="inlineStr">
        <is>
          <t>ใบอนุญาตเครื่องกำเนิดไฟฟ้า</t>
        </is>
      </c>
      <c r="F29" s="40" t="inlineStr">
        <is>
          <t>Dept. of Energy Business</t>
        </is>
      </c>
      <c r="G29" s="39" t="n"/>
      <c r="H29" s="41" t="n"/>
      <c r="I29" s="41" t="n"/>
      <c r="J29" s="39" t="inlineStr">
        <is>
          <t>Annual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Licence</t>
        </is>
      </c>
      <c r="C30" s="12" t="inlineStr">
        <is>
          <t>Property</t>
        </is>
      </c>
      <c r="D30" s="40" t="inlineStr">
        <is>
          <t>LPG storage licence</t>
        </is>
      </c>
      <c r="E30" s="40" t="inlineStr">
        <is>
          <t>ใบอนุญาตเก็บก๊าซ LPG</t>
        </is>
      </c>
      <c r="F30" s="40" t="inlineStr">
        <is>
          <t>Dept. of Energy Business</t>
        </is>
      </c>
      <c r="G30" s="39" t="n"/>
      <c r="H30" s="41" t="n"/>
      <c r="I30" s="41" t="n"/>
      <c r="J30" s="39" t="inlineStr">
        <is>
          <t>Other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Permit</t>
        </is>
      </c>
      <c r="C31" s="12" t="inlineStr">
        <is>
          <t>Property</t>
        </is>
      </c>
      <c r="D31" s="40" t="inlineStr">
        <is>
          <t>Work permits / visas — foreign staff</t>
        </is>
      </c>
      <c r="E31" s="40" t="inlineStr">
        <is>
          <t>ใบอนุญาตทำงาน/วีซ่าพนักงานต่างชาติ</t>
        </is>
      </c>
      <c r="F31" s="40" t="inlineStr">
        <is>
          <t>DOE / Immigration</t>
        </is>
      </c>
      <c r="G31" s="39" t="n"/>
      <c r="H31" s="41" t="n"/>
      <c r="I31" s="41" t="n"/>
      <c r="J31" s="39" t="inlineStr">
        <is>
          <t>Annual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Annual building inspection (Ror.1)</t>
        </is>
      </c>
      <c r="E32" s="40" t="inlineStr">
        <is>
          <t>รายงานตรวจสอบอาคารประจำปี (ร.1)</t>
        </is>
      </c>
      <c r="F32" s="40" t="inlineStr">
        <is>
          <t>Licensed inspector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Certificate</t>
        </is>
      </c>
      <c r="C33" s="12" t="inlineStr">
        <is>
          <t>Property</t>
        </is>
      </c>
      <c r="D33" s="40" t="inlineStr">
        <is>
          <t>EIA monitoring report</t>
        </is>
      </c>
      <c r="E33" s="40" t="inlineStr">
        <is>
          <t>รายงานติดตามมาตรการ EIA</t>
        </is>
      </c>
      <c r="F33" s="40" t="inlineStr">
        <is>
          <t>ONEP / consultant</t>
        </is>
      </c>
      <c r="G33" s="39" t="n"/>
      <c r="H33" s="41" t="n"/>
      <c r="I33" s="41" t="n"/>
      <c r="J33" s="39" t="inlineStr">
        <is>
          <t>Semi-annual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Certificate</t>
        </is>
      </c>
      <c r="C34" s="12" t="inlineStr">
        <is>
          <t>Property</t>
        </is>
      </c>
      <c r="D34" s="40" t="inlineStr">
        <is>
          <t>Welfare committee appointment</t>
        </is>
      </c>
      <c r="E34" s="40" t="inlineStr">
        <is>
          <t>แต่งตั้งคณะกรรมการสวัสดิการ</t>
        </is>
      </c>
      <c r="F34" s="40" t="inlineStr">
        <is>
          <t>Internal / DLPW</t>
        </is>
      </c>
      <c r="G34" s="39" t="n"/>
      <c r="H34" s="41" t="n"/>
      <c r="I34" s="41" t="n"/>
      <c r="J34" s="39" t="inlineStr">
        <is>
          <t>Every 2 years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Certificate</t>
        </is>
      </c>
      <c r="C35" s="12" t="inlineStr">
        <is>
          <t>Property</t>
        </is>
      </c>
      <c r="D35" s="40" t="inlineStr">
        <is>
          <t>OHS committee appointment</t>
        </is>
      </c>
      <c r="E35" s="40" t="inlineStr">
        <is>
          <t>แต่งตั้งคณะกรรมการความปลอดภัยฯ (คปอ.)</t>
        </is>
      </c>
      <c r="F35" s="40" t="inlineStr">
        <is>
          <t>Internal / DLPW</t>
        </is>
      </c>
      <c r="G35" s="39" t="n"/>
      <c r="H35" s="41" t="n"/>
      <c r="I35" s="41" t="n"/>
      <c r="J35" s="39" t="inlineStr">
        <is>
          <t>Every 2 years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Certificate</t>
        </is>
      </c>
      <c r="C36" s="12" t="inlineStr">
        <is>
          <t>Property</t>
        </is>
      </c>
      <c r="D36" s="40" t="inlineStr">
        <is>
          <t>Safety officer (Jor Por) appointments</t>
        </is>
      </c>
      <c r="E36" s="40" t="inlineStr">
        <is>
          <t>แต่งตั้งเจ้าหน้าที่ความปลอดภัย (จป.)</t>
        </is>
      </c>
      <c r="F36" s="40" t="inlineStr">
        <is>
          <t>Internal / DLPW</t>
        </is>
      </c>
      <c r="G36" s="39" t="n"/>
      <c r="H36" s="41" t="n"/>
      <c r="I36" s="41" t="n"/>
      <c r="J36" s="39" t="inlineStr">
        <is>
          <t>Other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Certificate</t>
        </is>
      </c>
      <c r="C37" s="12" t="inlineStr">
        <is>
          <t>Property</t>
        </is>
      </c>
      <c r="D37" s="40" t="inlineStr">
        <is>
          <t>Workplace environment assessment</t>
        </is>
      </c>
      <c r="E37" s="40" t="inlineStr">
        <is>
          <t>ตรวจวัดสภาพแวดล้อมในการทำงาน</t>
        </is>
      </c>
      <c r="F37" s="40" t="inlineStr">
        <is>
          <t>Accredited laboratory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Tax / Registration</t>
        </is>
      </c>
      <c r="C38" s="12" t="inlineStr">
        <is>
          <t>Property</t>
        </is>
      </c>
      <c r="D38" s="40" t="inlineStr">
        <is>
          <t>Provident fund registration</t>
        </is>
      </c>
      <c r="E38" s="40" t="inlineStr">
        <is>
          <t>ทะเบียนกองทุนสำรองเลี้ยงชีพ</t>
        </is>
      </c>
      <c r="F38" s="40" t="inlineStr">
        <is>
          <t>MOF / fund manager</t>
        </is>
      </c>
      <c r="G38" s="39" t="n"/>
      <c r="H38" s="41" t="n"/>
      <c r="I38" s="41" t="n"/>
      <c r="J38" s="39" t="inlineStr">
        <is>
          <t>One-off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Tax / Registration</t>
        </is>
      </c>
      <c r="C39" s="12" t="inlineStr">
        <is>
          <t>Property</t>
        </is>
      </c>
      <c r="D39" s="40" t="inlineStr">
        <is>
          <t>Social security registration</t>
        </is>
      </c>
      <c r="E39" s="40" t="inlineStr">
        <is>
          <t>ทะเบียนนายจ้างประกันสังคม</t>
        </is>
      </c>
      <c r="F39" s="40" t="inlineStr">
        <is>
          <t>Social Security Office</t>
        </is>
      </c>
      <c r="G39" s="39" t="n"/>
      <c r="H39" s="41" t="n"/>
      <c r="I39" s="41" t="n"/>
      <c r="J39" s="39" t="inlineStr">
        <is>
          <t>One-off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Tax / Registration</t>
        </is>
      </c>
      <c r="C40" s="12" t="inlineStr">
        <is>
          <t>Property</t>
        </is>
      </c>
      <c r="D40" s="40" t="inlineStr">
        <is>
          <t>Workmen compensation registration (KorTor.39)</t>
        </is>
      </c>
      <c r="E40" s="40" t="inlineStr">
        <is>
          <t>ทะเบียนกองทุนเงินทดแทน (กท.39)</t>
        </is>
      </c>
      <c r="F40" s="40" t="inlineStr">
        <is>
          <t>Social Security Office</t>
        </is>
      </c>
      <c r="G40" s="39" t="n"/>
      <c r="H40" s="41" t="n"/>
      <c r="I40" s="41" t="n"/>
      <c r="J40" s="39" t="inlineStr">
        <is>
          <t>One-off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Insurance</t>
        </is>
      </c>
      <c r="C41" s="12" t="inlineStr">
        <is>
          <t>Property</t>
        </is>
      </c>
      <c r="D41" s="40" t="inlineStr">
        <is>
          <t>Public liability insurance</t>
        </is>
      </c>
      <c r="E41" s="40" t="inlineStr">
        <is>
          <t>ประกันภัยความรับผิดต่อบุคคลภายนอก</t>
        </is>
      </c>
      <c r="F41" s="40" t="inlineStr">
        <is>
          <t>Insurer / broker</t>
        </is>
      </c>
      <c r="G41" s="39" t="n"/>
      <c r="H41" s="41" t="n"/>
      <c r="I41" s="41" t="n"/>
      <c r="J41" s="39" t="inlineStr">
        <is>
          <t>Annual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Insurance</t>
        </is>
      </c>
      <c r="C42" s="12" t="inlineStr">
        <is>
          <t>Property</t>
        </is>
      </c>
      <c r="D42" s="40" t="inlineStr">
        <is>
          <t>Fidelity insurance</t>
        </is>
      </c>
      <c r="E42" s="40" t="inlineStr">
        <is>
          <t>ประกันภัยความซื่อสัตย์พนักงาน</t>
        </is>
      </c>
      <c r="F42" s="40" t="inlineStr">
        <is>
          <t>Insurer / broker</t>
        </is>
      </c>
      <c r="G42" s="39" t="n"/>
      <c r="H42" s="41" t="n"/>
      <c r="I42" s="41" t="n"/>
      <c r="J42" s="39" t="inlineStr">
        <is>
          <t>Annual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Insurance</t>
        </is>
      </c>
      <c r="C43" s="12" t="inlineStr">
        <is>
          <t>Property</t>
        </is>
      </c>
      <c r="D43" s="40" t="inlineStr">
        <is>
          <t>Motor insurance (per vehicle)</t>
        </is>
      </c>
      <c r="E43" s="40" t="inlineStr">
        <is>
          <t>ประกันภัยรถยนต์ (ต่อคัน)</t>
        </is>
      </c>
      <c r="F43" s="40" t="inlineStr">
        <is>
          <t>Insurer / broker</t>
        </is>
      </c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Insurance</t>
        </is>
      </c>
      <c r="C44" s="12" t="inlineStr">
        <is>
          <t>Property</t>
        </is>
      </c>
      <c r="D44" s="40" t="inlineStr">
        <is>
          <t>Employee group insurance</t>
        </is>
      </c>
      <c r="E44" s="40" t="inlineStr">
        <is>
          <t>ประกันภัยกลุ่มพนักงาน</t>
        </is>
      </c>
      <c r="F44" s="40" t="inlineStr">
        <is>
          <t>Insurer / broker</t>
        </is>
      </c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OTA</t>
        </is>
      </c>
      <c r="C45" s="12" t="inlineStr">
        <is>
          <t>Property</t>
        </is>
      </c>
      <c r="D45" s="40" t="inlineStr">
        <is>
          <t>Booking.com accommodation agreement</t>
        </is>
      </c>
      <c r="E45" s="40" t="inlineStr">
        <is>
          <t>สัญญากับ Booking.com</t>
        </is>
      </c>
      <c r="F45" s="40" t="inlineStr">
        <is>
          <t>Booking.com B.V.</t>
        </is>
      </c>
      <c r="G45" s="39" t="n"/>
      <c r="H45" s="41" t="n"/>
      <c r="I45" s="41" t="n"/>
      <c r="J45" s="39" t="inlineStr">
        <is>
          <t>Rolling / evergreen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OTA</t>
        </is>
      </c>
      <c r="C46" s="12" t="inlineStr">
        <is>
          <t>Property</t>
        </is>
      </c>
      <c r="D46" s="40" t="inlineStr">
        <is>
          <t>Expedia lodging agreement</t>
        </is>
      </c>
      <c r="E46" s="40" t="inlineStr">
        <is>
          <t>สัญญากับ Expedia</t>
        </is>
      </c>
      <c r="F46" s="40" t="inlineStr">
        <is>
          <t>Travelscape LLC / Expedia</t>
        </is>
      </c>
      <c r="G46" s="39" t="n"/>
      <c r="H46" s="41" t="n"/>
      <c r="I46" s="41" t="n"/>
      <c r="J46" s="39" t="inlineStr">
        <is>
          <t>Rolling / evergreen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OTA</t>
        </is>
      </c>
      <c r="C47" s="12" t="inlineStr">
        <is>
          <t>Property</t>
        </is>
      </c>
      <c r="D47" s="40" t="inlineStr">
        <is>
          <t>Agoda accommodation agreement</t>
        </is>
      </c>
      <c r="E47" s="40" t="inlineStr">
        <is>
          <t>สัญญากับ Agoda</t>
        </is>
      </c>
      <c r="F47" s="40" t="inlineStr">
        <is>
          <t>Agoda Company Pte. Ltd.</t>
        </is>
      </c>
      <c r="G47" s="39" t="n"/>
      <c r="H47" s="41" t="n"/>
      <c r="I47" s="41" t="n"/>
      <c r="J47" s="39" t="inlineStr">
        <is>
          <t>Rolling / evergreen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Service</t>
        </is>
      </c>
      <c r="C48" s="12" t="inlineStr">
        <is>
          <t>Property</t>
        </is>
      </c>
      <c r="D48" s="40" t="inlineStr">
        <is>
          <t>Breakfast service contract</t>
        </is>
      </c>
      <c r="E48" s="40" t="inlineStr">
        <is>
          <t>สัญญาบริการอาหารเช้า</t>
        </is>
      </c>
      <c r="F48" s="40" t="n"/>
      <c r="G48" s="39" t="n"/>
      <c r="H48" s="41" t="n"/>
      <c r="I48" s="41" t="n"/>
      <c r="J48" s="39" t="inlineStr">
        <is>
          <t>Annual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Limousine service contract</t>
        </is>
      </c>
      <c r="E49" s="40" t="inlineStr">
        <is>
          <t>สัญญาบริการรถลีมูซีน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Car rental contract</t>
        </is>
      </c>
      <c r="E50" s="40" t="inlineStr">
        <is>
          <t>สัญญาเช่ารถยนต์</t>
        </is>
      </c>
      <c r="F50" s="40" t="n"/>
      <c r="G50" s="39" t="n"/>
      <c r="H50" s="41" t="n"/>
      <c r="I50" s="41" t="n"/>
      <c r="J50" s="39" t="inlineStr">
        <is>
          <t>Other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Public area music contract</t>
        </is>
      </c>
      <c r="E51" s="40" t="inlineStr">
        <is>
          <t>สัญญาเพลงพื้นที่ส่วนกลาง (ลิขสิทธิ์)</t>
        </is>
      </c>
      <c r="F51" s="40" t="n"/>
      <c r="G51" s="39" t="n"/>
      <c r="H51" s="41" t="n"/>
      <c r="I51" s="41" t="n"/>
      <c r="J51" s="39" t="inlineStr">
        <is>
          <t>Annual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Music design contract</t>
        </is>
      </c>
      <c r="E52" s="40" t="inlineStr">
        <is>
          <t>สัญญาออกแบบเสียงเพลง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Newspaper / magazine subscription</t>
        </is>
      </c>
      <c r="E53" s="40" t="inlineStr">
        <is>
          <t>สัญญาหนังสือพิมพ์/นิตยสาร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Document storage service</t>
        </is>
      </c>
      <c r="E54" s="40" t="inlineStr">
        <is>
          <t>สัญญารับฝากเอกสาร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Photocopier rental</t>
        </is>
      </c>
      <c r="E55" s="40" t="inlineStr">
        <is>
          <t>สัญญาเช่าเครื่องถ่ายเอกสาร</t>
        </is>
      </c>
      <c r="F55" s="40" t="n"/>
      <c r="G55" s="39" t="n"/>
      <c r="H55" s="41" t="n"/>
      <c r="I55" s="41" t="n"/>
      <c r="J55" s="39" t="inlineStr">
        <is>
          <t>Other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Fire alarm maintenance</t>
        </is>
      </c>
      <c r="E56" s="40" t="inlineStr">
        <is>
          <t>สัญญาบำรุงรักษาระบบแจ้งเหตุเพลิงไหม้</t>
        </is>
      </c>
      <c r="F56" s="40" t="n"/>
      <c r="G56" s="39" t="n"/>
      <c r="H56" s="41" t="n"/>
      <c r="I56" s="41" t="n"/>
      <c r="J56" s="39" t="inlineStr">
        <is>
          <t>Annual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Sound system maintenance</t>
        </is>
      </c>
      <c r="E57" s="40" t="inlineStr">
        <is>
          <t>สัญญาบำรุงรักษาระบบเสียง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Electrical equipment maintenance</t>
        </is>
      </c>
      <c r="E58" s="40" t="inlineStr">
        <is>
          <t>สัญญาบำรุงรักษาอุปกรณ์ไฟฟ้า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Elevator maintenance (per lift)</t>
        </is>
      </c>
      <c r="E59" s="40" t="inlineStr">
        <is>
          <t>สัญญาบำรุงรักษาลิฟต์ (ต่อตัว)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Elevator annual audit</t>
        </is>
      </c>
      <c r="E60" s="40" t="inlineStr">
        <is>
          <t>สัญญาตรวจสอบลิฟต์ประจำปี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Fitness equipment maintenance</t>
        </is>
      </c>
      <c r="E61" s="40" t="inlineStr">
        <is>
          <t>สัญญาบำรุงรักษาอุปกรณ์ฟิตเนส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PABX maintenance</t>
        </is>
      </c>
      <c r="E62" s="40" t="inlineStr">
        <is>
          <t>สัญญาบำรุงรักษาระบบโทรศัพท์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Air, water &amp; wastewater checking</t>
        </is>
      </c>
      <c r="E63" s="40" t="inlineStr">
        <is>
          <t>สัญญาตรวจวัดอากาศ น้ำ และน้ำทิ้ง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Annual energy conservation audit</t>
        </is>
      </c>
      <c r="E64" s="40" t="inlineStr">
        <is>
          <t>สัญญาตรวจสอบการอนุรักษ์พลังงานประจำปี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Annual building inspection contract</t>
        </is>
      </c>
      <c r="E65" s="40" t="inlineStr">
        <is>
          <t>สัญญาตรวจสอบอาคารประจำปี</t>
        </is>
      </c>
      <c r="F65" s="40" t="n"/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Hygiene services</t>
        </is>
      </c>
      <c r="E66" s="40" t="inlineStr">
        <is>
          <t>สัญญาบริการสุขอนามัย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Cleaning service</t>
        </is>
      </c>
      <c r="E67" s="40" t="inlineStr">
        <is>
          <t>สัญญาบริการทำความสะอาด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Pest control</t>
        </is>
      </c>
      <c r="E68" s="40" t="inlineStr">
        <is>
          <t>สัญญากำจัดแมลง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Landscape service</t>
        </is>
      </c>
      <c r="E69" s="40" t="inlineStr">
        <is>
          <t>สัญญาดูแลภูมิทัศน์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Laundry service</t>
        </is>
      </c>
      <c r="E70" s="40" t="inlineStr">
        <is>
          <t>สัญญาบริการซักรีด</t>
        </is>
      </c>
      <c r="F70" s="40" t="inlineStr">
        <is>
          <t>Asset World Wex Co., Ltd.</t>
        </is>
      </c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Lobby aroma scent service</t>
        </is>
      </c>
      <c r="E71" s="40" t="inlineStr">
        <is>
          <t>สัญญาบริการน้ำหอมล็อบบี้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Leased line (back office)</t>
        </is>
      </c>
      <c r="E72" s="40" t="inlineStr">
        <is>
          <t>สัญญาลีสไลน์สำนักงาน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Guest internet</t>
        </is>
      </c>
      <c r="E73" s="40" t="inlineStr">
        <is>
          <t>สัญญาอินเทอร์เน็ตแขก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inlineStr">
        <is>
          <t>Contract - Service</t>
        </is>
      </c>
      <c r="C74" s="12" t="inlineStr">
        <is>
          <t>Property</t>
        </is>
      </c>
      <c r="D74" s="40" t="inlineStr">
        <is>
          <t>PMS maintenance</t>
        </is>
      </c>
      <c r="E74" s="40" t="inlineStr">
        <is>
          <t>สัญญาบำรุงรักษาระบบ PMS</t>
        </is>
      </c>
      <c r="F74" s="40" t="n"/>
      <c r="G74" s="39" t="n"/>
      <c r="H74" s="41" t="n"/>
      <c r="I74" s="41" t="n"/>
      <c r="J74" s="39" t="inlineStr">
        <is>
          <t>Annual</t>
        </is>
      </c>
      <c r="K74" s="39" t="n">
        <v>60</v>
      </c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inlineStr">
        <is>
          <t>Contract - Service</t>
        </is>
      </c>
      <c r="C75" s="12" t="inlineStr">
        <is>
          <t>Property</t>
        </is>
      </c>
      <c r="D75" s="40" t="inlineStr">
        <is>
          <t>Accounting software maintenance</t>
        </is>
      </c>
      <c r="E75" s="40" t="inlineStr">
        <is>
          <t>สัญญาบำรุงรักษาซอฟต์แวร์บัญชี</t>
        </is>
      </c>
      <c r="F75" s="40" t="n"/>
      <c r="G75" s="39" t="n"/>
      <c r="H75" s="41" t="n"/>
      <c r="I75" s="41" t="n"/>
      <c r="J75" s="39" t="inlineStr">
        <is>
          <t>Annual</t>
        </is>
      </c>
      <c r="K75" s="39" t="n">
        <v>60</v>
      </c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inlineStr">
        <is>
          <t>Contract - Service</t>
        </is>
      </c>
      <c r="C76" s="12" t="inlineStr">
        <is>
          <t>Property</t>
        </is>
      </c>
      <c r="D76" s="40" t="inlineStr">
        <is>
          <t>Security service</t>
        </is>
      </c>
      <c r="E76" s="40" t="inlineStr">
        <is>
          <t>สัญญารักษาความปลอดภัย</t>
        </is>
      </c>
      <c r="F76" s="40" t="n"/>
      <c r="G76" s="39" t="n"/>
      <c r="H76" s="41" t="n"/>
      <c r="I76" s="41" t="n"/>
      <c r="J76" s="39" t="inlineStr">
        <is>
          <t>Annual</t>
        </is>
      </c>
      <c r="K76" s="39" t="n">
        <v>60</v>
      </c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inlineStr">
        <is>
          <t>Contract - Service</t>
        </is>
      </c>
      <c r="C77" s="12" t="inlineStr">
        <is>
          <t>Property</t>
        </is>
      </c>
      <c r="D77" s="40" t="inlineStr">
        <is>
          <t>CCTV system</t>
        </is>
      </c>
      <c r="E77" s="40" t="inlineStr">
        <is>
          <t>สัญญาระบบกล้องวงจรปิด</t>
        </is>
      </c>
      <c r="F77" s="40" t="n"/>
      <c r="G77" s="39" t="n"/>
      <c r="H77" s="41" t="n"/>
      <c r="I77" s="41" t="n"/>
      <c r="J77" s="39" t="inlineStr">
        <is>
          <t>Annual</t>
        </is>
      </c>
      <c r="K77" s="39" t="n">
        <v>60</v>
      </c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inlineStr">
        <is>
          <t>Contract - Service</t>
        </is>
      </c>
      <c r="C78" s="12" t="inlineStr">
        <is>
          <t>Property</t>
        </is>
      </c>
      <c r="D78" s="40" t="inlineStr">
        <is>
          <t>Car parking system</t>
        </is>
      </c>
      <c r="E78" s="40" t="inlineStr">
        <is>
          <t>สัญญาระบบที่จอดรถ</t>
        </is>
      </c>
      <c r="F78" s="40" t="n"/>
      <c r="G78" s="39" t="n"/>
      <c r="H78" s="41" t="n"/>
      <c r="I78" s="41" t="n"/>
      <c r="J78" s="39" t="inlineStr">
        <is>
          <t>Annual</t>
        </is>
      </c>
      <c r="K78" s="39" t="n">
        <v>60</v>
      </c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n"/>
      <c r="C79" s="12" t="n"/>
      <c r="D79" s="40" t="n"/>
      <c r="E79" s="40" t="n"/>
      <c r="F79" s="40" t="n"/>
      <c r="G79" s="39" t="n"/>
      <c r="H79" s="41" t="n"/>
      <c r="I79" s="41" t="n"/>
      <c r="J79" s="39" t="n"/>
      <c r="K79" s="39" t="n"/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n"/>
      <c r="C80" s="12" t="n"/>
      <c r="D80" s="40" t="n"/>
      <c r="E80" s="40" t="n"/>
      <c r="F80" s="40" t="n"/>
      <c r="G80" s="39" t="n"/>
      <c r="H80" s="41" t="n"/>
      <c r="I80" s="41" t="n"/>
      <c r="J80" s="39" t="n"/>
      <c r="K80" s="39" t="n"/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Lists!$C$4:$C$14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AES — Ascott Embassy Sathorn Bangkok</t>
        </is>
      </c>
    </row>
    <row r="2">
      <c r="A2" s="4" t="inlineStr">
        <is>
          <t>AMH Sathorn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Corporate</t>
        </is>
      </c>
      <c r="C9" s="12" t="inlineStr">
        <is>
          <t>Owner</t>
        </is>
      </c>
      <c r="D9" s="40" t="inlineStr">
        <is>
          <t>AGM — annual shareholders meeting</t>
        </is>
      </c>
      <c r="E9" s="40" t="inlineStr">
        <is>
          <t>ประชุมสามัญผู้ถือหุ้นประจำปี (ภายใน 4 เดือนหลังปิดงบ)</t>
        </is>
      </c>
      <c r="F9" s="40" t="inlineStr">
        <is>
          <t>Shareholders / DBD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Corporate</t>
        </is>
      </c>
      <c r="C10" s="12" t="inlineStr">
        <is>
          <t>Owner</t>
        </is>
      </c>
      <c r="D10" s="40" t="inlineStr">
        <is>
          <t>Audited FS filing to DBD</t>
        </is>
      </c>
      <c r="E10" s="40" t="inlineStr">
        <is>
          <t>ยื่นงบการเงินต่อกรมพัฒนาธุรกิจการค้า (ภายใน 1 เดือนหลัง AGM)</t>
        </is>
      </c>
      <c r="F10" s="40" t="inlineStr">
        <is>
          <t>Dept. of Business Development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Corporate</t>
        </is>
      </c>
      <c r="C11" s="12" t="inlineStr">
        <is>
          <t>Owner</t>
        </is>
      </c>
      <c r="D11" s="40" t="inlineStr">
        <is>
          <t>Corporate income tax (PND.50)</t>
        </is>
      </c>
      <c r="E11" s="40" t="inlineStr">
        <is>
          <t>ภ.ง.ด.50 (ภายใน 150 วันหลังปิดงบ)</t>
        </is>
      </c>
      <c r="F11" s="40" t="inlineStr">
        <is>
          <t>Revenue Department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Corporate</t>
        </is>
      </c>
      <c r="C12" s="12" t="inlineStr">
        <is>
          <t>Owner</t>
        </is>
      </c>
      <c r="D12" s="40" t="inlineStr">
        <is>
          <t>Half-year corporate tax (PND.51)</t>
        </is>
      </c>
      <c r="E12" s="40" t="inlineStr">
        <is>
          <t>ภ.ง.ด.51 (ภายใน 2 เดือนหลังครึ่งปี)</t>
        </is>
      </c>
      <c r="F12" s="40" t="inlineStr">
        <is>
          <t>Revenue Department</t>
        </is>
      </c>
      <c r="G12" s="39" t="n"/>
      <c r="H12" s="41" t="n"/>
      <c r="I12" s="41" t="n"/>
      <c r="J12" s="39" t="inlineStr">
        <is>
          <t>Annual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Corporate</t>
        </is>
      </c>
      <c r="C13" s="12" t="inlineStr">
        <is>
          <t>Owner</t>
        </is>
      </c>
      <c r="D13" s="40" t="inlineStr">
        <is>
          <t>Company affidavit refresh</t>
        </is>
      </c>
      <c r="E13" s="40" t="inlineStr">
        <is>
          <t>ขอหนังสือรับรองบริษัทฉบับใหม่ (ธนาคารมักขอไม่เกิน 6 เดือน)</t>
        </is>
      </c>
      <c r="F13" s="40" t="inlineStr">
        <is>
          <t>Dept. of Business Development</t>
        </is>
      </c>
      <c r="G13" s="39" t="n"/>
      <c r="H13" s="41" t="n"/>
      <c r="I13" s="41" t="n"/>
      <c r="J13" s="39" t="inlineStr">
        <is>
          <t>Semi-annual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Insurance</t>
        </is>
      </c>
      <c r="C14" s="12" t="inlineStr">
        <is>
          <t>Owner</t>
        </is>
      </c>
      <c r="D14" s="40" t="inlineStr">
        <is>
          <t>Industrial all risks insurance</t>
        </is>
      </c>
      <c r="E14" s="40" t="inlineStr">
        <is>
          <t>ประกันภัยความเสี่ยงภัยทรัพย์สิน (IAR)</t>
        </is>
      </c>
      <c r="F14" s="40" t="inlineStr">
        <is>
          <t>Insurer / broker</t>
        </is>
      </c>
      <c r="G14" s="39" t="n"/>
      <c r="H14" s="41" t="n"/>
      <c r="I14" s="41" t="n"/>
      <c r="J14" s="39" t="inlineStr">
        <is>
          <t>Annual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Insurance</t>
        </is>
      </c>
      <c r="C15" s="12" t="inlineStr">
        <is>
          <t>Owner</t>
        </is>
      </c>
      <c r="D15" s="40" t="inlineStr">
        <is>
          <t>Business interruption insurance</t>
        </is>
      </c>
      <c r="E15" s="40" t="inlineStr">
        <is>
          <t>ประกันภัยธุรกิจหยุดชะงัก</t>
        </is>
      </c>
      <c r="F15" s="40" t="inlineStr">
        <is>
          <t>Insurer / broker</t>
        </is>
      </c>
      <c r="G15" s="39" t="n"/>
      <c r="H15" s="41" t="n"/>
      <c r="I15" s="41" t="n"/>
      <c r="J15" s="39" t="inlineStr">
        <is>
          <t>Annual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Insurance</t>
        </is>
      </c>
      <c r="C16" s="12" t="inlineStr">
        <is>
          <t>Owner</t>
        </is>
      </c>
      <c r="D16" s="40" t="inlineStr">
        <is>
          <t>Political violence insurance</t>
        </is>
      </c>
      <c r="E16" s="40" t="inlineStr">
        <is>
          <t>ประกันภัยความรุนแรงทางการเมือง</t>
        </is>
      </c>
      <c r="F16" s="40" t="inlineStr">
        <is>
          <t>Insurer / broker</t>
        </is>
      </c>
      <c r="G16" s="39" t="n"/>
      <c r="H16" s="41" t="n"/>
      <c r="I16" s="41" t="n"/>
      <c r="J16" s="39" t="inlineStr">
        <is>
          <t>Annual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Contract - Management</t>
        </is>
      </c>
      <c r="C17" s="12" t="inlineStr">
        <is>
          <t>Owner</t>
        </is>
      </c>
      <c r="D17" s="40" t="inlineStr">
        <is>
          <t>Serviced residence management agreement (Ascott)</t>
        </is>
      </c>
      <c r="E17" s="40" t="inlineStr">
        <is>
          <t>สัญญาบริหารเซอร์วิสเรสซิเดนซ์ (Ascott)</t>
        </is>
      </c>
      <c r="F17" s="40" t="inlineStr">
        <is>
          <t>Ascott International Management (Thailand) Ltd.</t>
        </is>
      </c>
      <c r="G17" s="39" t="n"/>
      <c r="H17" s="41" t="n"/>
      <c r="I17" s="41" t="n"/>
      <c r="J17" s="39" t="inlineStr">
        <is>
          <t>Rolling / evergreen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Contract - Management</t>
        </is>
      </c>
      <c r="C18" s="12" t="inlineStr">
        <is>
          <t>Owner</t>
        </is>
      </c>
      <c r="D18" s="40" t="inlineStr">
        <is>
          <t>Management service / central fee agreement</t>
        </is>
      </c>
      <c r="E18" s="40" t="inlineStr">
        <is>
          <t>สัญญาค่าบริการส่วนกลาง</t>
        </is>
      </c>
      <c r="F18" s="40" t="inlineStr">
        <is>
          <t>Ascott International Management (Thailand) Ltd.</t>
        </is>
      </c>
      <c r="G18" s="39" t="n"/>
      <c r="H18" s="41" t="n"/>
      <c r="I18" s="41" t="n"/>
      <c r="J18" s="39" t="inlineStr">
        <is>
          <t>Rolling / evergreen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Contract - Service</t>
        </is>
      </c>
      <c r="C19" s="12" t="inlineStr">
        <is>
          <t>Owner</t>
        </is>
      </c>
      <c r="D19" s="40" t="inlineStr">
        <is>
          <t>F&amp;B outlet operator (MOU + lease + service)</t>
        </is>
      </c>
      <c r="E19" s="40" t="inlineStr">
        <is>
          <t>สัญญาผู้ประกอบการร้านอาหาร</t>
        </is>
      </c>
      <c r="F19" s="40" t="inlineStr">
        <is>
          <t>DK Wow Venture Co., Ltd.</t>
        </is>
      </c>
      <c r="G19" s="39" t="n"/>
      <c r="H19" s="41" t="n"/>
      <c r="I19" s="41" t="n"/>
      <c r="J19" s="39" t="inlineStr">
        <is>
          <t>Other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Contract - Lease / Finance</t>
        </is>
      </c>
      <c r="C20" s="12" t="inlineStr">
        <is>
          <t>Owner</t>
        </is>
      </c>
      <c r="D20" s="40" t="inlineStr">
        <is>
          <t>Land / building lease</t>
        </is>
      </c>
      <c r="E20" s="40" t="inlineStr">
        <is>
          <t>สัญญาเช่าที่ดิน/อาคาร</t>
        </is>
      </c>
      <c r="F20" s="40" t="inlineStr">
        <is>
          <t>Landlord</t>
        </is>
      </c>
      <c r="G20" s="39" t="n"/>
      <c r="H20" s="41" t="n"/>
      <c r="I20" s="41" t="n"/>
      <c r="J20" s="39" t="inlineStr">
        <is>
          <t>Other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Hotel operating licence</t>
        </is>
      </c>
      <c r="E21" s="40" t="inlineStr">
        <is>
          <t>ใบอนุญาตประกอบธุรกิจโรงแรม</t>
        </is>
      </c>
      <c r="F21" s="40" t="inlineStr">
        <is>
          <t>District Office / DOPA</t>
        </is>
      </c>
      <c r="G21" s="39" t="n"/>
      <c r="H21" s="41" t="n"/>
      <c r="I21" s="41" t="n"/>
      <c r="J21" s="39" t="inlineStr">
        <is>
          <t>Every 5 years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Hotel manager licence</t>
        </is>
      </c>
      <c r="E22" s="40" t="inlineStr">
        <is>
          <t>ใบอนุญาตผู้จัดการโรงแรม</t>
        </is>
      </c>
      <c r="F22" s="40" t="inlineStr">
        <is>
          <t>District Office / DOPA</t>
        </is>
      </c>
      <c r="G22" s="39" t="n"/>
      <c r="H22" s="41" t="n"/>
      <c r="I22" s="41" t="n"/>
      <c r="J22" s="39" t="inlineStr">
        <is>
          <t>Every 5 years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Food establishment licence</t>
        </is>
      </c>
      <c r="E23" s="40" t="inlineStr">
        <is>
          <t>ใบอนุญาตสถานที่จำหน่ายอาหาร</t>
        </is>
      </c>
      <c r="F23" s="40" t="inlineStr">
        <is>
          <t>Local authority</t>
        </is>
      </c>
      <c r="G23" s="39" t="n"/>
      <c r="H23" s="41" t="n"/>
      <c r="I23" s="41" t="n"/>
      <c r="J23" s="39" t="inlineStr">
        <is>
          <t>Annual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Alcohol sale licence (per outlet)</t>
        </is>
      </c>
      <c r="E24" s="40" t="inlineStr">
        <is>
          <t>ใบอนุญาตขายสุรา (ต่อร้าน)</t>
        </is>
      </c>
      <c r="F24" s="40" t="inlineStr">
        <is>
          <t>Excise Department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Gym licence</t>
        </is>
      </c>
      <c r="E25" s="40" t="inlineStr">
        <is>
          <t>ใบอนุญาตกิจการฟิตเนส</t>
        </is>
      </c>
      <c r="F25" s="40" t="inlineStr">
        <is>
          <t>Local authority</t>
        </is>
      </c>
      <c r="G25" s="39" t="n"/>
      <c r="H25" s="41" t="n"/>
      <c r="I25" s="41" t="n"/>
      <c r="J25" s="39" t="inlineStr">
        <is>
          <t>Annual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Licence</t>
        </is>
      </c>
      <c r="C26" s="12" t="inlineStr">
        <is>
          <t>Property</t>
        </is>
      </c>
      <c r="D26" s="40" t="inlineStr">
        <is>
          <t>Sauna licence</t>
        </is>
      </c>
      <c r="E26" s="40" t="inlineStr">
        <is>
          <t>ใบอนุญาตกิจการซาวน่า</t>
        </is>
      </c>
      <c r="F26" s="40" t="inlineStr">
        <is>
          <t>Local authority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Licence</t>
        </is>
      </c>
      <c r="C27" s="12" t="inlineStr">
        <is>
          <t>Property</t>
        </is>
      </c>
      <c r="D27" s="40" t="inlineStr">
        <is>
          <t>Swimming pool licence</t>
        </is>
      </c>
      <c r="E27" s="40" t="inlineStr">
        <is>
          <t>ใบอนุญาตกิจการสระว่ายน้ำ</t>
        </is>
      </c>
      <c r="F27" s="40" t="inlineStr">
        <is>
          <t>Local authority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Licence</t>
        </is>
      </c>
      <c r="C28" s="12" t="inlineStr">
        <is>
          <t>Property</t>
        </is>
      </c>
      <c r="D28" s="40" t="inlineStr">
        <is>
          <t>Hazardous substance licence</t>
        </is>
      </c>
      <c r="E28" s="40" t="inlineStr">
        <is>
          <t>ใบอนุญาตวัตถุอันตราย</t>
        </is>
      </c>
      <c r="F28" s="40" t="inlineStr">
        <is>
          <t>Local authority / FDA</t>
        </is>
      </c>
      <c r="G28" s="39" t="n"/>
      <c r="H28" s="41" t="n"/>
      <c r="I28" s="41" t="n"/>
      <c r="J28" s="39" t="inlineStr">
        <is>
          <t>Other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Licence</t>
        </is>
      </c>
      <c r="C29" s="12" t="inlineStr">
        <is>
          <t>Property</t>
        </is>
      </c>
      <c r="D29" s="40" t="inlineStr">
        <is>
          <t>Generator licence</t>
        </is>
      </c>
      <c r="E29" s="40" t="inlineStr">
        <is>
          <t>ใบอนุญาตเครื่องกำเนิดไฟฟ้า</t>
        </is>
      </c>
      <c r="F29" s="40" t="inlineStr">
        <is>
          <t>Dept. of Energy Business</t>
        </is>
      </c>
      <c r="G29" s="39" t="n"/>
      <c r="H29" s="41" t="n"/>
      <c r="I29" s="41" t="n"/>
      <c r="J29" s="39" t="inlineStr">
        <is>
          <t>Annual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Licence</t>
        </is>
      </c>
      <c r="C30" s="12" t="inlineStr">
        <is>
          <t>Property</t>
        </is>
      </c>
      <c r="D30" s="40" t="inlineStr">
        <is>
          <t>LPG storage licence</t>
        </is>
      </c>
      <c r="E30" s="40" t="inlineStr">
        <is>
          <t>ใบอนุญาตเก็บก๊าซ LPG</t>
        </is>
      </c>
      <c r="F30" s="40" t="inlineStr">
        <is>
          <t>Dept. of Energy Business</t>
        </is>
      </c>
      <c r="G30" s="39" t="n"/>
      <c r="H30" s="41" t="n"/>
      <c r="I30" s="41" t="n"/>
      <c r="J30" s="39" t="inlineStr">
        <is>
          <t>Other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Permit</t>
        </is>
      </c>
      <c r="C31" s="12" t="inlineStr">
        <is>
          <t>Property</t>
        </is>
      </c>
      <c r="D31" s="40" t="inlineStr">
        <is>
          <t>Work permits / visas — foreign staff</t>
        </is>
      </c>
      <c r="E31" s="40" t="inlineStr">
        <is>
          <t>ใบอนุญาตทำงาน/วีซ่าพนักงานต่างชาติ</t>
        </is>
      </c>
      <c r="F31" s="40" t="inlineStr">
        <is>
          <t>DOE / Immigration</t>
        </is>
      </c>
      <c r="G31" s="39" t="n"/>
      <c r="H31" s="41" t="n"/>
      <c r="I31" s="41" t="n"/>
      <c r="J31" s="39" t="inlineStr">
        <is>
          <t>Annual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Annual building inspection (Ror.1)</t>
        </is>
      </c>
      <c r="E32" s="40" t="inlineStr">
        <is>
          <t>รายงานตรวจสอบอาคารประจำปี (ร.1)</t>
        </is>
      </c>
      <c r="F32" s="40" t="inlineStr">
        <is>
          <t>Licensed inspector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Certificate</t>
        </is>
      </c>
      <c r="C33" s="12" t="inlineStr">
        <is>
          <t>Property</t>
        </is>
      </c>
      <c r="D33" s="40" t="inlineStr">
        <is>
          <t>EIA monitoring report</t>
        </is>
      </c>
      <c r="E33" s="40" t="inlineStr">
        <is>
          <t>รายงานติดตามมาตรการ EIA</t>
        </is>
      </c>
      <c r="F33" s="40" t="inlineStr">
        <is>
          <t>ONEP / consultant</t>
        </is>
      </c>
      <c r="G33" s="39" t="n"/>
      <c r="H33" s="41" t="n"/>
      <c r="I33" s="41" t="n"/>
      <c r="J33" s="39" t="inlineStr">
        <is>
          <t>Semi-annual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Certificate</t>
        </is>
      </c>
      <c r="C34" s="12" t="inlineStr">
        <is>
          <t>Property</t>
        </is>
      </c>
      <c r="D34" s="40" t="inlineStr">
        <is>
          <t>Welfare committee appointment</t>
        </is>
      </c>
      <c r="E34" s="40" t="inlineStr">
        <is>
          <t>แต่งตั้งคณะกรรมการสวัสดิการ</t>
        </is>
      </c>
      <c r="F34" s="40" t="inlineStr">
        <is>
          <t>Internal / DLPW</t>
        </is>
      </c>
      <c r="G34" s="39" t="n"/>
      <c r="H34" s="41" t="n"/>
      <c r="I34" s="41" t="n"/>
      <c r="J34" s="39" t="inlineStr">
        <is>
          <t>Every 2 years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Certificate</t>
        </is>
      </c>
      <c r="C35" s="12" t="inlineStr">
        <is>
          <t>Property</t>
        </is>
      </c>
      <c r="D35" s="40" t="inlineStr">
        <is>
          <t>OHS committee appointment</t>
        </is>
      </c>
      <c r="E35" s="40" t="inlineStr">
        <is>
          <t>แต่งตั้งคณะกรรมการความปลอดภัยฯ (คปอ.)</t>
        </is>
      </c>
      <c r="F35" s="40" t="inlineStr">
        <is>
          <t>Internal / DLPW</t>
        </is>
      </c>
      <c r="G35" s="39" t="n"/>
      <c r="H35" s="41" t="n"/>
      <c r="I35" s="41" t="n"/>
      <c r="J35" s="39" t="inlineStr">
        <is>
          <t>Every 2 years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Certificate</t>
        </is>
      </c>
      <c r="C36" s="12" t="inlineStr">
        <is>
          <t>Property</t>
        </is>
      </c>
      <c r="D36" s="40" t="inlineStr">
        <is>
          <t>Safety officer (Jor Por) appointments</t>
        </is>
      </c>
      <c r="E36" s="40" t="inlineStr">
        <is>
          <t>แต่งตั้งเจ้าหน้าที่ความปลอดภัย (จป.)</t>
        </is>
      </c>
      <c r="F36" s="40" t="inlineStr">
        <is>
          <t>Internal / DLPW</t>
        </is>
      </c>
      <c r="G36" s="39" t="n"/>
      <c r="H36" s="41" t="n"/>
      <c r="I36" s="41" t="n"/>
      <c r="J36" s="39" t="inlineStr">
        <is>
          <t>Other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Certificate</t>
        </is>
      </c>
      <c r="C37" s="12" t="inlineStr">
        <is>
          <t>Property</t>
        </is>
      </c>
      <c r="D37" s="40" t="inlineStr">
        <is>
          <t>Workplace environment assessment</t>
        </is>
      </c>
      <c r="E37" s="40" t="inlineStr">
        <is>
          <t>ตรวจวัดสภาพแวดล้อมในการทำงาน</t>
        </is>
      </c>
      <c r="F37" s="40" t="inlineStr">
        <is>
          <t>Accredited laboratory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Tax / Registration</t>
        </is>
      </c>
      <c r="C38" s="12" t="inlineStr">
        <is>
          <t>Property</t>
        </is>
      </c>
      <c r="D38" s="40" t="inlineStr">
        <is>
          <t>Provident fund registration</t>
        </is>
      </c>
      <c r="E38" s="40" t="inlineStr">
        <is>
          <t>ทะเบียนกองทุนสำรองเลี้ยงชีพ</t>
        </is>
      </c>
      <c r="F38" s="40" t="inlineStr">
        <is>
          <t>MOF / fund manager</t>
        </is>
      </c>
      <c r="G38" s="39" t="n"/>
      <c r="H38" s="41" t="n"/>
      <c r="I38" s="41" t="n"/>
      <c r="J38" s="39" t="inlineStr">
        <is>
          <t>One-off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Tax / Registration</t>
        </is>
      </c>
      <c r="C39" s="12" t="inlineStr">
        <is>
          <t>Property</t>
        </is>
      </c>
      <c r="D39" s="40" t="inlineStr">
        <is>
          <t>Social security registration</t>
        </is>
      </c>
      <c r="E39" s="40" t="inlineStr">
        <is>
          <t>ทะเบียนนายจ้างประกันสังคม</t>
        </is>
      </c>
      <c r="F39" s="40" t="inlineStr">
        <is>
          <t>Social Security Office</t>
        </is>
      </c>
      <c r="G39" s="39" t="n"/>
      <c r="H39" s="41" t="n"/>
      <c r="I39" s="41" t="n"/>
      <c r="J39" s="39" t="inlineStr">
        <is>
          <t>One-off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Tax / Registration</t>
        </is>
      </c>
      <c r="C40" s="12" t="inlineStr">
        <is>
          <t>Property</t>
        </is>
      </c>
      <c r="D40" s="40" t="inlineStr">
        <is>
          <t>Workmen compensation registration (KorTor.39)</t>
        </is>
      </c>
      <c r="E40" s="40" t="inlineStr">
        <is>
          <t>ทะเบียนกองทุนเงินทดแทน (กท.39)</t>
        </is>
      </c>
      <c r="F40" s="40" t="inlineStr">
        <is>
          <t>Social Security Office</t>
        </is>
      </c>
      <c r="G40" s="39" t="n"/>
      <c r="H40" s="41" t="n"/>
      <c r="I40" s="41" t="n"/>
      <c r="J40" s="39" t="inlineStr">
        <is>
          <t>One-off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Insurance</t>
        </is>
      </c>
      <c r="C41" s="12" t="inlineStr">
        <is>
          <t>Property</t>
        </is>
      </c>
      <c r="D41" s="40" t="inlineStr">
        <is>
          <t>Public liability insurance</t>
        </is>
      </c>
      <c r="E41" s="40" t="inlineStr">
        <is>
          <t>ประกันภัยความรับผิดต่อบุคคลภายนอก</t>
        </is>
      </c>
      <c r="F41" s="40" t="inlineStr">
        <is>
          <t>Insurer / broker</t>
        </is>
      </c>
      <c r="G41" s="39" t="n"/>
      <c r="H41" s="41" t="n"/>
      <c r="I41" s="41" t="n"/>
      <c r="J41" s="39" t="inlineStr">
        <is>
          <t>Annual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Insurance</t>
        </is>
      </c>
      <c r="C42" s="12" t="inlineStr">
        <is>
          <t>Property</t>
        </is>
      </c>
      <c r="D42" s="40" t="inlineStr">
        <is>
          <t>Fidelity insurance</t>
        </is>
      </c>
      <c r="E42" s="40" t="inlineStr">
        <is>
          <t>ประกันภัยความซื่อสัตย์พนักงาน</t>
        </is>
      </c>
      <c r="F42" s="40" t="inlineStr">
        <is>
          <t>Insurer / broker</t>
        </is>
      </c>
      <c r="G42" s="39" t="n"/>
      <c r="H42" s="41" t="n"/>
      <c r="I42" s="41" t="n"/>
      <c r="J42" s="39" t="inlineStr">
        <is>
          <t>Annual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Insurance</t>
        </is>
      </c>
      <c r="C43" s="12" t="inlineStr">
        <is>
          <t>Property</t>
        </is>
      </c>
      <c r="D43" s="40" t="inlineStr">
        <is>
          <t>Motor insurance (per vehicle)</t>
        </is>
      </c>
      <c r="E43" s="40" t="inlineStr">
        <is>
          <t>ประกันภัยรถยนต์ (ต่อคัน)</t>
        </is>
      </c>
      <c r="F43" s="40" t="inlineStr">
        <is>
          <t>Insurer / broker</t>
        </is>
      </c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Insurance</t>
        </is>
      </c>
      <c r="C44" s="12" t="inlineStr">
        <is>
          <t>Property</t>
        </is>
      </c>
      <c r="D44" s="40" t="inlineStr">
        <is>
          <t>Employee group insurance</t>
        </is>
      </c>
      <c r="E44" s="40" t="inlineStr">
        <is>
          <t>ประกันภัยกลุ่มพนักงาน</t>
        </is>
      </c>
      <c r="F44" s="40" t="inlineStr">
        <is>
          <t>Insurer / broker</t>
        </is>
      </c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OTA</t>
        </is>
      </c>
      <c r="C45" s="12" t="inlineStr">
        <is>
          <t>Property</t>
        </is>
      </c>
      <c r="D45" s="40" t="inlineStr">
        <is>
          <t>Booking.com accommodation agreement</t>
        </is>
      </c>
      <c r="E45" s="40" t="inlineStr">
        <is>
          <t>สัญญากับ Booking.com</t>
        </is>
      </c>
      <c r="F45" s="40" t="inlineStr">
        <is>
          <t>Booking.com B.V.</t>
        </is>
      </c>
      <c r="G45" s="39" t="n"/>
      <c r="H45" s="41" t="n"/>
      <c r="I45" s="41" t="n"/>
      <c r="J45" s="39" t="inlineStr">
        <is>
          <t>Rolling / evergreen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OTA</t>
        </is>
      </c>
      <c r="C46" s="12" t="inlineStr">
        <is>
          <t>Property</t>
        </is>
      </c>
      <c r="D46" s="40" t="inlineStr">
        <is>
          <t>Expedia lodging agreement</t>
        </is>
      </c>
      <c r="E46" s="40" t="inlineStr">
        <is>
          <t>สัญญากับ Expedia</t>
        </is>
      </c>
      <c r="F46" s="40" t="inlineStr">
        <is>
          <t>Travelscape LLC / Expedia</t>
        </is>
      </c>
      <c r="G46" s="39" t="n"/>
      <c r="H46" s="41" t="n"/>
      <c r="I46" s="41" t="n"/>
      <c r="J46" s="39" t="inlineStr">
        <is>
          <t>Rolling / evergreen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OTA</t>
        </is>
      </c>
      <c r="C47" s="12" t="inlineStr">
        <is>
          <t>Property</t>
        </is>
      </c>
      <c r="D47" s="40" t="inlineStr">
        <is>
          <t>Agoda accommodation agreement</t>
        </is>
      </c>
      <c r="E47" s="40" t="inlineStr">
        <is>
          <t>สัญญากับ Agoda</t>
        </is>
      </c>
      <c r="F47" s="40" t="inlineStr">
        <is>
          <t>Agoda Company Pte. Ltd.</t>
        </is>
      </c>
      <c r="G47" s="39" t="n"/>
      <c r="H47" s="41" t="n"/>
      <c r="I47" s="41" t="n"/>
      <c r="J47" s="39" t="inlineStr">
        <is>
          <t>Rolling / evergreen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Service</t>
        </is>
      </c>
      <c r="C48" s="12" t="inlineStr">
        <is>
          <t>Property</t>
        </is>
      </c>
      <c r="D48" s="40" t="inlineStr">
        <is>
          <t>Breakfast service contract</t>
        </is>
      </c>
      <c r="E48" s="40" t="inlineStr">
        <is>
          <t>สัญญาบริการอาหารเช้า</t>
        </is>
      </c>
      <c r="F48" s="40" t="n"/>
      <c r="G48" s="39" t="n"/>
      <c r="H48" s="41" t="n"/>
      <c r="I48" s="41" t="n"/>
      <c r="J48" s="39" t="inlineStr">
        <is>
          <t>Annual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Limousine service contract</t>
        </is>
      </c>
      <c r="E49" s="40" t="inlineStr">
        <is>
          <t>สัญญาบริการรถลีมูซีน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Car rental contract</t>
        </is>
      </c>
      <c r="E50" s="40" t="inlineStr">
        <is>
          <t>สัญญาเช่ารถยนต์</t>
        </is>
      </c>
      <c r="F50" s="40" t="n"/>
      <c r="G50" s="39" t="n"/>
      <c r="H50" s="41" t="n"/>
      <c r="I50" s="41" t="n"/>
      <c r="J50" s="39" t="inlineStr">
        <is>
          <t>Other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Public area music contract</t>
        </is>
      </c>
      <c r="E51" s="40" t="inlineStr">
        <is>
          <t>สัญญาเพลงพื้นที่ส่วนกลาง (ลิขสิทธิ์)</t>
        </is>
      </c>
      <c r="F51" s="40" t="n"/>
      <c r="G51" s="39" t="n"/>
      <c r="H51" s="41" t="n"/>
      <c r="I51" s="41" t="n"/>
      <c r="J51" s="39" t="inlineStr">
        <is>
          <t>Annual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Music design contract</t>
        </is>
      </c>
      <c r="E52" s="40" t="inlineStr">
        <is>
          <t>สัญญาออกแบบเสียงเพลง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Newspaper / magazine subscription</t>
        </is>
      </c>
      <c r="E53" s="40" t="inlineStr">
        <is>
          <t>สัญญาหนังสือพิมพ์/นิตยสาร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Document storage service</t>
        </is>
      </c>
      <c r="E54" s="40" t="inlineStr">
        <is>
          <t>สัญญารับฝากเอกสาร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Photocopier rental</t>
        </is>
      </c>
      <c r="E55" s="40" t="inlineStr">
        <is>
          <t>สัญญาเช่าเครื่องถ่ายเอกสาร</t>
        </is>
      </c>
      <c r="F55" s="40" t="n"/>
      <c r="G55" s="39" t="n"/>
      <c r="H55" s="41" t="n"/>
      <c r="I55" s="41" t="n"/>
      <c r="J55" s="39" t="inlineStr">
        <is>
          <t>Other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Fire alarm maintenance</t>
        </is>
      </c>
      <c r="E56" s="40" t="inlineStr">
        <is>
          <t>สัญญาบำรุงรักษาระบบแจ้งเหตุเพลิงไหม้</t>
        </is>
      </c>
      <c r="F56" s="40" t="n"/>
      <c r="G56" s="39" t="n"/>
      <c r="H56" s="41" t="n"/>
      <c r="I56" s="41" t="n"/>
      <c r="J56" s="39" t="inlineStr">
        <is>
          <t>Annual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Sound system maintenance</t>
        </is>
      </c>
      <c r="E57" s="40" t="inlineStr">
        <is>
          <t>สัญญาบำรุงรักษาระบบเสียง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Electrical equipment maintenance</t>
        </is>
      </c>
      <c r="E58" s="40" t="inlineStr">
        <is>
          <t>สัญญาบำรุงรักษาอุปกรณ์ไฟฟ้า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Elevator maintenance (per lift)</t>
        </is>
      </c>
      <c r="E59" s="40" t="inlineStr">
        <is>
          <t>สัญญาบำรุงรักษาลิฟต์ (ต่อตัว)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Elevator annual audit</t>
        </is>
      </c>
      <c r="E60" s="40" t="inlineStr">
        <is>
          <t>สัญญาตรวจสอบลิฟต์ประจำปี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Fitness equipment maintenance</t>
        </is>
      </c>
      <c r="E61" s="40" t="inlineStr">
        <is>
          <t>สัญญาบำรุงรักษาอุปกรณ์ฟิตเนส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PABX maintenance</t>
        </is>
      </c>
      <c r="E62" s="40" t="inlineStr">
        <is>
          <t>สัญญาบำรุงรักษาระบบโทรศัพท์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Air, water &amp; wastewater checking</t>
        </is>
      </c>
      <c r="E63" s="40" t="inlineStr">
        <is>
          <t>สัญญาตรวจวัดอากาศ น้ำ และน้ำทิ้ง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Annual energy conservation audit</t>
        </is>
      </c>
      <c r="E64" s="40" t="inlineStr">
        <is>
          <t>สัญญาตรวจสอบการอนุรักษ์พลังงานประจำปี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Annual building inspection contract</t>
        </is>
      </c>
      <c r="E65" s="40" t="inlineStr">
        <is>
          <t>สัญญาตรวจสอบอาคารประจำปี</t>
        </is>
      </c>
      <c r="F65" s="40" t="n"/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Hygiene services</t>
        </is>
      </c>
      <c r="E66" s="40" t="inlineStr">
        <is>
          <t>สัญญาบริการสุขอนามัย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Cleaning service</t>
        </is>
      </c>
      <c r="E67" s="40" t="inlineStr">
        <is>
          <t>สัญญาบริการทำความสะอาด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Pest control</t>
        </is>
      </c>
      <c r="E68" s="40" t="inlineStr">
        <is>
          <t>สัญญากำจัดแมลง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Landscape service</t>
        </is>
      </c>
      <c r="E69" s="40" t="inlineStr">
        <is>
          <t>สัญญาดูแลภูมิทัศน์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Laundry service</t>
        </is>
      </c>
      <c r="E70" s="40" t="inlineStr">
        <is>
          <t>สัญญาบริการซักรีด</t>
        </is>
      </c>
      <c r="F70" s="40" t="inlineStr">
        <is>
          <t>I Klean Laundry Co., Ltd.</t>
        </is>
      </c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Lobby aroma scent service</t>
        </is>
      </c>
      <c r="E71" s="40" t="inlineStr">
        <is>
          <t>สัญญาบริการน้ำหอมล็อบบี้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Leased line (back office)</t>
        </is>
      </c>
      <c r="E72" s="40" t="inlineStr">
        <is>
          <t>สัญญาลีสไลน์สำนักงาน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Guest internet</t>
        </is>
      </c>
      <c r="E73" s="40" t="inlineStr">
        <is>
          <t>สัญญาอินเทอร์เน็ตแขก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inlineStr">
        <is>
          <t>Contract - Service</t>
        </is>
      </c>
      <c r="C74" s="12" t="inlineStr">
        <is>
          <t>Property</t>
        </is>
      </c>
      <c r="D74" s="40" t="inlineStr">
        <is>
          <t>PMS maintenance</t>
        </is>
      </c>
      <c r="E74" s="40" t="inlineStr">
        <is>
          <t>สัญญาบำรุงรักษาระบบ PMS</t>
        </is>
      </c>
      <c r="F74" s="40" t="n"/>
      <c r="G74" s="39" t="n"/>
      <c r="H74" s="41" t="n"/>
      <c r="I74" s="41" t="n"/>
      <c r="J74" s="39" t="inlineStr">
        <is>
          <t>Annual</t>
        </is>
      </c>
      <c r="K74" s="39" t="n">
        <v>60</v>
      </c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inlineStr">
        <is>
          <t>Contract - Service</t>
        </is>
      </c>
      <c r="C75" s="12" t="inlineStr">
        <is>
          <t>Property</t>
        </is>
      </c>
      <c r="D75" s="40" t="inlineStr">
        <is>
          <t>Accounting software maintenance</t>
        </is>
      </c>
      <c r="E75" s="40" t="inlineStr">
        <is>
          <t>สัญญาบำรุงรักษาซอฟต์แวร์บัญชี</t>
        </is>
      </c>
      <c r="F75" s="40" t="n"/>
      <c r="G75" s="39" t="n"/>
      <c r="H75" s="41" t="n"/>
      <c r="I75" s="41" t="n"/>
      <c r="J75" s="39" t="inlineStr">
        <is>
          <t>Annual</t>
        </is>
      </c>
      <c r="K75" s="39" t="n">
        <v>60</v>
      </c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inlineStr">
        <is>
          <t>Contract - Service</t>
        </is>
      </c>
      <c r="C76" s="12" t="inlineStr">
        <is>
          <t>Property</t>
        </is>
      </c>
      <c r="D76" s="40" t="inlineStr">
        <is>
          <t>Security service</t>
        </is>
      </c>
      <c r="E76" s="40" t="inlineStr">
        <is>
          <t>สัญญารักษาความปลอดภัย</t>
        </is>
      </c>
      <c r="F76" s="40" t="n"/>
      <c r="G76" s="39" t="n"/>
      <c r="H76" s="41" t="n"/>
      <c r="I76" s="41" t="n"/>
      <c r="J76" s="39" t="inlineStr">
        <is>
          <t>Annual</t>
        </is>
      </c>
      <c r="K76" s="39" t="n">
        <v>60</v>
      </c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inlineStr">
        <is>
          <t>Contract - Service</t>
        </is>
      </c>
      <c r="C77" s="12" t="inlineStr">
        <is>
          <t>Property</t>
        </is>
      </c>
      <c r="D77" s="40" t="inlineStr">
        <is>
          <t>CCTV system</t>
        </is>
      </c>
      <c r="E77" s="40" t="inlineStr">
        <is>
          <t>สัญญาระบบกล้องวงจรปิด</t>
        </is>
      </c>
      <c r="F77" s="40" t="n"/>
      <c r="G77" s="39" t="n"/>
      <c r="H77" s="41" t="n"/>
      <c r="I77" s="41" t="n"/>
      <c r="J77" s="39" t="inlineStr">
        <is>
          <t>Annual</t>
        </is>
      </c>
      <c r="K77" s="39" t="n">
        <v>60</v>
      </c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inlineStr">
        <is>
          <t>Contract - Service</t>
        </is>
      </c>
      <c r="C78" s="12" t="inlineStr">
        <is>
          <t>Property</t>
        </is>
      </c>
      <c r="D78" s="40" t="inlineStr">
        <is>
          <t>Car parking system</t>
        </is>
      </c>
      <c r="E78" s="40" t="inlineStr">
        <is>
          <t>สัญญาระบบที่จอดรถ</t>
        </is>
      </c>
      <c r="F78" s="40" t="n"/>
      <c r="G78" s="39" t="n"/>
      <c r="H78" s="41" t="n"/>
      <c r="I78" s="41" t="n"/>
      <c r="J78" s="39" t="inlineStr">
        <is>
          <t>Annual</t>
        </is>
      </c>
      <c r="K78" s="39" t="n">
        <v>60</v>
      </c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n"/>
      <c r="C79" s="12" t="n"/>
      <c r="D79" s="40" t="n"/>
      <c r="E79" s="40" t="n"/>
      <c r="F79" s="40" t="n"/>
      <c r="G79" s="39" t="n"/>
      <c r="H79" s="41" t="n"/>
      <c r="I79" s="41" t="n"/>
      <c r="J79" s="39" t="n"/>
      <c r="K79" s="39" t="n"/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n"/>
      <c r="C80" s="12" t="n"/>
      <c r="D80" s="40" t="n"/>
      <c r="E80" s="40" t="n"/>
      <c r="F80" s="40" t="n"/>
      <c r="G80" s="39" t="n"/>
      <c r="H80" s="41" t="n"/>
      <c r="I80" s="41" t="n"/>
      <c r="J80" s="39" t="n"/>
      <c r="K80" s="39" t="n"/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Lists!$C$4:$C$14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LYF — lyf Sukhumvit 8 Bangkok</t>
        </is>
      </c>
    </row>
    <row r="2">
      <c r="A2" s="4" t="inlineStr">
        <is>
          <t>AMH Sukhumvit 8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Corporate</t>
        </is>
      </c>
      <c r="C9" s="12" t="inlineStr">
        <is>
          <t>Owner</t>
        </is>
      </c>
      <c r="D9" s="40" t="inlineStr">
        <is>
          <t>AGM — annual shareholders meeting</t>
        </is>
      </c>
      <c r="E9" s="40" t="inlineStr">
        <is>
          <t>ประชุมสามัญผู้ถือหุ้นประจำปี (ภายใน 4 เดือนหลังปิดงบ)</t>
        </is>
      </c>
      <c r="F9" s="40" t="inlineStr">
        <is>
          <t>Shareholders / DBD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Corporate</t>
        </is>
      </c>
      <c r="C10" s="12" t="inlineStr">
        <is>
          <t>Owner</t>
        </is>
      </c>
      <c r="D10" s="40" t="inlineStr">
        <is>
          <t>Audited FS filing to DBD</t>
        </is>
      </c>
      <c r="E10" s="40" t="inlineStr">
        <is>
          <t>ยื่นงบการเงินต่อกรมพัฒนาธุรกิจการค้า (ภายใน 1 เดือนหลัง AGM)</t>
        </is>
      </c>
      <c r="F10" s="40" t="inlineStr">
        <is>
          <t>Dept. of Business Development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Corporate</t>
        </is>
      </c>
      <c r="C11" s="12" t="inlineStr">
        <is>
          <t>Owner</t>
        </is>
      </c>
      <c r="D11" s="40" t="inlineStr">
        <is>
          <t>Corporate income tax (PND.50)</t>
        </is>
      </c>
      <c r="E11" s="40" t="inlineStr">
        <is>
          <t>ภ.ง.ด.50 (ภายใน 150 วันหลังปิดงบ)</t>
        </is>
      </c>
      <c r="F11" s="40" t="inlineStr">
        <is>
          <t>Revenue Department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Corporate</t>
        </is>
      </c>
      <c r="C12" s="12" t="inlineStr">
        <is>
          <t>Owner</t>
        </is>
      </c>
      <c r="D12" s="40" t="inlineStr">
        <is>
          <t>Half-year corporate tax (PND.51)</t>
        </is>
      </c>
      <c r="E12" s="40" t="inlineStr">
        <is>
          <t>ภ.ง.ด.51 (ภายใน 2 เดือนหลังครึ่งปี)</t>
        </is>
      </c>
      <c r="F12" s="40" t="inlineStr">
        <is>
          <t>Revenue Department</t>
        </is>
      </c>
      <c r="G12" s="39" t="n"/>
      <c r="H12" s="41" t="n"/>
      <c r="I12" s="41" t="n"/>
      <c r="J12" s="39" t="inlineStr">
        <is>
          <t>Annual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Corporate</t>
        </is>
      </c>
      <c r="C13" s="12" t="inlineStr">
        <is>
          <t>Owner</t>
        </is>
      </c>
      <c r="D13" s="40" t="inlineStr">
        <is>
          <t>Company affidavit refresh</t>
        </is>
      </c>
      <c r="E13" s="40" t="inlineStr">
        <is>
          <t>ขอหนังสือรับรองบริษัทฉบับใหม่ (ธนาคารมักขอไม่เกิน 6 เดือน)</t>
        </is>
      </c>
      <c r="F13" s="40" t="inlineStr">
        <is>
          <t>Dept. of Business Development</t>
        </is>
      </c>
      <c r="G13" s="39" t="n"/>
      <c r="H13" s="41" t="n"/>
      <c r="I13" s="41" t="n"/>
      <c r="J13" s="39" t="inlineStr">
        <is>
          <t>Semi-annual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Insurance</t>
        </is>
      </c>
      <c r="C14" s="12" t="inlineStr">
        <is>
          <t>Owner</t>
        </is>
      </c>
      <c r="D14" s="40" t="inlineStr">
        <is>
          <t>Industrial all risks insurance</t>
        </is>
      </c>
      <c r="E14" s="40" t="inlineStr">
        <is>
          <t>ประกันภัยความเสี่ยงภัยทรัพย์สิน (IAR)</t>
        </is>
      </c>
      <c r="F14" s="40" t="inlineStr">
        <is>
          <t>Insurer / broker</t>
        </is>
      </c>
      <c r="G14" s="39" t="n"/>
      <c r="H14" s="41" t="n"/>
      <c r="I14" s="41" t="n"/>
      <c r="J14" s="39" t="inlineStr">
        <is>
          <t>Annual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Insurance</t>
        </is>
      </c>
      <c r="C15" s="12" t="inlineStr">
        <is>
          <t>Owner</t>
        </is>
      </c>
      <c r="D15" s="40" t="inlineStr">
        <is>
          <t>Business interruption insurance</t>
        </is>
      </c>
      <c r="E15" s="40" t="inlineStr">
        <is>
          <t>ประกันภัยธุรกิจหยุดชะงัก</t>
        </is>
      </c>
      <c r="F15" s="40" t="inlineStr">
        <is>
          <t>Insurer / broker</t>
        </is>
      </c>
      <c r="G15" s="39" t="n"/>
      <c r="H15" s="41" t="n"/>
      <c r="I15" s="41" t="n"/>
      <c r="J15" s="39" t="inlineStr">
        <is>
          <t>Annual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Insurance</t>
        </is>
      </c>
      <c r="C16" s="12" t="inlineStr">
        <is>
          <t>Owner</t>
        </is>
      </c>
      <c r="D16" s="40" t="inlineStr">
        <is>
          <t>Political violence insurance</t>
        </is>
      </c>
      <c r="E16" s="40" t="inlineStr">
        <is>
          <t>ประกันภัยความรุนแรงทางการเมือง</t>
        </is>
      </c>
      <c r="F16" s="40" t="inlineStr">
        <is>
          <t>Insurer / broker</t>
        </is>
      </c>
      <c r="G16" s="39" t="n"/>
      <c r="H16" s="41" t="n"/>
      <c r="I16" s="41" t="n"/>
      <c r="J16" s="39" t="inlineStr">
        <is>
          <t>Annual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Contract - Management</t>
        </is>
      </c>
      <c r="C17" s="12" t="inlineStr">
        <is>
          <t>Owner</t>
        </is>
      </c>
      <c r="D17" s="40" t="inlineStr">
        <is>
          <t>Serviced residence management agreement (Ascott)</t>
        </is>
      </c>
      <c r="E17" s="40" t="inlineStr">
        <is>
          <t>สัญญาบริหารเซอร์วิสเรสซิเดนซ์ (Ascott)</t>
        </is>
      </c>
      <c r="F17" s="40" t="inlineStr">
        <is>
          <t>Ascott International Management (Thailand) Ltd.</t>
        </is>
      </c>
      <c r="G17" s="39" t="n"/>
      <c r="H17" s="41" t="n"/>
      <c r="I17" s="41" t="n"/>
      <c r="J17" s="39" t="inlineStr">
        <is>
          <t>Rolling / evergreen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Contract - Management</t>
        </is>
      </c>
      <c r="C18" s="12" t="inlineStr">
        <is>
          <t>Owner</t>
        </is>
      </c>
      <c r="D18" s="40" t="inlineStr">
        <is>
          <t>Management service / central fee agreement</t>
        </is>
      </c>
      <c r="E18" s="40" t="inlineStr">
        <is>
          <t>สัญญาค่าบริการส่วนกลาง</t>
        </is>
      </c>
      <c r="F18" s="40" t="inlineStr">
        <is>
          <t>Ascott International Management (Thailand) Ltd.</t>
        </is>
      </c>
      <c r="G18" s="39" t="n"/>
      <c r="H18" s="41" t="n"/>
      <c r="I18" s="41" t="n"/>
      <c r="J18" s="39" t="inlineStr">
        <is>
          <t>Rolling / evergreen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Contract - Service</t>
        </is>
      </c>
      <c r="C19" s="12" t="inlineStr">
        <is>
          <t>Owner</t>
        </is>
      </c>
      <c r="D19" s="40" t="inlineStr">
        <is>
          <t>F&amp;B outlet operator (MOU + lease + service)</t>
        </is>
      </c>
      <c r="E19" s="40" t="inlineStr">
        <is>
          <t>สัญญาผู้ประกอบการร้านอาหาร</t>
        </is>
      </c>
      <c r="F19" s="40" t="n"/>
      <c r="G19" s="39" t="n"/>
      <c r="H19" s="41" t="n"/>
      <c r="I19" s="41" t="n"/>
      <c r="J19" s="39" t="inlineStr">
        <is>
          <t>Other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Contract - Lease / Finance</t>
        </is>
      </c>
      <c r="C20" s="12" t="inlineStr">
        <is>
          <t>Owner</t>
        </is>
      </c>
      <c r="D20" s="40" t="inlineStr">
        <is>
          <t>Land / building lease</t>
        </is>
      </c>
      <c r="E20" s="40" t="inlineStr">
        <is>
          <t>สัญญาเช่าที่ดิน/อาคาร</t>
        </is>
      </c>
      <c r="F20" s="40" t="inlineStr">
        <is>
          <t>Landlord</t>
        </is>
      </c>
      <c r="G20" s="39" t="n"/>
      <c r="H20" s="41" t="n"/>
      <c r="I20" s="41" t="n"/>
      <c r="J20" s="39" t="inlineStr">
        <is>
          <t>Other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Hotel operating licence</t>
        </is>
      </c>
      <c r="E21" s="40" t="inlineStr">
        <is>
          <t>ใบอนุญาตประกอบธุรกิจโรงแรม</t>
        </is>
      </c>
      <c r="F21" s="40" t="inlineStr">
        <is>
          <t>District Office / DOPA</t>
        </is>
      </c>
      <c r="G21" s="39" t="n"/>
      <c r="H21" s="41" t="n"/>
      <c r="I21" s="41" t="n"/>
      <c r="J21" s="39" t="inlineStr">
        <is>
          <t>Every 5 years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Hotel manager licence</t>
        </is>
      </c>
      <c r="E22" s="40" t="inlineStr">
        <is>
          <t>ใบอนุญาตผู้จัดการโรงแรม</t>
        </is>
      </c>
      <c r="F22" s="40" t="inlineStr">
        <is>
          <t>District Office / DOPA</t>
        </is>
      </c>
      <c r="G22" s="39" t="n"/>
      <c r="H22" s="41" t="n"/>
      <c r="I22" s="41" t="n"/>
      <c r="J22" s="39" t="inlineStr">
        <is>
          <t>Every 5 years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Food establishment licence</t>
        </is>
      </c>
      <c r="E23" s="40" t="inlineStr">
        <is>
          <t>ใบอนุญาตสถานที่จำหน่ายอาหาร</t>
        </is>
      </c>
      <c r="F23" s="40" t="inlineStr">
        <is>
          <t>Local authority</t>
        </is>
      </c>
      <c r="G23" s="39" t="n"/>
      <c r="H23" s="41" t="n"/>
      <c r="I23" s="41" t="n"/>
      <c r="J23" s="39" t="inlineStr">
        <is>
          <t>Annual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Alcohol sale licence (per outlet)</t>
        </is>
      </c>
      <c r="E24" s="40" t="inlineStr">
        <is>
          <t>ใบอนุญาตขายสุรา (ต่อร้าน)</t>
        </is>
      </c>
      <c r="F24" s="40" t="inlineStr">
        <is>
          <t>Excise Department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Gym licence</t>
        </is>
      </c>
      <c r="E25" s="40" t="inlineStr">
        <is>
          <t>ใบอนุญาตกิจการฟิตเนส</t>
        </is>
      </c>
      <c r="F25" s="40" t="inlineStr">
        <is>
          <t>Local authority</t>
        </is>
      </c>
      <c r="G25" s="39" t="n"/>
      <c r="H25" s="41" t="n"/>
      <c r="I25" s="41" t="n"/>
      <c r="J25" s="39" t="inlineStr">
        <is>
          <t>Annual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Licence</t>
        </is>
      </c>
      <c r="C26" s="12" t="inlineStr">
        <is>
          <t>Property</t>
        </is>
      </c>
      <c r="D26" s="40" t="inlineStr">
        <is>
          <t>Sauna licence</t>
        </is>
      </c>
      <c r="E26" s="40" t="inlineStr">
        <is>
          <t>ใบอนุญาตกิจการซาวน่า</t>
        </is>
      </c>
      <c r="F26" s="40" t="inlineStr">
        <is>
          <t>Local authority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Licence</t>
        </is>
      </c>
      <c r="C27" s="12" t="inlineStr">
        <is>
          <t>Property</t>
        </is>
      </c>
      <c r="D27" s="40" t="inlineStr">
        <is>
          <t>Swimming pool licence</t>
        </is>
      </c>
      <c r="E27" s="40" t="inlineStr">
        <is>
          <t>ใบอนุญาตกิจการสระว่ายน้ำ</t>
        </is>
      </c>
      <c r="F27" s="40" t="inlineStr">
        <is>
          <t>Local authority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Licence</t>
        </is>
      </c>
      <c r="C28" s="12" t="inlineStr">
        <is>
          <t>Property</t>
        </is>
      </c>
      <c r="D28" s="40" t="inlineStr">
        <is>
          <t>Hazardous substance licence</t>
        </is>
      </c>
      <c r="E28" s="40" t="inlineStr">
        <is>
          <t>ใบอนุญาตวัตถุอันตราย</t>
        </is>
      </c>
      <c r="F28" s="40" t="inlineStr">
        <is>
          <t>Local authority / FDA</t>
        </is>
      </c>
      <c r="G28" s="39" t="n"/>
      <c r="H28" s="41" t="n"/>
      <c r="I28" s="41" t="n"/>
      <c r="J28" s="39" t="inlineStr">
        <is>
          <t>Other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Licence</t>
        </is>
      </c>
      <c r="C29" s="12" t="inlineStr">
        <is>
          <t>Property</t>
        </is>
      </c>
      <c r="D29" s="40" t="inlineStr">
        <is>
          <t>Generator licence</t>
        </is>
      </c>
      <c r="E29" s="40" t="inlineStr">
        <is>
          <t>ใบอนุญาตเครื่องกำเนิดไฟฟ้า</t>
        </is>
      </c>
      <c r="F29" s="40" t="inlineStr">
        <is>
          <t>Dept. of Energy Business</t>
        </is>
      </c>
      <c r="G29" s="39" t="n"/>
      <c r="H29" s="41" t="n"/>
      <c r="I29" s="41" t="n"/>
      <c r="J29" s="39" t="inlineStr">
        <is>
          <t>Annual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Licence</t>
        </is>
      </c>
      <c r="C30" s="12" t="inlineStr">
        <is>
          <t>Property</t>
        </is>
      </c>
      <c r="D30" s="40" t="inlineStr">
        <is>
          <t>LPG storage licence</t>
        </is>
      </c>
      <c r="E30" s="40" t="inlineStr">
        <is>
          <t>ใบอนุญาตเก็บก๊าซ LPG</t>
        </is>
      </c>
      <c r="F30" s="40" t="inlineStr">
        <is>
          <t>Dept. of Energy Business</t>
        </is>
      </c>
      <c r="G30" s="39" t="n"/>
      <c r="H30" s="41" t="n"/>
      <c r="I30" s="41" t="n"/>
      <c r="J30" s="39" t="inlineStr">
        <is>
          <t>Other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Permit</t>
        </is>
      </c>
      <c r="C31" s="12" t="inlineStr">
        <is>
          <t>Property</t>
        </is>
      </c>
      <c r="D31" s="40" t="inlineStr">
        <is>
          <t>Work permits / visas — foreign staff</t>
        </is>
      </c>
      <c r="E31" s="40" t="inlineStr">
        <is>
          <t>ใบอนุญาตทำงาน/วีซ่าพนักงานต่างชาติ</t>
        </is>
      </c>
      <c r="F31" s="40" t="inlineStr">
        <is>
          <t>DOE / Immigration</t>
        </is>
      </c>
      <c r="G31" s="39" t="n"/>
      <c r="H31" s="41" t="n"/>
      <c r="I31" s="41" t="n"/>
      <c r="J31" s="39" t="inlineStr">
        <is>
          <t>Annual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Annual building inspection (Ror.1)</t>
        </is>
      </c>
      <c r="E32" s="40" t="inlineStr">
        <is>
          <t>รายงานตรวจสอบอาคารประจำปี (ร.1)</t>
        </is>
      </c>
      <c r="F32" s="40" t="inlineStr">
        <is>
          <t>Licensed inspector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Certificate</t>
        </is>
      </c>
      <c r="C33" s="12" t="inlineStr">
        <is>
          <t>Property</t>
        </is>
      </c>
      <c r="D33" s="40" t="inlineStr">
        <is>
          <t>EIA monitoring report</t>
        </is>
      </c>
      <c r="E33" s="40" t="inlineStr">
        <is>
          <t>รายงานติดตามมาตรการ EIA</t>
        </is>
      </c>
      <c r="F33" s="40" t="inlineStr">
        <is>
          <t>ONEP / consultant</t>
        </is>
      </c>
      <c r="G33" s="39" t="n"/>
      <c r="H33" s="41" t="n"/>
      <c r="I33" s="41" t="n"/>
      <c r="J33" s="39" t="inlineStr">
        <is>
          <t>Semi-annual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Certificate</t>
        </is>
      </c>
      <c r="C34" s="12" t="inlineStr">
        <is>
          <t>Property</t>
        </is>
      </c>
      <c r="D34" s="40" t="inlineStr">
        <is>
          <t>Welfare committee appointment</t>
        </is>
      </c>
      <c r="E34" s="40" t="inlineStr">
        <is>
          <t>แต่งตั้งคณะกรรมการสวัสดิการ</t>
        </is>
      </c>
      <c r="F34" s="40" t="inlineStr">
        <is>
          <t>Internal / DLPW</t>
        </is>
      </c>
      <c r="G34" s="39" t="n"/>
      <c r="H34" s="41" t="n"/>
      <c r="I34" s="41" t="n"/>
      <c r="J34" s="39" t="inlineStr">
        <is>
          <t>Every 2 years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Certificate</t>
        </is>
      </c>
      <c r="C35" s="12" t="inlineStr">
        <is>
          <t>Property</t>
        </is>
      </c>
      <c r="D35" s="40" t="inlineStr">
        <is>
          <t>OHS committee appointment</t>
        </is>
      </c>
      <c r="E35" s="40" t="inlineStr">
        <is>
          <t>แต่งตั้งคณะกรรมการความปลอดภัยฯ (คปอ.)</t>
        </is>
      </c>
      <c r="F35" s="40" t="inlineStr">
        <is>
          <t>Internal / DLPW</t>
        </is>
      </c>
      <c r="G35" s="39" t="n"/>
      <c r="H35" s="41" t="n"/>
      <c r="I35" s="41" t="n"/>
      <c r="J35" s="39" t="inlineStr">
        <is>
          <t>Every 2 years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Certificate</t>
        </is>
      </c>
      <c r="C36" s="12" t="inlineStr">
        <is>
          <t>Property</t>
        </is>
      </c>
      <c r="D36" s="40" t="inlineStr">
        <is>
          <t>Safety officer (Jor Por) appointments</t>
        </is>
      </c>
      <c r="E36" s="40" t="inlineStr">
        <is>
          <t>แต่งตั้งเจ้าหน้าที่ความปลอดภัย (จป.)</t>
        </is>
      </c>
      <c r="F36" s="40" t="inlineStr">
        <is>
          <t>Internal / DLPW</t>
        </is>
      </c>
      <c r="G36" s="39" t="n"/>
      <c r="H36" s="41" t="n"/>
      <c r="I36" s="41" t="n"/>
      <c r="J36" s="39" t="inlineStr">
        <is>
          <t>Other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Certificate</t>
        </is>
      </c>
      <c r="C37" s="12" t="inlineStr">
        <is>
          <t>Property</t>
        </is>
      </c>
      <c r="D37" s="40" t="inlineStr">
        <is>
          <t>Workplace environment assessment</t>
        </is>
      </c>
      <c r="E37" s="40" t="inlineStr">
        <is>
          <t>ตรวจวัดสภาพแวดล้อมในการทำงาน</t>
        </is>
      </c>
      <c r="F37" s="40" t="inlineStr">
        <is>
          <t>Accredited laboratory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Tax / Registration</t>
        </is>
      </c>
      <c r="C38" s="12" t="inlineStr">
        <is>
          <t>Property</t>
        </is>
      </c>
      <c r="D38" s="40" t="inlineStr">
        <is>
          <t>Provident fund registration</t>
        </is>
      </c>
      <c r="E38" s="40" t="inlineStr">
        <is>
          <t>ทะเบียนกองทุนสำรองเลี้ยงชีพ</t>
        </is>
      </c>
      <c r="F38" s="40" t="inlineStr">
        <is>
          <t>MOF / fund manager</t>
        </is>
      </c>
      <c r="G38" s="39" t="n"/>
      <c r="H38" s="41" t="n"/>
      <c r="I38" s="41" t="n"/>
      <c r="J38" s="39" t="inlineStr">
        <is>
          <t>One-off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Tax / Registration</t>
        </is>
      </c>
      <c r="C39" s="12" t="inlineStr">
        <is>
          <t>Property</t>
        </is>
      </c>
      <c r="D39" s="40" t="inlineStr">
        <is>
          <t>Social security registration</t>
        </is>
      </c>
      <c r="E39" s="40" t="inlineStr">
        <is>
          <t>ทะเบียนนายจ้างประกันสังคม</t>
        </is>
      </c>
      <c r="F39" s="40" t="inlineStr">
        <is>
          <t>Social Security Office</t>
        </is>
      </c>
      <c r="G39" s="39" t="n"/>
      <c r="H39" s="41" t="n"/>
      <c r="I39" s="41" t="n"/>
      <c r="J39" s="39" t="inlineStr">
        <is>
          <t>One-off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Tax / Registration</t>
        </is>
      </c>
      <c r="C40" s="12" t="inlineStr">
        <is>
          <t>Property</t>
        </is>
      </c>
      <c r="D40" s="40" t="inlineStr">
        <is>
          <t>Workmen compensation registration (KorTor.39)</t>
        </is>
      </c>
      <c r="E40" s="40" t="inlineStr">
        <is>
          <t>ทะเบียนกองทุนเงินทดแทน (กท.39)</t>
        </is>
      </c>
      <c r="F40" s="40" t="inlineStr">
        <is>
          <t>Social Security Office</t>
        </is>
      </c>
      <c r="G40" s="39" t="n"/>
      <c r="H40" s="41" t="n"/>
      <c r="I40" s="41" t="n"/>
      <c r="J40" s="39" t="inlineStr">
        <is>
          <t>One-off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Insurance</t>
        </is>
      </c>
      <c r="C41" s="12" t="inlineStr">
        <is>
          <t>Property</t>
        </is>
      </c>
      <c r="D41" s="40" t="inlineStr">
        <is>
          <t>Public liability insurance</t>
        </is>
      </c>
      <c r="E41" s="40" t="inlineStr">
        <is>
          <t>ประกันภัยความรับผิดต่อบุคคลภายนอก</t>
        </is>
      </c>
      <c r="F41" s="40" t="inlineStr">
        <is>
          <t>Insurer / broker</t>
        </is>
      </c>
      <c r="G41" s="39" t="n"/>
      <c r="H41" s="41" t="n"/>
      <c r="I41" s="41" t="n"/>
      <c r="J41" s="39" t="inlineStr">
        <is>
          <t>Annual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Insurance</t>
        </is>
      </c>
      <c r="C42" s="12" t="inlineStr">
        <is>
          <t>Property</t>
        </is>
      </c>
      <c r="D42" s="40" t="inlineStr">
        <is>
          <t>Fidelity insurance</t>
        </is>
      </c>
      <c r="E42" s="40" t="inlineStr">
        <is>
          <t>ประกันภัยความซื่อสัตย์พนักงาน</t>
        </is>
      </c>
      <c r="F42" s="40" t="inlineStr">
        <is>
          <t>Insurer / broker</t>
        </is>
      </c>
      <c r="G42" s="39" t="n"/>
      <c r="H42" s="41" t="n"/>
      <c r="I42" s="41" t="n"/>
      <c r="J42" s="39" t="inlineStr">
        <is>
          <t>Annual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Insurance</t>
        </is>
      </c>
      <c r="C43" s="12" t="inlineStr">
        <is>
          <t>Property</t>
        </is>
      </c>
      <c r="D43" s="40" t="inlineStr">
        <is>
          <t>Motor insurance (per vehicle)</t>
        </is>
      </c>
      <c r="E43" s="40" t="inlineStr">
        <is>
          <t>ประกันภัยรถยนต์ (ต่อคัน)</t>
        </is>
      </c>
      <c r="F43" s="40" t="inlineStr">
        <is>
          <t>Insurer / broker</t>
        </is>
      </c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Insurance</t>
        </is>
      </c>
      <c r="C44" s="12" t="inlineStr">
        <is>
          <t>Property</t>
        </is>
      </c>
      <c r="D44" s="40" t="inlineStr">
        <is>
          <t>Employee group insurance</t>
        </is>
      </c>
      <c r="E44" s="40" t="inlineStr">
        <is>
          <t>ประกันภัยกลุ่มพนักงาน</t>
        </is>
      </c>
      <c r="F44" s="40" t="inlineStr">
        <is>
          <t>Insurer / broker</t>
        </is>
      </c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OTA</t>
        </is>
      </c>
      <c r="C45" s="12" t="inlineStr">
        <is>
          <t>Property</t>
        </is>
      </c>
      <c r="D45" s="40" t="inlineStr">
        <is>
          <t>Booking.com accommodation agreement</t>
        </is>
      </c>
      <c r="E45" s="40" t="inlineStr">
        <is>
          <t>สัญญากับ Booking.com</t>
        </is>
      </c>
      <c r="F45" s="40" t="inlineStr">
        <is>
          <t>Booking.com B.V.</t>
        </is>
      </c>
      <c r="G45" s="39" t="n"/>
      <c r="H45" s="41" t="n"/>
      <c r="I45" s="41" t="n"/>
      <c r="J45" s="39" t="inlineStr">
        <is>
          <t>Rolling / evergreen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OTA</t>
        </is>
      </c>
      <c r="C46" s="12" t="inlineStr">
        <is>
          <t>Property</t>
        </is>
      </c>
      <c r="D46" s="40" t="inlineStr">
        <is>
          <t>Expedia lodging agreement</t>
        </is>
      </c>
      <c r="E46" s="40" t="inlineStr">
        <is>
          <t>สัญญากับ Expedia</t>
        </is>
      </c>
      <c r="F46" s="40" t="inlineStr">
        <is>
          <t>Travelscape LLC / Expedia</t>
        </is>
      </c>
      <c r="G46" s="39" t="n"/>
      <c r="H46" s="41" t="n"/>
      <c r="I46" s="41" t="n"/>
      <c r="J46" s="39" t="inlineStr">
        <is>
          <t>Rolling / evergreen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OTA</t>
        </is>
      </c>
      <c r="C47" s="12" t="inlineStr">
        <is>
          <t>Property</t>
        </is>
      </c>
      <c r="D47" s="40" t="inlineStr">
        <is>
          <t>Agoda accommodation agreement</t>
        </is>
      </c>
      <c r="E47" s="40" t="inlineStr">
        <is>
          <t>สัญญากับ Agoda</t>
        </is>
      </c>
      <c r="F47" s="40" t="inlineStr">
        <is>
          <t>Agoda Company Pte. Ltd.</t>
        </is>
      </c>
      <c r="G47" s="39" t="n"/>
      <c r="H47" s="41" t="n"/>
      <c r="I47" s="41" t="n"/>
      <c r="J47" s="39" t="inlineStr">
        <is>
          <t>Rolling / evergreen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OTA</t>
        </is>
      </c>
      <c r="C48" s="12" t="inlineStr">
        <is>
          <t>Property</t>
        </is>
      </c>
      <c r="D48" s="40" t="inlineStr">
        <is>
          <t>DayUse day-booking agreement</t>
        </is>
      </c>
      <c r="E48" s="40" t="inlineStr">
        <is>
          <t>สัญญากับ DayUse</t>
        </is>
      </c>
      <c r="F48" s="40" t="inlineStr">
        <is>
          <t>DayUse Hong Kong Ltd.</t>
        </is>
      </c>
      <c r="G48" s="39" t="n"/>
      <c r="H48" s="41" t="n"/>
      <c r="I48" s="41" t="n"/>
      <c r="J48" s="39" t="inlineStr">
        <is>
          <t>Rolling / evergreen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Breakfast service contract</t>
        </is>
      </c>
      <c r="E49" s="40" t="inlineStr">
        <is>
          <t>สัญญาบริการอาหารเช้า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Limousine service contract</t>
        </is>
      </c>
      <c r="E50" s="40" t="inlineStr">
        <is>
          <t>สัญญาบริการรถลีมูซีน</t>
        </is>
      </c>
      <c r="F50" s="40" t="n"/>
      <c r="G50" s="39" t="n"/>
      <c r="H50" s="41" t="n"/>
      <c r="I50" s="41" t="n"/>
      <c r="J50" s="39" t="inlineStr">
        <is>
          <t>Annual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Car rental contract</t>
        </is>
      </c>
      <c r="E51" s="40" t="inlineStr">
        <is>
          <t>สัญญาเช่ารถยนต์</t>
        </is>
      </c>
      <c r="F51" s="40" t="n"/>
      <c r="G51" s="39" t="n"/>
      <c r="H51" s="41" t="n"/>
      <c r="I51" s="41" t="n"/>
      <c r="J51" s="39" t="inlineStr">
        <is>
          <t>Other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Public area music contract</t>
        </is>
      </c>
      <c r="E52" s="40" t="inlineStr">
        <is>
          <t>สัญญาเพลงพื้นที่ส่วนกลาง (ลิขสิทธิ์)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Music design contract</t>
        </is>
      </c>
      <c r="E53" s="40" t="inlineStr">
        <is>
          <t>สัญญาออกแบบเสียงเพลง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Newspaper / magazine subscription</t>
        </is>
      </c>
      <c r="E54" s="40" t="inlineStr">
        <is>
          <t>สัญญาหนังสือพิมพ์/นิตยสาร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Document storage service</t>
        </is>
      </c>
      <c r="E55" s="40" t="inlineStr">
        <is>
          <t>สัญญารับฝากเอกสาร</t>
        </is>
      </c>
      <c r="F55" s="40" t="n"/>
      <c r="G55" s="39" t="n"/>
      <c r="H55" s="41" t="n"/>
      <c r="I55" s="41" t="n"/>
      <c r="J55" s="39" t="inlineStr">
        <is>
          <t>Annual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Photocopier rental</t>
        </is>
      </c>
      <c r="E56" s="40" t="inlineStr">
        <is>
          <t>สัญญาเช่าเครื่องถ่ายเอกสาร</t>
        </is>
      </c>
      <c r="F56" s="40" t="n"/>
      <c r="G56" s="39" t="n"/>
      <c r="H56" s="41" t="n"/>
      <c r="I56" s="41" t="n"/>
      <c r="J56" s="39" t="inlineStr">
        <is>
          <t>Other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Fire alarm maintenance</t>
        </is>
      </c>
      <c r="E57" s="40" t="inlineStr">
        <is>
          <t>สัญญาบำรุงรักษาระบบแจ้งเหตุเพลิงไหม้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Sound system maintenance</t>
        </is>
      </c>
      <c r="E58" s="40" t="inlineStr">
        <is>
          <t>สัญญาบำรุงรักษาระบบเสียง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Electrical equipment maintenance</t>
        </is>
      </c>
      <c r="E59" s="40" t="inlineStr">
        <is>
          <t>สัญญาบำรุงรักษาอุปกรณ์ไฟฟ้า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Elevator maintenance (per lift)</t>
        </is>
      </c>
      <c r="E60" s="40" t="inlineStr">
        <is>
          <t>สัญญาบำรุงรักษาลิฟต์ (ต่อตัว)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Elevator annual audit</t>
        </is>
      </c>
      <c r="E61" s="40" t="inlineStr">
        <is>
          <t>สัญญาตรวจสอบลิฟต์ประจำปี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Fitness equipment maintenance</t>
        </is>
      </c>
      <c r="E62" s="40" t="inlineStr">
        <is>
          <t>สัญญาบำรุงรักษาอุปกรณ์ฟิตเนส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PABX maintenance</t>
        </is>
      </c>
      <c r="E63" s="40" t="inlineStr">
        <is>
          <t>สัญญาบำรุงรักษาระบบโทรศัพท์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Air, water &amp; wastewater checking</t>
        </is>
      </c>
      <c r="E64" s="40" t="inlineStr">
        <is>
          <t>สัญญาตรวจวัดอากาศ น้ำ และน้ำทิ้ง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Annual energy conservation audit</t>
        </is>
      </c>
      <c r="E65" s="40" t="inlineStr">
        <is>
          <t>สัญญาตรวจสอบการอนุรักษ์พลังงานประจำปี</t>
        </is>
      </c>
      <c r="F65" s="40" t="n"/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Annual building inspection contract</t>
        </is>
      </c>
      <c r="E66" s="40" t="inlineStr">
        <is>
          <t>สัญญาตรวจสอบอาคารประจำปี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Hygiene services</t>
        </is>
      </c>
      <c r="E67" s="40" t="inlineStr">
        <is>
          <t>สัญญาบริการสุขอนามัย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Cleaning service</t>
        </is>
      </c>
      <c r="E68" s="40" t="inlineStr">
        <is>
          <t>สัญญาบริการทำความสะอาด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Pest control</t>
        </is>
      </c>
      <c r="E69" s="40" t="inlineStr">
        <is>
          <t>สัญญากำจัดแมลง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Landscape service</t>
        </is>
      </c>
      <c r="E70" s="40" t="inlineStr">
        <is>
          <t>สัญญาดูแลภูมิทัศน์</t>
        </is>
      </c>
      <c r="F70" s="40" t="n"/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Laundry service</t>
        </is>
      </c>
      <c r="E71" s="40" t="inlineStr">
        <is>
          <t>สัญญาบริการซักรีด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Lobby aroma scent service</t>
        </is>
      </c>
      <c r="E72" s="40" t="inlineStr">
        <is>
          <t>สัญญาบริการน้ำหอมล็อบบี้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Leased line (back office)</t>
        </is>
      </c>
      <c r="E73" s="40" t="inlineStr">
        <is>
          <t>สัญญาลีสไลน์สำนักงาน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inlineStr">
        <is>
          <t>Contract - Service</t>
        </is>
      </c>
      <c r="C74" s="12" t="inlineStr">
        <is>
          <t>Property</t>
        </is>
      </c>
      <c r="D74" s="40" t="inlineStr">
        <is>
          <t>Guest internet</t>
        </is>
      </c>
      <c r="E74" s="40" t="inlineStr">
        <is>
          <t>สัญญาอินเทอร์เน็ตแขก</t>
        </is>
      </c>
      <c r="F74" s="40" t="n"/>
      <c r="G74" s="39" t="n"/>
      <c r="H74" s="41" t="n"/>
      <c r="I74" s="41" t="n"/>
      <c r="J74" s="39" t="inlineStr">
        <is>
          <t>Annual</t>
        </is>
      </c>
      <c r="K74" s="39" t="n">
        <v>60</v>
      </c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inlineStr">
        <is>
          <t>Contract - Service</t>
        </is>
      </c>
      <c r="C75" s="12" t="inlineStr">
        <is>
          <t>Property</t>
        </is>
      </c>
      <c r="D75" s="40" t="inlineStr">
        <is>
          <t>PMS maintenance</t>
        </is>
      </c>
      <c r="E75" s="40" t="inlineStr">
        <is>
          <t>สัญญาบำรุงรักษาระบบ PMS</t>
        </is>
      </c>
      <c r="F75" s="40" t="n"/>
      <c r="G75" s="39" t="n"/>
      <c r="H75" s="41" t="n"/>
      <c r="I75" s="41" t="n"/>
      <c r="J75" s="39" t="inlineStr">
        <is>
          <t>Annual</t>
        </is>
      </c>
      <c r="K75" s="39" t="n">
        <v>60</v>
      </c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inlineStr">
        <is>
          <t>Contract - Service</t>
        </is>
      </c>
      <c r="C76" s="12" t="inlineStr">
        <is>
          <t>Property</t>
        </is>
      </c>
      <c r="D76" s="40" t="inlineStr">
        <is>
          <t>Accounting software maintenance</t>
        </is>
      </c>
      <c r="E76" s="40" t="inlineStr">
        <is>
          <t>สัญญาบำรุงรักษาซอฟต์แวร์บัญชี</t>
        </is>
      </c>
      <c r="F76" s="40" t="n"/>
      <c r="G76" s="39" t="n"/>
      <c r="H76" s="41" t="n"/>
      <c r="I76" s="41" t="n"/>
      <c r="J76" s="39" t="inlineStr">
        <is>
          <t>Annual</t>
        </is>
      </c>
      <c r="K76" s="39" t="n">
        <v>60</v>
      </c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inlineStr">
        <is>
          <t>Contract - Service</t>
        </is>
      </c>
      <c r="C77" s="12" t="inlineStr">
        <is>
          <t>Property</t>
        </is>
      </c>
      <c r="D77" s="40" t="inlineStr">
        <is>
          <t>Security service</t>
        </is>
      </c>
      <c r="E77" s="40" t="inlineStr">
        <is>
          <t>สัญญารักษาความปลอดภัย</t>
        </is>
      </c>
      <c r="F77" s="40" t="n"/>
      <c r="G77" s="39" t="n"/>
      <c r="H77" s="41" t="n"/>
      <c r="I77" s="41" t="n"/>
      <c r="J77" s="39" t="inlineStr">
        <is>
          <t>Annual</t>
        </is>
      </c>
      <c r="K77" s="39" t="n">
        <v>60</v>
      </c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inlineStr">
        <is>
          <t>Contract - Service</t>
        </is>
      </c>
      <c r="C78" s="12" t="inlineStr">
        <is>
          <t>Property</t>
        </is>
      </c>
      <c r="D78" s="40" t="inlineStr">
        <is>
          <t>CCTV system</t>
        </is>
      </c>
      <c r="E78" s="40" t="inlineStr">
        <is>
          <t>สัญญาระบบกล้องวงจรปิด</t>
        </is>
      </c>
      <c r="F78" s="40" t="n"/>
      <c r="G78" s="39" t="n"/>
      <c r="H78" s="41" t="n"/>
      <c r="I78" s="41" t="n"/>
      <c r="J78" s="39" t="inlineStr">
        <is>
          <t>Annual</t>
        </is>
      </c>
      <c r="K78" s="39" t="n">
        <v>60</v>
      </c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inlineStr">
        <is>
          <t>Contract - Service</t>
        </is>
      </c>
      <c r="C79" s="12" t="inlineStr">
        <is>
          <t>Property</t>
        </is>
      </c>
      <c r="D79" s="40" t="inlineStr">
        <is>
          <t>Car parking system</t>
        </is>
      </c>
      <c r="E79" s="40" t="inlineStr">
        <is>
          <t>สัญญาระบบที่จอดรถ</t>
        </is>
      </c>
      <c r="F79" s="40" t="n"/>
      <c r="G79" s="39" t="n"/>
      <c r="H79" s="41" t="n"/>
      <c r="I79" s="41" t="n"/>
      <c r="J79" s="39" t="inlineStr">
        <is>
          <t>Annual</t>
        </is>
      </c>
      <c r="K79" s="39" t="n">
        <v>60</v>
      </c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inlineStr">
        <is>
          <t>Contract - Service</t>
        </is>
      </c>
      <c r="C80" s="12" t="inlineStr">
        <is>
          <t>Property</t>
        </is>
      </c>
      <c r="D80" s="40" t="inlineStr">
        <is>
          <t>Adria Scan document services</t>
        </is>
      </c>
      <c r="E80" s="40" t="inlineStr">
        <is>
          <t>สัญญาบริการ Adria Scan</t>
        </is>
      </c>
      <c r="F80" s="40" t="inlineStr">
        <is>
          <t>Adria Scan</t>
        </is>
      </c>
      <c r="G80" s="39" t="n"/>
      <c r="H80" s="41" t="n"/>
      <c r="I80" s="41" t="n"/>
      <c r="J80" s="39" t="inlineStr">
        <is>
          <t>Annual</t>
        </is>
      </c>
      <c r="K80" s="39" t="n">
        <v>60</v>
      </c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Lists!$C$4:$C$14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SP — Somerset Pattaya</t>
        </is>
      </c>
    </row>
    <row r="2">
      <c r="A2" s="4" t="inlineStr">
        <is>
          <t>AMH Pattaya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Corporate</t>
        </is>
      </c>
      <c r="C9" s="12" t="inlineStr">
        <is>
          <t>Owner</t>
        </is>
      </c>
      <c r="D9" s="40" t="inlineStr">
        <is>
          <t>AGM — annual shareholders meeting</t>
        </is>
      </c>
      <c r="E9" s="40" t="inlineStr">
        <is>
          <t>ประชุมสามัญผู้ถือหุ้นประจำปี (ภายใน 4 เดือนหลังปิดงบ)</t>
        </is>
      </c>
      <c r="F9" s="40" t="inlineStr">
        <is>
          <t>Shareholders / DBD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Corporate</t>
        </is>
      </c>
      <c r="C10" s="12" t="inlineStr">
        <is>
          <t>Owner</t>
        </is>
      </c>
      <c r="D10" s="40" t="inlineStr">
        <is>
          <t>Audited FS filing to DBD</t>
        </is>
      </c>
      <c r="E10" s="40" t="inlineStr">
        <is>
          <t>ยื่นงบการเงินต่อกรมพัฒนาธุรกิจการค้า (ภายใน 1 เดือนหลัง AGM)</t>
        </is>
      </c>
      <c r="F10" s="40" t="inlineStr">
        <is>
          <t>Dept. of Business Development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Corporate</t>
        </is>
      </c>
      <c r="C11" s="12" t="inlineStr">
        <is>
          <t>Owner</t>
        </is>
      </c>
      <c r="D11" s="40" t="inlineStr">
        <is>
          <t>Corporate income tax (PND.50)</t>
        </is>
      </c>
      <c r="E11" s="40" t="inlineStr">
        <is>
          <t>ภ.ง.ด.50 (ภายใน 150 วันหลังปิดงบ)</t>
        </is>
      </c>
      <c r="F11" s="40" t="inlineStr">
        <is>
          <t>Revenue Department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Corporate</t>
        </is>
      </c>
      <c r="C12" s="12" t="inlineStr">
        <is>
          <t>Owner</t>
        </is>
      </c>
      <c r="D12" s="40" t="inlineStr">
        <is>
          <t>Half-year corporate tax (PND.51)</t>
        </is>
      </c>
      <c r="E12" s="40" t="inlineStr">
        <is>
          <t>ภ.ง.ด.51 (ภายใน 2 เดือนหลังครึ่งปี)</t>
        </is>
      </c>
      <c r="F12" s="40" t="inlineStr">
        <is>
          <t>Revenue Department</t>
        </is>
      </c>
      <c r="G12" s="39" t="n"/>
      <c r="H12" s="41" t="n"/>
      <c r="I12" s="41" t="n"/>
      <c r="J12" s="39" t="inlineStr">
        <is>
          <t>Annual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Corporate</t>
        </is>
      </c>
      <c r="C13" s="12" t="inlineStr">
        <is>
          <t>Owner</t>
        </is>
      </c>
      <c r="D13" s="40" t="inlineStr">
        <is>
          <t>Company affidavit refresh</t>
        </is>
      </c>
      <c r="E13" s="40" t="inlineStr">
        <is>
          <t>ขอหนังสือรับรองบริษัทฉบับใหม่ (ธนาคารมักขอไม่เกิน 6 เดือน)</t>
        </is>
      </c>
      <c r="F13" s="40" t="inlineStr">
        <is>
          <t>Dept. of Business Development</t>
        </is>
      </c>
      <c r="G13" s="39" t="n"/>
      <c r="H13" s="41" t="n"/>
      <c r="I13" s="41" t="n"/>
      <c r="J13" s="39" t="inlineStr">
        <is>
          <t>Semi-annual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Insurance</t>
        </is>
      </c>
      <c r="C14" s="12" t="inlineStr">
        <is>
          <t>Owner</t>
        </is>
      </c>
      <c r="D14" s="40" t="inlineStr">
        <is>
          <t>Industrial all risks insurance</t>
        </is>
      </c>
      <c r="E14" s="40" t="inlineStr">
        <is>
          <t>ประกันภัยความเสี่ยงภัยทรัพย์สิน (IAR)</t>
        </is>
      </c>
      <c r="F14" s="40" t="inlineStr">
        <is>
          <t>Insurer / broker</t>
        </is>
      </c>
      <c r="G14" s="39" t="n"/>
      <c r="H14" s="41" t="n"/>
      <c r="I14" s="41" t="n"/>
      <c r="J14" s="39" t="inlineStr">
        <is>
          <t>Annual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Insurance</t>
        </is>
      </c>
      <c r="C15" s="12" t="inlineStr">
        <is>
          <t>Owner</t>
        </is>
      </c>
      <c r="D15" s="40" t="inlineStr">
        <is>
          <t>Business interruption insurance</t>
        </is>
      </c>
      <c r="E15" s="40" t="inlineStr">
        <is>
          <t>ประกันภัยธุรกิจหยุดชะงัก</t>
        </is>
      </c>
      <c r="F15" s="40" t="inlineStr">
        <is>
          <t>Insurer / broker</t>
        </is>
      </c>
      <c r="G15" s="39" t="n"/>
      <c r="H15" s="41" t="n"/>
      <c r="I15" s="41" t="n"/>
      <c r="J15" s="39" t="inlineStr">
        <is>
          <t>Annual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Insurance</t>
        </is>
      </c>
      <c r="C16" s="12" t="inlineStr">
        <is>
          <t>Owner</t>
        </is>
      </c>
      <c r="D16" s="40" t="inlineStr">
        <is>
          <t>Political violence insurance</t>
        </is>
      </c>
      <c r="E16" s="40" t="inlineStr">
        <is>
          <t>ประกันภัยความรุนแรงทางการเมือง</t>
        </is>
      </c>
      <c r="F16" s="40" t="inlineStr">
        <is>
          <t>Insurer / broker</t>
        </is>
      </c>
      <c r="G16" s="39" t="n"/>
      <c r="H16" s="41" t="n"/>
      <c r="I16" s="41" t="n"/>
      <c r="J16" s="39" t="inlineStr">
        <is>
          <t>Annual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Contract - Management</t>
        </is>
      </c>
      <c r="C17" s="12" t="inlineStr">
        <is>
          <t>Owner</t>
        </is>
      </c>
      <c r="D17" s="40" t="inlineStr">
        <is>
          <t>Serviced residence management agreement (Ascott)</t>
        </is>
      </c>
      <c r="E17" s="40" t="inlineStr">
        <is>
          <t>สัญญาบริหารเซอร์วิสเรสซิเดนซ์ (Ascott)</t>
        </is>
      </c>
      <c r="F17" s="40" t="inlineStr">
        <is>
          <t>Ascott International Management (Thailand) Ltd.</t>
        </is>
      </c>
      <c r="G17" s="39" t="n"/>
      <c r="H17" s="41" t="n"/>
      <c r="I17" s="41" t="n"/>
      <c r="J17" s="39" t="inlineStr">
        <is>
          <t>Rolling / evergreen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Contract - Management</t>
        </is>
      </c>
      <c r="C18" s="12" t="inlineStr">
        <is>
          <t>Owner</t>
        </is>
      </c>
      <c r="D18" s="40" t="inlineStr">
        <is>
          <t>Management service / central fee agreement</t>
        </is>
      </c>
      <c r="E18" s="40" t="inlineStr">
        <is>
          <t>สัญญาค่าบริการส่วนกลาง</t>
        </is>
      </c>
      <c r="F18" s="40" t="inlineStr">
        <is>
          <t>Ascott International Management (Thailand) Ltd.</t>
        </is>
      </c>
      <c r="G18" s="39" t="n"/>
      <c r="H18" s="41" t="n"/>
      <c r="I18" s="41" t="n"/>
      <c r="J18" s="39" t="inlineStr">
        <is>
          <t>Rolling / evergreen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Contract - Service</t>
        </is>
      </c>
      <c r="C19" s="12" t="inlineStr">
        <is>
          <t>Owner</t>
        </is>
      </c>
      <c r="D19" s="40" t="inlineStr">
        <is>
          <t>F&amp;B outlet operator (MOU + lease + service)</t>
        </is>
      </c>
      <c r="E19" s="40" t="inlineStr">
        <is>
          <t>สัญญาผู้ประกอบการร้านอาหาร</t>
        </is>
      </c>
      <c r="F19" s="40" t="inlineStr">
        <is>
          <t>DK Wow Venture Co., Ltd.</t>
        </is>
      </c>
      <c r="G19" s="39" t="n"/>
      <c r="H19" s="41" t="n"/>
      <c r="I19" s="41" t="n"/>
      <c r="J19" s="39" t="inlineStr">
        <is>
          <t>Other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Contract - Lease / Finance</t>
        </is>
      </c>
      <c r="C20" s="12" t="inlineStr">
        <is>
          <t>Owner</t>
        </is>
      </c>
      <c r="D20" s="40" t="inlineStr">
        <is>
          <t>Land / building lease</t>
        </is>
      </c>
      <c r="E20" s="40" t="inlineStr">
        <is>
          <t>สัญญาเช่าที่ดิน/อาคาร</t>
        </is>
      </c>
      <c r="F20" s="40" t="inlineStr">
        <is>
          <t>Landlord</t>
        </is>
      </c>
      <c r="G20" s="39" t="n"/>
      <c r="H20" s="41" t="n"/>
      <c r="I20" s="41" t="n"/>
      <c r="J20" s="39" t="inlineStr">
        <is>
          <t>Other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Hotel operating licence</t>
        </is>
      </c>
      <c r="E21" s="40" t="inlineStr">
        <is>
          <t>ใบอนุญาตประกอบธุรกิจโรงแรม</t>
        </is>
      </c>
      <c r="F21" s="40" t="inlineStr">
        <is>
          <t>District Office / DOPA</t>
        </is>
      </c>
      <c r="G21" s="39" t="n"/>
      <c r="H21" s="41" t="n"/>
      <c r="I21" s="41" t="n"/>
      <c r="J21" s="39" t="inlineStr">
        <is>
          <t>Every 5 years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Hotel manager licence</t>
        </is>
      </c>
      <c r="E22" s="40" t="inlineStr">
        <is>
          <t>ใบอนุญาตผู้จัดการโรงแรม</t>
        </is>
      </c>
      <c r="F22" s="40" t="inlineStr">
        <is>
          <t>District Office / DOPA</t>
        </is>
      </c>
      <c r="G22" s="39" t="n"/>
      <c r="H22" s="41" t="n"/>
      <c r="I22" s="41" t="n"/>
      <c r="J22" s="39" t="inlineStr">
        <is>
          <t>Every 5 years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Food establishment licence</t>
        </is>
      </c>
      <c r="E23" s="40" t="inlineStr">
        <is>
          <t>ใบอนุญาตสถานที่จำหน่ายอาหาร</t>
        </is>
      </c>
      <c r="F23" s="40" t="inlineStr">
        <is>
          <t>Local authority</t>
        </is>
      </c>
      <c r="G23" s="39" t="n"/>
      <c r="H23" s="41" t="n"/>
      <c r="I23" s="41" t="n"/>
      <c r="J23" s="39" t="inlineStr">
        <is>
          <t>Annual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Alcohol sale licence (per outlet)</t>
        </is>
      </c>
      <c r="E24" s="40" t="inlineStr">
        <is>
          <t>ใบอนุญาตขายสุรา (ต่อร้าน)</t>
        </is>
      </c>
      <c r="F24" s="40" t="inlineStr">
        <is>
          <t>Excise Department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Gym licence</t>
        </is>
      </c>
      <c r="E25" s="40" t="inlineStr">
        <is>
          <t>ใบอนุญาตกิจการฟิตเนส</t>
        </is>
      </c>
      <c r="F25" s="40" t="inlineStr">
        <is>
          <t>Local authority</t>
        </is>
      </c>
      <c r="G25" s="39" t="n"/>
      <c r="H25" s="41" t="n"/>
      <c r="I25" s="41" t="n"/>
      <c r="J25" s="39" t="inlineStr">
        <is>
          <t>Annual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Licence</t>
        </is>
      </c>
      <c r="C26" s="12" t="inlineStr">
        <is>
          <t>Property</t>
        </is>
      </c>
      <c r="D26" s="40" t="inlineStr">
        <is>
          <t>Sauna licence</t>
        </is>
      </c>
      <c r="E26" s="40" t="inlineStr">
        <is>
          <t>ใบอนุญาตกิจการซาวน่า</t>
        </is>
      </c>
      <c r="F26" s="40" t="inlineStr">
        <is>
          <t>Local authority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Licence</t>
        </is>
      </c>
      <c r="C27" s="12" t="inlineStr">
        <is>
          <t>Property</t>
        </is>
      </c>
      <c r="D27" s="40" t="inlineStr">
        <is>
          <t>Swimming pool licence</t>
        </is>
      </c>
      <c r="E27" s="40" t="inlineStr">
        <is>
          <t>ใบอนุญาตกิจการสระว่ายน้ำ</t>
        </is>
      </c>
      <c r="F27" s="40" t="inlineStr">
        <is>
          <t>Local authority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Licence</t>
        </is>
      </c>
      <c r="C28" s="12" t="inlineStr">
        <is>
          <t>Property</t>
        </is>
      </c>
      <c r="D28" s="40" t="inlineStr">
        <is>
          <t>Hazardous substance licence</t>
        </is>
      </c>
      <c r="E28" s="40" t="inlineStr">
        <is>
          <t>ใบอนุญาตวัตถุอันตราย</t>
        </is>
      </c>
      <c r="F28" s="40" t="inlineStr">
        <is>
          <t>Local authority / FDA</t>
        </is>
      </c>
      <c r="G28" s="39" t="n"/>
      <c r="H28" s="41" t="n"/>
      <c r="I28" s="41" t="n"/>
      <c r="J28" s="39" t="inlineStr">
        <is>
          <t>Other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Licence</t>
        </is>
      </c>
      <c r="C29" s="12" t="inlineStr">
        <is>
          <t>Property</t>
        </is>
      </c>
      <c r="D29" s="40" t="inlineStr">
        <is>
          <t>Generator licence</t>
        </is>
      </c>
      <c r="E29" s="40" t="inlineStr">
        <is>
          <t>ใบอนุญาตเครื่องกำเนิดไฟฟ้า</t>
        </is>
      </c>
      <c r="F29" s="40" t="inlineStr">
        <is>
          <t>Dept. of Energy Business</t>
        </is>
      </c>
      <c r="G29" s="39" t="n"/>
      <c r="H29" s="41" t="n"/>
      <c r="I29" s="41" t="n"/>
      <c r="J29" s="39" t="inlineStr">
        <is>
          <t>Annual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Licence</t>
        </is>
      </c>
      <c r="C30" s="12" t="inlineStr">
        <is>
          <t>Property</t>
        </is>
      </c>
      <c r="D30" s="40" t="inlineStr">
        <is>
          <t>LPG storage licence</t>
        </is>
      </c>
      <c r="E30" s="40" t="inlineStr">
        <is>
          <t>ใบอนุญาตเก็บก๊าซ LPG</t>
        </is>
      </c>
      <c r="F30" s="40" t="inlineStr">
        <is>
          <t>Dept. of Energy Business</t>
        </is>
      </c>
      <c r="G30" s="39" t="n"/>
      <c r="H30" s="41" t="n"/>
      <c r="I30" s="41" t="n"/>
      <c r="J30" s="39" t="inlineStr">
        <is>
          <t>Other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Permit</t>
        </is>
      </c>
      <c r="C31" s="12" t="inlineStr">
        <is>
          <t>Property</t>
        </is>
      </c>
      <c r="D31" s="40" t="inlineStr">
        <is>
          <t>Work permits / visas — foreign staff</t>
        </is>
      </c>
      <c r="E31" s="40" t="inlineStr">
        <is>
          <t>ใบอนุญาตทำงาน/วีซ่าพนักงานต่างชาติ</t>
        </is>
      </c>
      <c r="F31" s="40" t="inlineStr">
        <is>
          <t>DOE / Immigration</t>
        </is>
      </c>
      <c r="G31" s="39" t="n"/>
      <c r="H31" s="41" t="n"/>
      <c r="I31" s="41" t="n"/>
      <c r="J31" s="39" t="inlineStr">
        <is>
          <t>Annual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Annual building inspection (Ror.1)</t>
        </is>
      </c>
      <c r="E32" s="40" t="inlineStr">
        <is>
          <t>รายงานตรวจสอบอาคารประจำปี (ร.1)</t>
        </is>
      </c>
      <c r="F32" s="40" t="inlineStr">
        <is>
          <t>Licensed inspector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Certificate</t>
        </is>
      </c>
      <c r="C33" s="12" t="inlineStr">
        <is>
          <t>Property</t>
        </is>
      </c>
      <c r="D33" s="40" t="inlineStr">
        <is>
          <t>EIA monitoring report</t>
        </is>
      </c>
      <c r="E33" s="40" t="inlineStr">
        <is>
          <t>รายงานติดตามมาตรการ EIA</t>
        </is>
      </c>
      <c r="F33" s="40" t="inlineStr">
        <is>
          <t>ONEP / consultant</t>
        </is>
      </c>
      <c r="G33" s="39" t="n"/>
      <c r="H33" s="41" t="n"/>
      <c r="I33" s="41" t="n"/>
      <c r="J33" s="39" t="inlineStr">
        <is>
          <t>Semi-annual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Certificate</t>
        </is>
      </c>
      <c r="C34" s="12" t="inlineStr">
        <is>
          <t>Property</t>
        </is>
      </c>
      <c r="D34" s="40" t="inlineStr">
        <is>
          <t>Welfare committee appointment</t>
        </is>
      </c>
      <c r="E34" s="40" t="inlineStr">
        <is>
          <t>แต่งตั้งคณะกรรมการสวัสดิการ</t>
        </is>
      </c>
      <c r="F34" s="40" t="inlineStr">
        <is>
          <t>Internal / DLPW</t>
        </is>
      </c>
      <c r="G34" s="39" t="n"/>
      <c r="H34" s="41" t="n"/>
      <c r="I34" s="41" t="n"/>
      <c r="J34" s="39" t="inlineStr">
        <is>
          <t>Every 2 years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Certificate</t>
        </is>
      </c>
      <c r="C35" s="12" t="inlineStr">
        <is>
          <t>Property</t>
        </is>
      </c>
      <c r="D35" s="40" t="inlineStr">
        <is>
          <t>OHS committee appointment</t>
        </is>
      </c>
      <c r="E35" s="40" t="inlineStr">
        <is>
          <t>แต่งตั้งคณะกรรมการความปลอดภัยฯ (คปอ.)</t>
        </is>
      </c>
      <c r="F35" s="40" t="inlineStr">
        <is>
          <t>Internal / DLPW</t>
        </is>
      </c>
      <c r="G35" s="39" t="n"/>
      <c r="H35" s="41" t="n"/>
      <c r="I35" s="41" t="n"/>
      <c r="J35" s="39" t="inlineStr">
        <is>
          <t>Every 2 years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Certificate</t>
        </is>
      </c>
      <c r="C36" s="12" t="inlineStr">
        <is>
          <t>Property</t>
        </is>
      </c>
      <c r="D36" s="40" t="inlineStr">
        <is>
          <t>Safety officer (Jor Por) appointments</t>
        </is>
      </c>
      <c r="E36" s="40" t="inlineStr">
        <is>
          <t>แต่งตั้งเจ้าหน้าที่ความปลอดภัย (จป.)</t>
        </is>
      </c>
      <c r="F36" s="40" t="inlineStr">
        <is>
          <t>Internal / DLPW</t>
        </is>
      </c>
      <c r="G36" s="39" t="n"/>
      <c r="H36" s="41" t="n"/>
      <c r="I36" s="41" t="n"/>
      <c r="J36" s="39" t="inlineStr">
        <is>
          <t>Other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Certificate</t>
        </is>
      </c>
      <c r="C37" s="12" t="inlineStr">
        <is>
          <t>Property</t>
        </is>
      </c>
      <c r="D37" s="40" t="inlineStr">
        <is>
          <t>Workplace environment assessment</t>
        </is>
      </c>
      <c r="E37" s="40" t="inlineStr">
        <is>
          <t>ตรวจวัดสภาพแวดล้อมในการทำงาน</t>
        </is>
      </c>
      <c r="F37" s="40" t="inlineStr">
        <is>
          <t>Accredited laboratory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Tax / Registration</t>
        </is>
      </c>
      <c r="C38" s="12" t="inlineStr">
        <is>
          <t>Property</t>
        </is>
      </c>
      <c r="D38" s="40" t="inlineStr">
        <is>
          <t>Provident fund registration</t>
        </is>
      </c>
      <c r="E38" s="40" t="inlineStr">
        <is>
          <t>ทะเบียนกองทุนสำรองเลี้ยงชีพ</t>
        </is>
      </c>
      <c r="F38" s="40" t="inlineStr">
        <is>
          <t>MOF / fund manager</t>
        </is>
      </c>
      <c r="G38" s="39" t="n"/>
      <c r="H38" s="41" t="n"/>
      <c r="I38" s="41" t="n"/>
      <c r="J38" s="39" t="inlineStr">
        <is>
          <t>One-off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Tax / Registration</t>
        </is>
      </c>
      <c r="C39" s="12" t="inlineStr">
        <is>
          <t>Property</t>
        </is>
      </c>
      <c r="D39" s="40" t="inlineStr">
        <is>
          <t>Social security registration</t>
        </is>
      </c>
      <c r="E39" s="40" t="inlineStr">
        <is>
          <t>ทะเบียนนายจ้างประกันสังคม</t>
        </is>
      </c>
      <c r="F39" s="40" t="inlineStr">
        <is>
          <t>Social Security Office</t>
        </is>
      </c>
      <c r="G39" s="39" t="n"/>
      <c r="H39" s="41" t="n"/>
      <c r="I39" s="41" t="n"/>
      <c r="J39" s="39" t="inlineStr">
        <is>
          <t>One-off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Tax / Registration</t>
        </is>
      </c>
      <c r="C40" s="12" t="inlineStr">
        <is>
          <t>Property</t>
        </is>
      </c>
      <c r="D40" s="40" t="inlineStr">
        <is>
          <t>Workmen compensation registration (KorTor.39)</t>
        </is>
      </c>
      <c r="E40" s="40" t="inlineStr">
        <is>
          <t>ทะเบียนกองทุนเงินทดแทน (กท.39)</t>
        </is>
      </c>
      <c r="F40" s="40" t="inlineStr">
        <is>
          <t>Social Security Office</t>
        </is>
      </c>
      <c r="G40" s="39" t="n"/>
      <c r="H40" s="41" t="n"/>
      <c r="I40" s="41" t="n"/>
      <c r="J40" s="39" t="inlineStr">
        <is>
          <t>One-off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Insurance</t>
        </is>
      </c>
      <c r="C41" s="12" t="inlineStr">
        <is>
          <t>Property</t>
        </is>
      </c>
      <c r="D41" s="40" t="inlineStr">
        <is>
          <t>Public liability insurance</t>
        </is>
      </c>
      <c r="E41" s="40" t="inlineStr">
        <is>
          <t>ประกันภัยความรับผิดต่อบุคคลภายนอก</t>
        </is>
      </c>
      <c r="F41" s="40" t="inlineStr">
        <is>
          <t>Insurer / broker</t>
        </is>
      </c>
      <c r="G41" s="39" t="n"/>
      <c r="H41" s="41" t="n"/>
      <c r="I41" s="41" t="n"/>
      <c r="J41" s="39" t="inlineStr">
        <is>
          <t>Annual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Insurance</t>
        </is>
      </c>
      <c r="C42" s="12" t="inlineStr">
        <is>
          <t>Property</t>
        </is>
      </c>
      <c r="D42" s="40" t="inlineStr">
        <is>
          <t>Fidelity insurance</t>
        </is>
      </c>
      <c r="E42" s="40" t="inlineStr">
        <is>
          <t>ประกันภัยความซื่อสัตย์พนักงาน</t>
        </is>
      </c>
      <c r="F42" s="40" t="inlineStr">
        <is>
          <t>Insurer / broker</t>
        </is>
      </c>
      <c r="G42" s="39" t="n"/>
      <c r="H42" s="41" t="n"/>
      <c r="I42" s="41" t="n"/>
      <c r="J42" s="39" t="inlineStr">
        <is>
          <t>Annual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Insurance</t>
        </is>
      </c>
      <c r="C43" s="12" t="inlineStr">
        <is>
          <t>Property</t>
        </is>
      </c>
      <c r="D43" s="40" t="inlineStr">
        <is>
          <t>Motor insurance (per vehicle)</t>
        </is>
      </c>
      <c r="E43" s="40" t="inlineStr">
        <is>
          <t>ประกันภัยรถยนต์ (ต่อคัน)</t>
        </is>
      </c>
      <c r="F43" s="40" t="inlineStr">
        <is>
          <t>Insurer / broker</t>
        </is>
      </c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Insurance</t>
        </is>
      </c>
      <c r="C44" s="12" t="inlineStr">
        <is>
          <t>Property</t>
        </is>
      </c>
      <c r="D44" s="40" t="inlineStr">
        <is>
          <t>Employee group insurance</t>
        </is>
      </c>
      <c r="E44" s="40" t="inlineStr">
        <is>
          <t>ประกันภัยกลุ่มพนักงาน</t>
        </is>
      </c>
      <c r="F44" s="40" t="inlineStr">
        <is>
          <t>Insurer / broker</t>
        </is>
      </c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OTA</t>
        </is>
      </c>
      <c r="C45" s="12" t="inlineStr">
        <is>
          <t>Property</t>
        </is>
      </c>
      <c r="D45" s="40" t="inlineStr">
        <is>
          <t>Booking.com accommodation agreement</t>
        </is>
      </c>
      <c r="E45" s="40" t="inlineStr">
        <is>
          <t>สัญญากับ Booking.com</t>
        </is>
      </c>
      <c r="F45" s="40" t="inlineStr">
        <is>
          <t>Booking.com B.V.</t>
        </is>
      </c>
      <c r="G45" s="39" t="n"/>
      <c r="H45" s="41" t="n"/>
      <c r="I45" s="41" t="n"/>
      <c r="J45" s="39" t="inlineStr">
        <is>
          <t>Rolling / evergreen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OTA</t>
        </is>
      </c>
      <c r="C46" s="12" t="inlineStr">
        <is>
          <t>Property</t>
        </is>
      </c>
      <c r="D46" s="40" t="inlineStr">
        <is>
          <t>Expedia lodging agreement</t>
        </is>
      </c>
      <c r="E46" s="40" t="inlineStr">
        <is>
          <t>สัญญากับ Expedia</t>
        </is>
      </c>
      <c r="F46" s="40" t="inlineStr">
        <is>
          <t>Travelscape LLC / Expedia</t>
        </is>
      </c>
      <c r="G46" s="39" t="n"/>
      <c r="H46" s="41" t="n"/>
      <c r="I46" s="41" t="n"/>
      <c r="J46" s="39" t="inlineStr">
        <is>
          <t>Rolling / evergreen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OTA</t>
        </is>
      </c>
      <c r="C47" s="12" t="inlineStr">
        <is>
          <t>Property</t>
        </is>
      </c>
      <c r="D47" s="40" t="inlineStr">
        <is>
          <t>Agoda accommodation agreement</t>
        </is>
      </c>
      <c r="E47" s="40" t="inlineStr">
        <is>
          <t>สัญญากับ Agoda</t>
        </is>
      </c>
      <c r="F47" s="40" t="inlineStr">
        <is>
          <t>Agoda Company Pte. Ltd.</t>
        </is>
      </c>
      <c r="G47" s="39" t="n"/>
      <c r="H47" s="41" t="n"/>
      <c r="I47" s="41" t="n"/>
      <c r="J47" s="39" t="inlineStr">
        <is>
          <t>Rolling / evergreen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Service</t>
        </is>
      </c>
      <c r="C48" s="12" t="inlineStr">
        <is>
          <t>Property</t>
        </is>
      </c>
      <c r="D48" s="40" t="inlineStr">
        <is>
          <t>Breakfast service contract</t>
        </is>
      </c>
      <c r="E48" s="40" t="inlineStr">
        <is>
          <t>สัญญาบริการอาหารเช้า</t>
        </is>
      </c>
      <c r="F48" s="40" t="n"/>
      <c r="G48" s="39" t="n"/>
      <c r="H48" s="41" t="n"/>
      <c r="I48" s="41" t="n"/>
      <c r="J48" s="39" t="inlineStr">
        <is>
          <t>Annual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Limousine service contract</t>
        </is>
      </c>
      <c r="E49" s="40" t="inlineStr">
        <is>
          <t>สัญญาบริการรถลีมูซีน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Car rental contract</t>
        </is>
      </c>
      <c r="E50" s="40" t="inlineStr">
        <is>
          <t>สัญญาเช่ารถยนต์</t>
        </is>
      </c>
      <c r="F50" s="40" t="n"/>
      <c r="G50" s="39" t="n"/>
      <c r="H50" s="41" t="n"/>
      <c r="I50" s="41" t="n"/>
      <c r="J50" s="39" t="inlineStr">
        <is>
          <t>Other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Public area music contract</t>
        </is>
      </c>
      <c r="E51" s="40" t="inlineStr">
        <is>
          <t>สัญญาเพลงพื้นที่ส่วนกลาง (ลิขสิทธิ์)</t>
        </is>
      </c>
      <c r="F51" s="40" t="n"/>
      <c r="G51" s="39" t="n"/>
      <c r="H51" s="41" t="n"/>
      <c r="I51" s="41" t="n"/>
      <c r="J51" s="39" t="inlineStr">
        <is>
          <t>Annual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Music design contract</t>
        </is>
      </c>
      <c r="E52" s="40" t="inlineStr">
        <is>
          <t>สัญญาออกแบบเสียงเพลง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Newspaper / magazine subscription</t>
        </is>
      </c>
      <c r="E53" s="40" t="inlineStr">
        <is>
          <t>สัญญาหนังสือพิมพ์/นิตยสาร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Document storage service</t>
        </is>
      </c>
      <c r="E54" s="40" t="inlineStr">
        <is>
          <t>สัญญารับฝากเอกสาร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Photocopier rental</t>
        </is>
      </c>
      <c r="E55" s="40" t="inlineStr">
        <is>
          <t>สัญญาเช่าเครื่องถ่ายเอกสาร</t>
        </is>
      </c>
      <c r="F55" s="40" t="n"/>
      <c r="G55" s="39" t="n"/>
      <c r="H55" s="41" t="n"/>
      <c r="I55" s="41" t="n"/>
      <c r="J55" s="39" t="inlineStr">
        <is>
          <t>Other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Fire alarm maintenance</t>
        </is>
      </c>
      <c r="E56" s="40" t="inlineStr">
        <is>
          <t>สัญญาบำรุงรักษาระบบแจ้งเหตุเพลิงไหม้</t>
        </is>
      </c>
      <c r="F56" s="40" t="n"/>
      <c r="G56" s="39" t="n"/>
      <c r="H56" s="41" t="n"/>
      <c r="I56" s="41" t="n"/>
      <c r="J56" s="39" t="inlineStr">
        <is>
          <t>Annual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Sound system maintenance</t>
        </is>
      </c>
      <c r="E57" s="40" t="inlineStr">
        <is>
          <t>สัญญาบำรุงรักษาระบบเสียง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Electrical equipment maintenance</t>
        </is>
      </c>
      <c r="E58" s="40" t="inlineStr">
        <is>
          <t>สัญญาบำรุงรักษาอุปกรณ์ไฟฟ้า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Elevator maintenance (per lift)</t>
        </is>
      </c>
      <c r="E59" s="40" t="inlineStr">
        <is>
          <t>สัญญาบำรุงรักษาลิฟต์ (ต่อตัว)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Elevator annual audit</t>
        </is>
      </c>
      <c r="E60" s="40" t="inlineStr">
        <is>
          <t>สัญญาตรวจสอบลิฟต์ประจำปี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Fitness equipment maintenance</t>
        </is>
      </c>
      <c r="E61" s="40" t="inlineStr">
        <is>
          <t>สัญญาบำรุงรักษาอุปกรณ์ฟิตเนส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PABX maintenance</t>
        </is>
      </c>
      <c r="E62" s="40" t="inlineStr">
        <is>
          <t>สัญญาบำรุงรักษาระบบโทรศัพท์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Air, water &amp; wastewater checking</t>
        </is>
      </c>
      <c r="E63" s="40" t="inlineStr">
        <is>
          <t>สัญญาตรวจวัดอากาศ น้ำ และน้ำทิ้ง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Annual energy conservation audit</t>
        </is>
      </c>
      <c r="E64" s="40" t="inlineStr">
        <is>
          <t>สัญญาตรวจสอบการอนุรักษ์พลังงานประจำปี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Annual building inspection contract</t>
        </is>
      </c>
      <c r="E65" s="40" t="inlineStr">
        <is>
          <t>สัญญาตรวจสอบอาคารประจำปี</t>
        </is>
      </c>
      <c r="F65" s="40" t="n"/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Hygiene services</t>
        </is>
      </c>
      <c r="E66" s="40" t="inlineStr">
        <is>
          <t>สัญญาบริการสุขอนามัย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Cleaning service</t>
        </is>
      </c>
      <c r="E67" s="40" t="inlineStr">
        <is>
          <t>สัญญาบริการทำความสะอาด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Pest control</t>
        </is>
      </c>
      <c r="E68" s="40" t="inlineStr">
        <is>
          <t>สัญญากำจัดแมลง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Landscape service</t>
        </is>
      </c>
      <c r="E69" s="40" t="inlineStr">
        <is>
          <t>สัญญาดูแลภูมิทัศน์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Laundry service</t>
        </is>
      </c>
      <c r="E70" s="40" t="inlineStr">
        <is>
          <t>สัญญาบริการซักรีด</t>
        </is>
      </c>
      <c r="F70" s="40" t="inlineStr">
        <is>
          <t>Laundry Pattaya</t>
        </is>
      </c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Lobby aroma scent service</t>
        </is>
      </c>
      <c r="E71" s="40" t="inlineStr">
        <is>
          <t>สัญญาบริการน้ำหอมล็อบบี้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Leased line (back office)</t>
        </is>
      </c>
      <c r="E72" s="40" t="inlineStr">
        <is>
          <t>สัญญาลีสไลน์สำนักงาน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Guest internet</t>
        </is>
      </c>
      <c r="E73" s="40" t="inlineStr">
        <is>
          <t>สัญญาอินเทอร์เน็ตแขก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inlineStr">
        <is>
          <t>Contract - Service</t>
        </is>
      </c>
      <c r="C74" s="12" t="inlineStr">
        <is>
          <t>Property</t>
        </is>
      </c>
      <c r="D74" s="40" t="inlineStr">
        <is>
          <t>PMS maintenance</t>
        </is>
      </c>
      <c r="E74" s="40" t="inlineStr">
        <is>
          <t>สัญญาบำรุงรักษาระบบ PMS</t>
        </is>
      </c>
      <c r="F74" s="40" t="n"/>
      <c r="G74" s="39" t="n"/>
      <c r="H74" s="41" t="n"/>
      <c r="I74" s="41" t="n"/>
      <c r="J74" s="39" t="inlineStr">
        <is>
          <t>Annual</t>
        </is>
      </c>
      <c r="K74" s="39" t="n">
        <v>60</v>
      </c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inlineStr">
        <is>
          <t>Contract - Service</t>
        </is>
      </c>
      <c r="C75" s="12" t="inlineStr">
        <is>
          <t>Property</t>
        </is>
      </c>
      <c r="D75" s="40" t="inlineStr">
        <is>
          <t>Accounting software maintenance</t>
        </is>
      </c>
      <c r="E75" s="40" t="inlineStr">
        <is>
          <t>สัญญาบำรุงรักษาซอฟต์แวร์บัญชี</t>
        </is>
      </c>
      <c r="F75" s="40" t="n"/>
      <c r="G75" s="39" t="n"/>
      <c r="H75" s="41" t="n"/>
      <c r="I75" s="41" t="n"/>
      <c r="J75" s="39" t="inlineStr">
        <is>
          <t>Annual</t>
        </is>
      </c>
      <c r="K75" s="39" t="n">
        <v>60</v>
      </c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inlineStr">
        <is>
          <t>Contract - Service</t>
        </is>
      </c>
      <c r="C76" s="12" t="inlineStr">
        <is>
          <t>Property</t>
        </is>
      </c>
      <c r="D76" s="40" t="inlineStr">
        <is>
          <t>Security service</t>
        </is>
      </c>
      <c r="E76" s="40" t="inlineStr">
        <is>
          <t>สัญญารักษาความปลอดภัย</t>
        </is>
      </c>
      <c r="F76" s="40" t="n"/>
      <c r="G76" s="39" t="n"/>
      <c r="H76" s="41" t="n"/>
      <c r="I76" s="41" t="n"/>
      <c r="J76" s="39" t="inlineStr">
        <is>
          <t>Annual</t>
        </is>
      </c>
      <c r="K76" s="39" t="n">
        <v>60</v>
      </c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inlineStr">
        <is>
          <t>Contract - Service</t>
        </is>
      </c>
      <c r="C77" s="12" t="inlineStr">
        <is>
          <t>Property</t>
        </is>
      </c>
      <c r="D77" s="40" t="inlineStr">
        <is>
          <t>CCTV system</t>
        </is>
      </c>
      <c r="E77" s="40" t="inlineStr">
        <is>
          <t>สัญญาระบบกล้องวงจรปิด</t>
        </is>
      </c>
      <c r="F77" s="40" t="n"/>
      <c r="G77" s="39" t="n"/>
      <c r="H77" s="41" t="n"/>
      <c r="I77" s="41" t="n"/>
      <c r="J77" s="39" t="inlineStr">
        <is>
          <t>Annual</t>
        </is>
      </c>
      <c r="K77" s="39" t="n">
        <v>60</v>
      </c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inlineStr">
        <is>
          <t>Contract - Service</t>
        </is>
      </c>
      <c r="C78" s="12" t="inlineStr">
        <is>
          <t>Property</t>
        </is>
      </c>
      <c r="D78" s="40" t="inlineStr">
        <is>
          <t>Car parking system</t>
        </is>
      </c>
      <c r="E78" s="40" t="inlineStr">
        <is>
          <t>สัญญาระบบที่จอดรถ</t>
        </is>
      </c>
      <c r="F78" s="40" t="n"/>
      <c r="G78" s="39" t="n"/>
      <c r="H78" s="41" t="n"/>
      <c r="I78" s="41" t="n"/>
      <c r="J78" s="39" t="inlineStr">
        <is>
          <t>Annual</t>
        </is>
      </c>
      <c r="K78" s="39" t="n">
        <v>60</v>
      </c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n"/>
      <c r="C79" s="12" t="n"/>
      <c r="D79" s="40" t="n"/>
      <c r="E79" s="40" t="n"/>
      <c r="F79" s="40" t="n"/>
      <c r="G79" s="39" t="n"/>
      <c r="H79" s="41" t="n"/>
      <c r="I79" s="41" t="n"/>
      <c r="J79" s="39" t="n"/>
      <c r="K79" s="39" t="n"/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n"/>
      <c r="C80" s="12" t="n"/>
      <c r="D80" s="40" t="n"/>
      <c r="E80" s="40" t="n"/>
      <c r="F80" s="40" t="n"/>
      <c r="G80" s="39" t="n"/>
      <c r="H80" s="41" t="n"/>
      <c r="I80" s="41" t="n"/>
      <c r="J80" s="39" t="n"/>
      <c r="K80" s="39" t="n"/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Lists!$C$4:$C$14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8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Hotel</t>
        </is>
      </c>
      <c r="B1" s="5" t="inlineStr">
        <is>
          <t>Renew by</t>
        </is>
      </c>
      <c r="C1" s="5" t="inlineStr">
        <is>
          <t>Category</t>
        </is>
      </c>
      <c r="D1" s="5" t="inlineStr">
        <is>
          <t>Item</t>
        </is>
      </c>
      <c r="E1" s="5" t="inlineStr">
        <is>
          <t>Counterparty</t>
        </is>
      </c>
      <c r="F1" s="5" t="inlineStr">
        <is>
          <t>Expiry date</t>
        </is>
      </c>
      <c r="G1" s="5" t="inlineStr">
        <is>
          <t>Days left</t>
        </is>
      </c>
      <c r="H1" s="5" t="inlineStr">
        <is>
          <t>Status</t>
        </is>
      </c>
      <c r="I1" s="5" t="inlineStr">
        <is>
          <t>Responsible</t>
        </is>
      </c>
      <c r="J1" s="5" t="inlineStr">
        <is>
          <t>SortKey</t>
        </is>
      </c>
    </row>
    <row r="2">
      <c r="A2">
        <f>IF(SR9!D5="","","SR9")</f>
        <v/>
      </c>
      <c r="B2">
        <f>IF(SR9!C5="","",SR9!C5)</f>
        <v/>
      </c>
      <c r="C2">
        <f>IF(SR9!B5="","",SR9!B5)</f>
        <v/>
      </c>
      <c r="D2">
        <f>IF(SR9!D5="","",SR9!D5)</f>
        <v/>
      </c>
      <c r="E2">
        <f>IF(SR9!F5="","",SR9!F5)</f>
        <v/>
      </c>
      <c r="F2">
        <f>IF(SR9!I5="","",SR9!I5)</f>
        <v/>
      </c>
      <c r="G2">
        <f>IF(SR9!M5="","",SR9!M5)</f>
        <v/>
      </c>
      <c r="H2">
        <f>IF(SR9!N5="","",SR9!N5)</f>
        <v/>
      </c>
      <c r="I2">
        <f>IF(SR9!O5="","",SR9!O5)</f>
        <v/>
      </c>
      <c r="J2">
        <f>IF(D2="","",IF(F2="","",G2+ROW()/100000))</f>
        <v/>
      </c>
    </row>
    <row r="3">
      <c r="A3">
        <f>IF(SR9!D6="","","SR9")</f>
        <v/>
      </c>
      <c r="B3">
        <f>IF(SR9!C6="","",SR9!C6)</f>
        <v/>
      </c>
      <c r="C3">
        <f>IF(SR9!B6="","",SR9!B6)</f>
        <v/>
      </c>
      <c r="D3">
        <f>IF(SR9!D6="","",SR9!D6)</f>
        <v/>
      </c>
      <c r="E3">
        <f>IF(SR9!F6="","",SR9!F6)</f>
        <v/>
      </c>
      <c r="F3">
        <f>IF(SR9!I6="","",SR9!I6)</f>
        <v/>
      </c>
      <c r="G3">
        <f>IF(SR9!M6="","",SR9!M6)</f>
        <v/>
      </c>
      <c r="H3">
        <f>IF(SR9!N6="","",SR9!N6)</f>
        <v/>
      </c>
      <c r="I3">
        <f>IF(SR9!O6="","",SR9!O6)</f>
        <v/>
      </c>
      <c r="J3">
        <f>IF(D3="","",IF(F3="","",G3+ROW()/100000))</f>
        <v/>
      </c>
    </row>
    <row r="4">
      <c r="A4">
        <f>IF(SR9!D7="","","SR9")</f>
        <v/>
      </c>
      <c r="B4">
        <f>IF(SR9!C7="","",SR9!C7)</f>
        <v/>
      </c>
      <c r="C4">
        <f>IF(SR9!B7="","",SR9!B7)</f>
        <v/>
      </c>
      <c r="D4">
        <f>IF(SR9!D7="","",SR9!D7)</f>
        <v/>
      </c>
      <c r="E4">
        <f>IF(SR9!F7="","",SR9!F7)</f>
        <v/>
      </c>
      <c r="F4">
        <f>IF(SR9!I7="","",SR9!I7)</f>
        <v/>
      </c>
      <c r="G4">
        <f>IF(SR9!M7="","",SR9!M7)</f>
        <v/>
      </c>
      <c r="H4">
        <f>IF(SR9!N7="","",SR9!N7)</f>
        <v/>
      </c>
      <c r="I4">
        <f>IF(SR9!O7="","",SR9!O7)</f>
        <v/>
      </c>
      <c r="J4">
        <f>IF(D4="","",IF(F4="","",G4+ROW()/100000))</f>
        <v/>
      </c>
    </row>
    <row r="5">
      <c r="A5">
        <f>IF(SR9!D8="","","SR9")</f>
        <v/>
      </c>
      <c r="B5">
        <f>IF(SR9!C8="","",SR9!C8)</f>
        <v/>
      </c>
      <c r="C5">
        <f>IF(SR9!B8="","",SR9!B8)</f>
        <v/>
      </c>
      <c r="D5">
        <f>IF(SR9!D8="","",SR9!D8)</f>
        <v/>
      </c>
      <c r="E5">
        <f>IF(SR9!F8="","",SR9!F8)</f>
        <v/>
      </c>
      <c r="F5">
        <f>IF(SR9!I8="","",SR9!I8)</f>
        <v/>
      </c>
      <c r="G5">
        <f>IF(SR9!M8="","",SR9!M8)</f>
        <v/>
      </c>
      <c r="H5">
        <f>IF(SR9!N8="","",SR9!N8)</f>
        <v/>
      </c>
      <c r="I5">
        <f>IF(SR9!O8="","",SR9!O8)</f>
        <v/>
      </c>
      <c r="J5">
        <f>IF(D5="","",IF(F5="","",G5+ROW()/100000))</f>
        <v/>
      </c>
    </row>
    <row r="6">
      <c r="A6">
        <f>IF(SR9!D9="","","SR9")</f>
        <v/>
      </c>
      <c r="B6">
        <f>IF(SR9!C9="","",SR9!C9)</f>
        <v/>
      </c>
      <c r="C6">
        <f>IF(SR9!B9="","",SR9!B9)</f>
        <v/>
      </c>
      <c r="D6">
        <f>IF(SR9!D9="","",SR9!D9)</f>
        <v/>
      </c>
      <c r="E6">
        <f>IF(SR9!F9="","",SR9!F9)</f>
        <v/>
      </c>
      <c r="F6">
        <f>IF(SR9!I9="","",SR9!I9)</f>
        <v/>
      </c>
      <c r="G6">
        <f>IF(SR9!M9="","",SR9!M9)</f>
        <v/>
      </c>
      <c r="H6">
        <f>IF(SR9!N9="","",SR9!N9)</f>
        <v/>
      </c>
      <c r="I6">
        <f>IF(SR9!O9="","",SR9!O9)</f>
        <v/>
      </c>
      <c r="J6">
        <f>IF(D6="","",IF(F6="","",G6+ROW()/100000))</f>
        <v/>
      </c>
    </row>
    <row r="7">
      <c r="A7">
        <f>IF(SR9!D10="","","SR9")</f>
        <v/>
      </c>
      <c r="B7">
        <f>IF(SR9!C10="","",SR9!C10)</f>
        <v/>
      </c>
      <c r="C7">
        <f>IF(SR9!B10="","",SR9!B10)</f>
        <v/>
      </c>
      <c r="D7">
        <f>IF(SR9!D10="","",SR9!D10)</f>
        <v/>
      </c>
      <c r="E7">
        <f>IF(SR9!F10="","",SR9!F10)</f>
        <v/>
      </c>
      <c r="F7">
        <f>IF(SR9!I10="","",SR9!I10)</f>
        <v/>
      </c>
      <c r="G7">
        <f>IF(SR9!M10="","",SR9!M10)</f>
        <v/>
      </c>
      <c r="H7">
        <f>IF(SR9!N10="","",SR9!N10)</f>
        <v/>
      </c>
      <c r="I7">
        <f>IF(SR9!O10="","",SR9!O10)</f>
        <v/>
      </c>
      <c r="J7">
        <f>IF(D7="","",IF(F7="","",G7+ROW()/100000))</f>
        <v/>
      </c>
    </row>
    <row r="8">
      <c r="A8">
        <f>IF(SR9!D11="","","SR9")</f>
        <v/>
      </c>
      <c r="B8">
        <f>IF(SR9!C11="","",SR9!C11)</f>
        <v/>
      </c>
      <c r="C8">
        <f>IF(SR9!B11="","",SR9!B11)</f>
        <v/>
      </c>
      <c r="D8">
        <f>IF(SR9!D11="","",SR9!D11)</f>
        <v/>
      </c>
      <c r="E8">
        <f>IF(SR9!F11="","",SR9!F11)</f>
        <v/>
      </c>
      <c r="F8">
        <f>IF(SR9!I11="","",SR9!I11)</f>
        <v/>
      </c>
      <c r="G8">
        <f>IF(SR9!M11="","",SR9!M11)</f>
        <v/>
      </c>
      <c r="H8">
        <f>IF(SR9!N11="","",SR9!N11)</f>
        <v/>
      </c>
      <c r="I8">
        <f>IF(SR9!O11="","",SR9!O11)</f>
        <v/>
      </c>
      <c r="J8">
        <f>IF(D8="","",IF(F8="","",G8+ROW()/100000))</f>
        <v/>
      </c>
    </row>
    <row r="9">
      <c r="A9">
        <f>IF(SR9!D12="","","SR9")</f>
        <v/>
      </c>
      <c r="B9">
        <f>IF(SR9!C12="","",SR9!C12)</f>
        <v/>
      </c>
      <c r="C9">
        <f>IF(SR9!B12="","",SR9!B12)</f>
        <v/>
      </c>
      <c r="D9">
        <f>IF(SR9!D12="","",SR9!D12)</f>
        <v/>
      </c>
      <c r="E9">
        <f>IF(SR9!F12="","",SR9!F12)</f>
        <v/>
      </c>
      <c r="F9">
        <f>IF(SR9!I12="","",SR9!I12)</f>
        <v/>
      </c>
      <c r="G9">
        <f>IF(SR9!M12="","",SR9!M12)</f>
        <v/>
      </c>
      <c r="H9">
        <f>IF(SR9!N12="","",SR9!N12)</f>
        <v/>
      </c>
      <c r="I9">
        <f>IF(SR9!O12="","",SR9!O12)</f>
        <v/>
      </c>
      <c r="J9">
        <f>IF(D9="","",IF(F9="","",G9+ROW()/100000))</f>
        <v/>
      </c>
    </row>
    <row r="10">
      <c r="A10">
        <f>IF(SR9!D13="","","SR9")</f>
        <v/>
      </c>
      <c r="B10">
        <f>IF(SR9!C13="","",SR9!C13)</f>
        <v/>
      </c>
      <c r="C10">
        <f>IF(SR9!B13="","",SR9!B13)</f>
        <v/>
      </c>
      <c r="D10">
        <f>IF(SR9!D13="","",SR9!D13)</f>
        <v/>
      </c>
      <c r="E10">
        <f>IF(SR9!F13="","",SR9!F13)</f>
        <v/>
      </c>
      <c r="F10">
        <f>IF(SR9!I13="","",SR9!I13)</f>
        <v/>
      </c>
      <c r="G10">
        <f>IF(SR9!M13="","",SR9!M13)</f>
        <v/>
      </c>
      <c r="H10">
        <f>IF(SR9!N13="","",SR9!N13)</f>
        <v/>
      </c>
      <c r="I10">
        <f>IF(SR9!O13="","",SR9!O13)</f>
        <v/>
      </c>
      <c r="J10">
        <f>IF(D10="","",IF(F10="","",G10+ROW()/100000))</f>
        <v/>
      </c>
    </row>
    <row r="11">
      <c r="A11">
        <f>IF(SR9!D14="","","SR9")</f>
        <v/>
      </c>
      <c r="B11">
        <f>IF(SR9!C14="","",SR9!C14)</f>
        <v/>
      </c>
      <c r="C11">
        <f>IF(SR9!B14="","",SR9!B14)</f>
        <v/>
      </c>
      <c r="D11">
        <f>IF(SR9!D14="","",SR9!D14)</f>
        <v/>
      </c>
      <c r="E11">
        <f>IF(SR9!F14="","",SR9!F14)</f>
        <v/>
      </c>
      <c r="F11">
        <f>IF(SR9!I14="","",SR9!I14)</f>
        <v/>
      </c>
      <c r="G11">
        <f>IF(SR9!M14="","",SR9!M14)</f>
        <v/>
      </c>
      <c r="H11">
        <f>IF(SR9!N14="","",SR9!N14)</f>
        <v/>
      </c>
      <c r="I11">
        <f>IF(SR9!O14="","",SR9!O14)</f>
        <v/>
      </c>
      <c r="J11">
        <f>IF(D11="","",IF(F11="","",G11+ROW()/100000))</f>
        <v/>
      </c>
    </row>
    <row r="12">
      <c r="A12">
        <f>IF(SR9!D15="","","SR9")</f>
        <v/>
      </c>
      <c r="B12">
        <f>IF(SR9!C15="","",SR9!C15)</f>
        <v/>
      </c>
      <c r="C12">
        <f>IF(SR9!B15="","",SR9!B15)</f>
        <v/>
      </c>
      <c r="D12">
        <f>IF(SR9!D15="","",SR9!D15)</f>
        <v/>
      </c>
      <c r="E12">
        <f>IF(SR9!F15="","",SR9!F15)</f>
        <v/>
      </c>
      <c r="F12">
        <f>IF(SR9!I15="","",SR9!I15)</f>
        <v/>
      </c>
      <c r="G12">
        <f>IF(SR9!M15="","",SR9!M15)</f>
        <v/>
      </c>
      <c r="H12">
        <f>IF(SR9!N15="","",SR9!N15)</f>
        <v/>
      </c>
      <c r="I12">
        <f>IF(SR9!O15="","",SR9!O15)</f>
        <v/>
      </c>
      <c r="J12">
        <f>IF(D12="","",IF(F12="","",G12+ROW()/100000))</f>
        <v/>
      </c>
    </row>
    <row r="13">
      <c r="A13">
        <f>IF(SR9!D16="","","SR9")</f>
        <v/>
      </c>
      <c r="B13">
        <f>IF(SR9!C16="","",SR9!C16)</f>
        <v/>
      </c>
      <c r="C13">
        <f>IF(SR9!B16="","",SR9!B16)</f>
        <v/>
      </c>
      <c r="D13">
        <f>IF(SR9!D16="","",SR9!D16)</f>
        <v/>
      </c>
      <c r="E13">
        <f>IF(SR9!F16="","",SR9!F16)</f>
        <v/>
      </c>
      <c r="F13">
        <f>IF(SR9!I16="","",SR9!I16)</f>
        <v/>
      </c>
      <c r="G13">
        <f>IF(SR9!M16="","",SR9!M16)</f>
        <v/>
      </c>
      <c r="H13">
        <f>IF(SR9!N16="","",SR9!N16)</f>
        <v/>
      </c>
      <c r="I13">
        <f>IF(SR9!O16="","",SR9!O16)</f>
        <v/>
      </c>
      <c r="J13">
        <f>IF(D13="","",IF(F13="","",G13+ROW()/100000))</f>
        <v/>
      </c>
    </row>
    <row r="14">
      <c r="A14">
        <f>IF(SR9!D17="","","SR9")</f>
        <v/>
      </c>
      <c r="B14">
        <f>IF(SR9!C17="","",SR9!C17)</f>
        <v/>
      </c>
      <c r="C14">
        <f>IF(SR9!B17="","",SR9!B17)</f>
        <v/>
      </c>
      <c r="D14">
        <f>IF(SR9!D17="","",SR9!D17)</f>
        <v/>
      </c>
      <c r="E14">
        <f>IF(SR9!F17="","",SR9!F17)</f>
        <v/>
      </c>
      <c r="F14">
        <f>IF(SR9!I17="","",SR9!I17)</f>
        <v/>
      </c>
      <c r="G14">
        <f>IF(SR9!M17="","",SR9!M17)</f>
        <v/>
      </c>
      <c r="H14">
        <f>IF(SR9!N17="","",SR9!N17)</f>
        <v/>
      </c>
      <c r="I14">
        <f>IF(SR9!O17="","",SR9!O17)</f>
        <v/>
      </c>
      <c r="J14">
        <f>IF(D14="","",IF(F14="","",G14+ROW()/100000))</f>
        <v/>
      </c>
    </row>
    <row r="15">
      <c r="A15">
        <f>IF(SR9!D18="","","SR9")</f>
        <v/>
      </c>
      <c r="B15">
        <f>IF(SR9!C18="","",SR9!C18)</f>
        <v/>
      </c>
      <c r="C15">
        <f>IF(SR9!B18="","",SR9!B18)</f>
        <v/>
      </c>
      <c r="D15">
        <f>IF(SR9!D18="","",SR9!D18)</f>
        <v/>
      </c>
      <c r="E15">
        <f>IF(SR9!F18="","",SR9!F18)</f>
        <v/>
      </c>
      <c r="F15">
        <f>IF(SR9!I18="","",SR9!I18)</f>
        <v/>
      </c>
      <c r="G15">
        <f>IF(SR9!M18="","",SR9!M18)</f>
        <v/>
      </c>
      <c r="H15">
        <f>IF(SR9!N18="","",SR9!N18)</f>
        <v/>
      </c>
      <c r="I15">
        <f>IF(SR9!O18="","",SR9!O18)</f>
        <v/>
      </c>
      <c r="J15">
        <f>IF(D15="","",IF(F15="","",G15+ROW()/100000))</f>
        <v/>
      </c>
    </row>
    <row r="16">
      <c r="A16">
        <f>IF(SR9!D19="","","SR9")</f>
        <v/>
      </c>
      <c r="B16">
        <f>IF(SR9!C19="","",SR9!C19)</f>
        <v/>
      </c>
      <c r="C16">
        <f>IF(SR9!B19="","",SR9!B19)</f>
        <v/>
      </c>
      <c r="D16">
        <f>IF(SR9!D19="","",SR9!D19)</f>
        <v/>
      </c>
      <c r="E16">
        <f>IF(SR9!F19="","",SR9!F19)</f>
        <v/>
      </c>
      <c r="F16">
        <f>IF(SR9!I19="","",SR9!I19)</f>
        <v/>
      </c>
      <c r="G16">
        <f>IF(SR9!M19="","",SR9!M19)</f>
        <v/>
      </c>
      <c r="H16">
        <f>IF(SR9!N19="","",SR9!N19)</f>
        <v/>
      </c>
      <c r="I16">
        <f>IF(SR9!O19="","",SR9!O19)</f>
        <v/>
      </c>
      <c r="J16">
        <f>IF(D16="","",IF(F16="","",G16+ROW()/100000))</f>
        <v/>
      </c>
    </row>
    <row r="17">
      <c r="A17">
        <f>IF(SR9!D20="","","SR9")</f>
        <v/>
      </c>
      <c r="B17">
        <f>IF(SR9!C20="","",SR9!C20)</f>
        <v/>
      </c>
      <c r="C17">
        <f>IF(SR9!B20="","",SR9!B20)</f>
        <v/>
      </c>
      <c r="D17">
        <f>IF(SR9!D20="","",SR9!D20)</f>
        <v/>
      </c>
      <c r="E17">
        <f>IF(SR9!F20="","",SR9!F20)</f>
        <v/>
      </c>
      <c r="F17">
        <f>IF(SR9!I20="","",SR9!I20)</f>
        <v/>
      </c>
      <c r="G17">
        <f>IF(SR9!M20="","",SR9!M20)</f>
        <v/>
      </c>
      <c r="H17">
        <f>IF(SR9!N20="","",SR9!N20)</f>
        <v/>
      </c>
      <c r="I17">
        <f>IF(SR9!O20="","",SR9!O20)</f>
        <v/>
      </c>
      <c r="J17">
        <f>IF(D17="","",IF(F17="","",G17+ROW()/100000))</f>
        <v/>
      </c>
    </row>
    <row r="18">
      <c r="A18">
        <f>IF(SR9!D21="","","SR9")</f>
        <v/>
      </c>
      <c r="B18">
        <f>IF(SR9!C21="","",SR9!C21)</f>
        <v/>
      </c>
      <c r="C18">
        <f>IF(SR9!B21="","",SR9!B21)</f>
        <v/>
      </c>
      <c r="D18">
        <f>IF(SR9!D21="","",SR9!D21)</f>
        <v/>
      </c>
      <c r="E18">
        <f>IF(SR9!F21="","",SR9!F21)</f>
        <v/>
      </c>
      <c r="F18">
        <f>IF(SR9!I21="","",SR9!I21)</f>
        <v/>
      </c>
      <c r="G18">
        <f>IF(SR9!M21="","",SR9!M21)</f>
        <v/>
      </c>
      <c r="H18">
        <f>IF(SR9!N21="","",SR9!N21)</f>
        <v/>
      </c>
      <c r="I18">
        <f>IF(SR9!O21="","",SR9!O21)</f>
        <v/>
      </c>
      <c r="J18">
        <f>IF(D18="","",IF(F18="","",G18+ROW()/100000))</f>
        <v/>
      </c>
    </row>
    <row r="19">
      <c r="A19">
        <f>IF(SR9!D22="","","SR9")</f>
        <v/>
      </c>
      <c r="B19">
        <f>IF(SR9!C22="","",SR9!C22)</f>
        <v/>
      </c>
      <c r="C19">
        <f>IF(SR9!B22="","",SR9!B22)</f>
        <v/>
      </c>
      <c r="D19">
        <f>IF(SR9!D22="","",SR9!D22)</f>
        <v/>
      </c>
      <c r="E19">
        <f>IF(SR9!F22="","",SR9!F22)</f>
        <v/>
      </c>
      <c r="F19">
        <f>IF(SR9!I22="","",SR9!I22)</f>
        <v/>
      </c>
      <c r="G19">
        <f>IF(SR9!M22="","",SR9!M22)</f>
        <v/>
      </c>
      <c r="H19">
        <f>IF(SR9!N22="","",SR9!N22)</f>
        <v/>
      </c>
      <c r="I19">
        <f>IF(SR9!O22="","",SR9!O22)</f>
        <v/>
      </c>
      <c r="J19">
        <f>IF(D19="","",IF(F19="","",G19+ROW()/100000))</f>
        <v/>
      </c>
    </row>
    <row r="20">
      <c r="A20">
        <f>IF(SR9!D23="","","SR9")</f>
        <v/>
      </c>
      <c r="B20">
        <f>IF(SR9!C23="","",SR9!C23)</f>
        <v/>
      </c>
      <c r="C20">
        <f>IF(SR9!B23="","",SR9!B23)</f>
        <v/>
      </c>
      <c r="D20">
        <f>IF(SR9!D23="","",SR9!D23)</f>
        <v/>
      </c>
      <c r="E20">
        <f>IF(SR9!F23="","",SR9!F23)</f>
        <v/>
      </c>
      <c r="F20">
        <f>IF(SR9!I23="","",SR9!I23)</f>
        <v/>
      </c>
      <c r="G20">
        <f>IF(SR9!M23="","",SR9!M23)</f>
        <v/>
      </c>
      <c r="H20">
        <f>IF(SR9!N23="","",SR9!N23)</f>
        <v/>
      </c>
      <c r="I20">
        <f>IF(SR9!O23="","",SR9!O23)</f>
        <v/>
      </c>
      <c r="J20">
        <f>IF(D20="","",IF(F20="","",G20+ROW()/100000))</f>
        <v/>
      </c>
    </row>
    <row r="21">
      <c r="A21">
        <f>IF(SR9!D24="","","SR9")</f>
        <v/>
      </c>
      <c r="B21">
        <f>IF(SR9!C24="","",SR9!C24)</f>
        <v/>
      </c>
      <c r="C21">
        <f>IF(SR9!B24="","",SR9!B24)</f>
        <v/>
      </c>
      <c r="D21">
        <f>IF(SR9!D24="","",SR9!D24)</f>
        <v/>
      </c>
      <c r="E21">
        <f>IF(SR9!F24="","",SR9!F24)</f>
        <v/>
      </c>
      <c r="F21">
        <f>IF(SR9!I24="","",SR9!I24)</f>
        <v/>
      </c>
      <c r="G21">
        <f>IF(SR9!M24="","",SR9!M24)</f>
        <v/>
      </c>
      <c r="H21">
        <f>IF(SR9!N24="","",SR9!N24)</f>
        <v/>
      </c>
      <c r="I21">
        <f>IF(SR9!O24="","",SR9!O24)</f>
        <v/>
      </c>
      <c r="J21">
        <f>IF(D21="","",IF(F21="","",G21+ROW()/100000))</f>
        <v/>
      </c>
    </row>
    <row r="22">
      <c r="A22">
        <f>IF(SR9!D25="","","SR9")</f>
        <v/>
      </c>
      <c r="B22">
        <f>IF(SR9!C25="","",SR9!C25)</f>
        <v/>
      </c>
      <c r="C22">
        <f>IF(SR9!B25="","",SR9!B25)</f>
        <v/>
      </c>
      <c r="D22">
        <f>IF(SR9!D25="","",SR9!D25)</f>
        <v/>
      </c>
      <c r="E22">
        <f>IF(SR9!F25="","",SR9!F25)</f>
        <v/>
      </c>
      <c r="F22">
        <f>IF(SR9!I25="","",SR9!I25)</f>
        <v/>
      </c>
      <c r="G22">
        <f>IF(SR9!M25="","",SR9!M25)</f>
        <v/>
      </c>
      <c r="H22">
        <f>IF(SR9!N25="","",SR9!N25)</f>
        <v/>
      </c>
      <c r="I22">
        <f>IF(SR9!O25="","",SR9!O25)</f>
        <v/>
      </c>
      <c r="J22">
        <f>IF(D22="","",IF(F22="","",G22+ROW()/100000))</f>
        <v/>
      </c>
    </row>
    <row r="23">
      <c r="A23">
        <f>IF(SR9!D26="","","SR9")</f>
        <v/>
      </c>
      <c r="B23">
        <f>IF(SR9!C26="","",SR9!C26)</f>
        <v/>
      </c>
      <c r="C23">
        <f>IF(SR9!B26="","",SR9!B26)</f>
        <v/>
      </c>
      <c r="D23">
        <f>IF(SR9!D26="","",SR9!D26)</f>
        <v/>
      </c>
      <c r="E23">
        <f>IF(SR9!F26="","",SR9!F26)</f>
        <v/>
      </c>
      <c r="F23">
        <f>IF(SR9!I26="","",SR9!I26)</f>
        <v/>
      </c>
      <c r="G23">
        <f>IF(SR9!M26="","",SR9!M26)</f>
        <v/>
      </c>
      <c r="H23">
        <f>IF(SR9!N26="","",SR9!N26)</f>
        <v/>
      </c>
      <c r="I23">
        <f>IF(SR9!O26="","",SR9!O26)</f>
        <v/>
      </c>
      <c r="J23">
        <f>IF(D23="","",IF(F23="","",G23+ROW()/100000))</f>
        <v/>
      </c>
    </row>
    <row r="24">
      <c r="A24">
        <f>IF(SR9!D27="","","SR9")</f>
        <v/>
      </c>
      <c r="B24">
        <f>IF(SR9!C27="","",SR9!C27)</f>
        <v/>
      </c>
      <c r="C24">
        <f>IF(SR9!B27="","",SR9!B27)</f>
        <v/>
      </c>
      <c r="D24">
        <f>IF(SR9!D27="","",SR9!D27)</f>
        <v/>
      </c>
      <c r="E24">
        <f>IF(SR9!F27="","",SR9!F27)</f>
        <v/>
      </c>
      <c r="F24">
        <f>IF(SR9!I27="","",SR9!I27)</f>
        <v/>
      </c>
      <c r="G24">
        <f>IF(SR9!M27="","",SR9!M27)</f>
        <v/>
      </c>
      <c r="H24">
        <f>IF(SR9!N27="","",SR9!N27)</f>
        <v/>
      </c>
      <c r="I24">
        <f>IF(SR9!O27="","",SR9!O27)</f>
        <v/>
      </c>
      <c r="J24">
        <f>IF(D24="","",IF(F24="","",G24+ROW()/100000))</f>
        <v/>
      </c>
    </row>
    <row r="25">
      <c r="A25">
        <f>IF(SR9!D28="","","SR9")</f>
        <v/>
      </c>
      <c r="B25">
        <f>IF(SR9!C28="","",SR9!C28)</f>
        <v/>
      </c>
      <c r="C25">
        <f>IF(SR9!B28="","",SR9!B28)</f>
        <v/>
      </c>
      <c r="D25">
        <f>IF(SR9!D28="","",SR9!D28)</f>
        <v/>
      </c>
      <c r="E25">
        <f>IF(SR9!F28="","",SR9!F28)</f>
        <v/>
      </c>
      <c r="F25">
        <f>IF(SR9!I28="","",SR9!I28)</f>
        <v/>
      </c>
      <c r="G25">
        <f>IF(SR9!M28="","",SR9!M28)</f>
        <v/>
      </c>
      <c r="H25">
        <f>IF(SR9!N28="","",SR9!N28)</f>
        <v/>
      </c>
      <c r="I25">
        <f>IF(SR9!O28="","",SR9!O28)</f>
        <v/>
      </c>
      <c r="J25">
        <f>IF(D25="","",IF(F25="","",G25+ROW()/100000))</f>
        <v/>
      </c>
    </row>
    <row r="26">
      <c r="A26">
        <f>IF(SR9!D29="","","SR9")</f>
        <v/>
      </c>
      <c r="B26">
        <f>IF(SR9!C29="","",SR9!C29)</f>
        <v/>
      </c>
      <c r="C26">
        <f>IF(SR9!B29="","",SR9!B29)</f>
        <v/>
      </c>
      <c r="D26">
        <f>IF(SR9!D29="","",SR9!D29)</f>
        <v/>
      </c>
      <c r="E26">
        <f>IF(SR9!F29="","",SR9!F29)</f>
        <v/>
      </c>
      <c r="F26">
        <f>IF(SR9!I29="","",SR9!I29)</f>
        <v/>
      </c>
      <c r="G26">
        <f>IF(SR9!M29="","",SR9!M29)</f>
        <v/>
      </c>
      <c r="H26">
        <f>IF(SR9!N29="","",SR9!N29)</f>
        <v/>
      </c>
      <c r="I26">
        <f>IF(SR9!O29="","",SR9!O29)</f>
        <v/>
      </c>
      <c r="J26">
        <f>IF(D26="","",IF(F26="","",G26+ROW()/100000))</f>
        <v/>
      </c>
    </row>
    <row r="27">
      <c r="A27">
        <f>IF(SR9!D30="","","SR9")</f>
        <v/>
      </c>
      <c r="B27">
        <f>IF(SR9!C30="","",SR9!C30)</f>
        <v/>
      </c>
      <c r="C27">
        <f>IF(SR9!B30="","",SR9!B30)</f>
        <v/>
      </c>
      <c r="D27">
        <f>IF(SR9!D30="","",SR9!D30)</f>
        <v/>
      </c>
      <c r="E27">
        <f>IF(SR9!F30="","",SR9!F30)</f>
        <v/>
      </c>
      <c r="F27">
        <f>IF(SR9!I30="","",SR9!I30)</f>
        <v/>
      </c>
      <c r="G27">
        <f>IF(SR9!M30="","",SR9!M30)</f>
        <v/>
      </c>
      <c r="H27">
        <f>IF(SR9!N30="","",SR9!N30)</f>
        <v/>
      </c>
      <c r="I27">
        <f>IF(SR9!O30="","",SR9!O30)</f>
        <v/>
      </c>
      <c r="J27">
        <f>IF(D27="","",IF(F27="","",G27+ROW()/100000))</f>
        <v/>
      </c>
    </row>
    <row r="28">
      <c r="A28">
        <f>IF(SR9!D31="","","SR9")</f>
        <v/>
      </c>
      <c r="B28">
        <f>IF(SR9!C31="","",SR9!C31)</f>
        <v/>
      </c>
      <c r="C28">
        <f>IF(SR9!B31="","",SR9!B31)</f>
        <v/>
      </c>
      <c r="D28">
        <f>IF(SR9!D31="","",SR9!D31)</f>
        <v/>
      </c>
      <c r="E28">
        <f>IF(SR9!F31="","",SR9!F31)</f>
        <v/>
      </c>
      <c r="F28">
        <f>IF(SR9!I31="","",SR9!I31)</f>
        <v/>
      </c>
      <c r="G28">
        <f>IF(SR9!M31="","",SR9!M31)</f>
        <v/>
      </c>
      <c r="H28">
        <f>IF(SR9!N31="","",SR9!N31)</f>
        <v/>
      </c>
      <c r="I28">
        <f>IF(SR9!O31="","",SR9!O31)</f>
        <v/>
      </c>
      <c r="J28">
        <f>IF(D28="","",IF(F28="","",G28+ROW()/100000))</f>
        <v/>
      </c>
    </row>
    <row r="29">
      <c r="A29">
        <f>IF(SR9!D32="","","SR9")</f>
        <v/>
      </c>
      <c r="B29">
        <f>IF(SR9!C32="","",SR9!C32)</f>
        <v/>
      </c>
      <c r="C29">
        <f>IF(SR9!B32="","",SR9!B32)</f>
        <v/>
      </c>
      <c r="D29">
        <f>IF(SR9!D32="","",SR9!D32)</f>
        <v/>
      </c>
      <c r="E29">
        <f>IF(SR9!F32="","",SR9!F32)</f>
        <v/>
      </c>
      <c r="F29">
        <f>IF(SR9!I32="","",SR9!I32)</f>
        <v/>
      </c>
      <c r="G29">
        <f>IF(SR9!M32="","",SR9!M32)</f>
        <v/>
      </c>
      <c r="H29">
        <f>IF(SR9!N32="","",SR9!N32)</f>
        <v/>
      </c>
      <c r="I29">
        <f>IF(SR9!O32="","",SR9!O32)</f>
        <v/>
      </c>
      <c r="J29">
        <f>IF(D29="","",IF(F29="","",G29+ROW()/100000))</f>
        <v/>
      </c>
    </row>
    <row r="30">
      <c r="A30">
        <f>IF(SR9!D33="","","SR9")</f>
        <v/>
      </c>
      <c r="B30">
        <f>IF(SR9!C33="","",SR9!C33)</f>
        <v/>
      </c>
      <c r="C30">
        <f>IF(SR9!B33="","",SR9!B33)</f>
        <v/>
      </c>
      <c r="D30">
        <f>IF(SR9!D33="","",SR9!D33)</f>
        <v/>
      </c>
      <c r="E30">
        <f>IF(SR9!F33="","",SR9!F33)</f>
        <v/>
      </c>
      <c r="F30">
        <f>IF(SR9!I33="","",SR9!I33)</f>
        <v/>
      </c>
      <c r="G30">
        <f>IF(SR9!M33="","",SR9!M33)</f>
        <v/>
      </c>
      <c r="H30">
        <f>IF(SR9!N33="","",SR9!N33)</f>
        <v/>
      </c>
      <c r="I30">
        <f>IF(SR9!O33="","",SR9!O33)</f>
        <v/>
      </c>
      <c r="J30">
        <f>IF(D30="","",IF(F30="","",G30+ROW()/100000))</f>
        <v/>
      </c>
    </row>
    <row r="31">
      <c r="A31">
        <f>IF(SR9!D34="","","SR9")</f>
        <v/>
      </c>
      <c r="B31">
        <f>IF(SR9!C34="","",SR9!C34)</f>
        <v/>
      </c>
      <c r="C31">
        <f>IF(SR9!B34="","",SR9!B34)</f>
        <v/>
      </c>
      <c r="D31">
        <f>IF(SR9!D34="","",SR9!D34)</f>
        <v/>
      </c>
      <c r="E31">
        <f>IF(SR9!F34="","",SR9!F34)</f>
        <v/>
      </c>
      <c r="F31">
        <f>IF(SR9!I34="","",SR9!I34)</f>
        <v/>
      </c>
      <c r="G31">
        <f>IF(SR9!M34="","",SR9!M34)</f>
        <v/>
      </c>
      <c r="H31">
        <f>IF(SR9!N34="","",SR9!N34)</f>
        <v/>
      </c>
      <c r="I31">
        <f>IF(SR9!O34="","",SR9!O34)</f>
        <v/>
      </c>
      <c r="J31">
        <f>IF(D31="","",IF(F31="","",G31+ROW()/100000))</f>
        <v/>
      </c>
    </row>
    <row r="32">
      <c r="A32">
        <f>IF(SR9!D35="","","SR9")</f>
        <v/>
      </c>
      <c r="B32">
        <f>IF(SR9!C35="","",SR9!C35)</f>
        <v/>
      </c>
      <c r="C32">
        <f>IF(SR9!B35="","",SR9!B35)</f>
        <v/>
      </c>
      <c r="D32">
        <f>IF(SR9!D35="","",SR9!D35)</f>
        <v/>
      </c>
      <c r="E32">
        <f>IF(SR9!F35="","",SR9!F35)</f>
        <v/>
      </c>
      <c r="F32">
        <f>IF(SR9!I35="","",SR9!I35)</f>
        <v/>
      </c>
      <c r="G32">
        <f>IF(SR9!M35="","",SR9!M35)</f>
        <v/>
      </c>
      <c r="H32">
        <f>IF(SR9!N35="","",SR9!N35)</f>
        <v/>
      </c>
      <c r="I32">
        <f>IF(SR9!O35="","",SR9!O35)</f>
        <v/>
      </c>
      <c r="J32">
        <f>IF(D32="","",IF(F32="","",G32+ROW()/100000))</f>
        <v/>
      </c>
    </row>
    <row r="33">
      <c r="A33">
        <f>IF(SR9!D36="","","SR9")</f>
        <v/>
      </c>
      <c r="B33">
        <f>IF(SR9!C36="","",SR9!C36)</f>
        <v/>
      </c>
      <c r="C33">
        <f>IF(SR9!B36="","",SR9!B36)</f>
        <v/>
      </c>
      <c r="D33">
        <f>IF(SR9!D36="","",SR9!D36)</f>
        <v/>
      </c>
      <c r="E33">
        <f>IF(SR9!F36="","",SR9!F36)</f>
        <v/>
      </c>
      <c r="F33">
        <f>IF(SR9!I36="","",SR9!I36)</f>
        <v/>
      </c>
      <c r="G33">
        <f>IF(SR9!M36="","",SR9!M36)</f>
        <v/>
      </c>
      <c r="H33">
        <f>IF(SR9!N36="","",SR9!N36)</f>
        <v/>
      </c>
      <c r="I33">
        <f>IF(SR9!O36="","",SR9!O36)</f>
        <v/>
      </c>
      <c r="J33">
        <f>IF(D33="","",IF(F33="","",G33+ROW()/100000))</f>
        <v/>
      </c>
    </row>
    <row r="34">
      <c r="A34">
        <f>IF(SR9!D37="","","SR9")</f>
        <v/>
      </c>
      <c r="B34">
        <f>IF(SR9!C37="","",SR9!C37)</f>
        <v/>
      </c>
      <c r="C34">
        <f>IF(SR9!B37="","",SR9!B37)</f>
        <v/>
      </c>
      <c r="D34">
        <f>IF(SR9!D37="","",SR9!D37)</f>
        <v/>
      </c>
      <c r="E34">
        <f>IF(SR9!F37="","",SR9!F37)</f>
        <v/>
      </c>
      <c r="F34">
        <f>IF(SR9!I37="","",SR9!I37)</f>
        <v/>
      </c>
      <c r="G34">
        <f>IF(SR9!M37="","",SR9!M37)</f>
        <v/>
      </c>
      <c r="H34">
        <f>IF(SR9!N37="","",SR9!N37)</f>
        <v/>
      </c>
      <c r="I34">
        <f>IF(SR9!O37="","",SR9!O37)</f>
        <v/>
      </c>
      <c r="J34">
        <f>IF(D34="","",IF(F34="","",G34+ROW()/100000))</f>
        <v/>
      </c>
    </row>
    <row r="35">
      <c r="A35">
        <f>IF(SR9!D38="","","SR9")</f>
        <v/>
      </c>
      <c r="B35">
        <f>IF(SR9!C38="","",SR9!C38)</f>
        <v/>
      </c>
      <c r="C35">
        <f>IF(SR9!B38="","",SR9!B38)</f>
        <v/>
      </c>
      <c r="D35">
        <f>IF(SR9!D38="","",SR9!D38)</f>
        <v/>
      </c>
      <c r="E35">
        <f>IF(SR9!F38="","",SR9!F38)</f>
        <v/>
      </c>
      <c r="F35">
        <f>IF(SR9!I38="","",SR9!I38)</f>
        <v/>
      </c>
      <c r="G35">
        <f>IF(SR9!M38="","",SR9!M38)</f>
        <v/>
      </c>
      <c r="H35">
        <f>IF(SR9!N38="","",SR9!N38)</f>
        <v/>
      </c>
      <c r="I35">
        <f>IF(SR9!O38="","",SR9!O38)</f>
        <v/>
      </c>
      <c r="J35">
        <f>IF(D35="","",IF(F35="","",G35+ROW()/100000))</f>
        <v/>
      </c>
    </row>
    <row r="36">
      <c r="A36">
        <f>IF(SR9!D39="","","SR9")</f>
        <v/>
      </c>
      <c r="B36">
        <f>IF(SR9!C39="","",SR9!C39)</f>
        <v/>
      </c>
      <c r="C36">
        <f>IF(SR9!B39="","",SR9!B39)</f>
        <v/>
      </c>
      <c r="D36">
        <f>IF(SR9!D39="","",SR9!D39)</f>
        <v/>
      </c>
      <c r="E36">
        <f>IF(SR9!F39="","",SR9!F39)</f>
        <v/>
      </c>
      <c r="F36">
        <f>IF(SR9!I39="","",SR9!I39)</f>
        <v/>
      </c>
      <c r="G36">
        <f>IF(SR9!M39="","",SR9!M39)</f>
        <v/>
      </c>
      <c r="H36">
        <f>IF(SR9!N39="","",SR9!N39)</f>
        <v/>
      </c>
      <c r="I36">
        <f>IF(SR9!O39="","",SR9!O39)</f>
        <v/>
      </c>
      <c r="J36">
        <f>IF(D36="","",IF(F36="","",G36+ROW()/100000))</f>
        <v/>
      </c>
    </row>
    <row r="37">
      <c r="A37">
        <f>IF(SR9!D40="","","SR9")</f>
        <v/>
      </c>
      <c r="B37">
        <f>IF(SR9!C40="","",SR9!C40)</f>
        <v/>
      </c>
      <c r="C37">
        <f>IF(SR9!B40="","",SR9!B40)</f>
        <v/>
      </c>
      <c r="D37">
        <f>IF(SR9!D40="","",SR9!D40)</f>
        <v/>
      </c>
      <c r="E37">
        <f>IF(SR9!F40="","",SR9!F40)</f>
        <v/>
      </c>
      <c r="F37">
        <f>IF(SR9!I40="","",SR9!I40)</f>
        <v/>
      </c>
      <c r="G37">
        <f>IF(SR9!M40="","",SR9!M40)</f>
        <v/>
      </c>
      <c r="H37">
        <f>IF(SR9!N40="","",SR9!N40)</f>
        <v/>
      </c>
      <c r="I37">
        <f>IF(SR9!O40="","",SR9!O40)</f>
        <v/>
      </c>
      <c r="J37">
        <f>IF(D37="","",IF(F37="","",G37+ROW()/100000))</f>
        <v/>
      </c>
    </row>
    <row r="38">
      <c r="A38">
        <f>IF(SR9!D41="","","SR9")</f>
        <v/>
      </c>
      <c r="B38">
        <f>IF(SR9!C41="","",SR9!C41)</f>
        <v/>
      </c>
      <c r="C38">
        <f>IF(SR9!B41="","",SR9!B41)</f>
        <v/>
      </c>
      <c r="D38">
        <f>IF(SR9!D41="","",SR9!D41)</f>
        <v/>
      </c>
      <c r="E38">
        <f>IF(SR9!F41="","",SR9!F41)</f>
        <v/>
      </c>
      <c r="F38">
        <f>IF(SR9!I41="","",SR9!I41)</f>
        <v/>
      </c>
      <c r="G38">
        <f>IF(SR9!M41="","",SR9!M41)</f>
        <v/>
      </c>
      <c r="H38">
        <f>IF(SR9!N41="","",SR9!N41)</f>
        <v/>
      </c>
      <c r="I38">
        <f>IF(SR9!O41="","",SR9!O41)</f>
        <v/>
      </c>
      <c r="J38">
        <f>IF(D38="","",IF(F38="","",G38+ROW()/100000))</f>
        <v/>
      </c>
    </row>
    <row r="39">
      <c r="A39">
        <f>IF(SR9!D42="","","SR9")</f>
        <v/>
      </c>
      <c r="B39">
        <f>IF(SR9!C42="","",SR9!C42)</f>
        <v/>
      </c>
      <c r="C39">
        <f>IF(SR9!B42="","",SR9!B42)</f>
        <v/>
      </c>
      <c r="D39">
        <f>IF(SR9!D42="","",SR9!D42)</f>
        <v/>
      </c>
      <c r="E39">
        <f>IF(SR9!F42="","",SR9!F42)</f>
        <v/>
      </c>
      <c r="F39">
        <f>IF(SR9!I42="","",SR9!I42)</f>
        <v/>
      </c>
      <c r="G39">
        <f>IF(SR9!M42="","",SR9!M42)</f>
        <v/>
      </c>
      <c r="H39">
        <f>IF(SR9!N42="","",SR9!N42)</f>
        <v/>
      </c>
      <c r="I39">
        <f>IF(SR9!O42="","",SR9!O42)</f>
        <v/>
      </c>
      <c r="J39">
        <f>IF(D39="","",IF(F39="","",G39+ROW()/100000))</f>
        <v/>
      </c>
    </row>
    <row r="40">
      <c r="A40">
        <f>IF(SR9!D43="","","SR9")</f>
        <v/>
      </c>
      <c r="B40">
        <f>IF(SR9!C43="","",SR9!C43)</f>
        <v/>
      </c>
      <c r="C40">
        <f>IF(SR9!B43="","",SR9!B43)</f>
        <v/>
      </c>
      <c r="D40">
        <f>IF(SR9!D43="","",SR9!D43)</f>
        <v/>
      </c>
      <c r="E40">
        <f>IF(SR9!F43="","",SR9!F43)</f>
        <v/>
      </c>
      <c r="F40">
        <f>IF(SR9!I43="","",SR9!I43)</f>
        <v/>
      </c>
      <c r="G40">
        <f>IF(SR9!M43="","",SR9!M43)</f>
        <v/>
      </c>
      <c r="H40">
        <f>IF(SR9!N43="","",SR9!N43)</f>
        <v/>
      </c>
      <c r="I40">
        <f>IF(SR9!O43="","",SR9!O43)</f>
        <v/>
      </c>
      <c r="J40">
        <f>IF(D40="","",IF(F40="","",G40+ROW()/100000))</f>
        <v/>
      </c>
    </row>
    <row r="41">
      <c r="A41">
        <f>IF(SR9!D44="","","SR9")</f>
        <v/>
      </c>
      <c r="B41">
        <f>IF(SR9!C44="","",SR9!C44)</f>
        <v/>
      </c>
      <c r="C41">
        <f>IF(SR9!B44="","",SR9!B44)</f>
        <v/>
      </c>
      <c r="D41">
        <f>IF(SR9!D44="","",SR9!D44)</f>
        <v/>
      </c>
      <c r="E41">
        <f>IF(SR9!F44="","",SR9!F44)</f>
        <v/>
      </c>
      <c r="F41">
        <f>IF(SR9!I44="","",SR9!I44)</f>
        <v/>
      </c>
      <c r="G41">
        <f>IF(SR9!M44="","",SR9!M44)</f>
        <v/>
      </c>
      <c r="H41">
        <f>IF(SR9!N44="","",SR9!N44)</f>
        <v/>
      </c>
      <c r="I41">
        <f>IF(SR9!O44="","",SR9!O44)</f>
        <v/>
      </c>
      <c r="J41">
        <f>IF(D41="","",IF(F41="","",G41+ROW()/100000))</f>
        <v/>
      </c>
    </row>
    <row r="42">
      <c r="A42">
        <f>IF(SR9!D45="","","SR9")</f>
        <v/>
      </c>
      <c r="B42">
        <f>IF(SR9!C45="","",SR9!C45)</f>
        <v/>
      </c>
      <c r="C42">
        <f>IF(SR9!B45="","",SR9!B45)</f>
        <v/>
      </c>
      <c r="D42">
        <f>IF(SR9!D45="","",SR9!D45)</f>
        <v/>
      </c>
      <c r="E42">
        <f>IF(SR9!F45="","",SR9!F45)</f>
        <v/>
      </c>
      <c r="F42">
        <f>IF(SR9!I45="","",SR9!I45)</f>
        <v/>
      </c>
      <c r="G42">
        <f>IF(SR9!M45="","",SR9!M45)</f>
        <v/>
      </c>
      <c r="H42">
        <f>IF(SR9!N45="","",SR9!N45)</f>
        <v/>
      </c>
      <c r="I42">
        <f>IF(SR9!O45="","",SR9!O45)</f>
        <v/>
      </c>
      <c r="J42">
        <f>IF(D42="","",IF(F42="","",G42+ROW()/100000))</f>
        <v/>
      </c>
    </row>
    <row r="43">
      <c r="A43">
        <f>IF(SR9!D46="","","SR9")</f>
        <v/>
      </c>
      <c r="B43">
        <f>IF(SR9!C46="","",SR9!C46)</f>
        <v/>
      </c>
      <c r="C43">
        <f>IF(SR9!B46="","",SR9!B46)</f>
        <v/>
      </c>
      <c r="D43">
        <f>IF(SR9!D46="","",SR9!D46)</f>
        <v/>
      </c>
      <c r="E43">
        <f>IF(SR9!F46="","",SR9!F46)</f>
        <v/>
      </c>
      <c r="F43">
        <f>IF(SR9!I46="","",SR9!I46)</f>
        <v/>
      </c>
      <c r="G43">
        <f>IF(SR9!M46="","",SR9!M46)</f>
        <v/>
      </c>
      <c r="H43">
        <f>IF(SR9!N46="","",SR9!N46)</f>
        <v/>
      </c>
      <c r="I43">
        <f>IF(SR9!O46="","",SR9!O46)</f>
        <v/>
      </c>
      <c r="J43">
        <f>IF(D43="","",IF(F43="","",G43+ROW()/100000))</f>
        <v/>
      </c>
    </row>
    <row r="44">
      <c r="A44">
        <f>IF(SR9!D47="","","SR9")</f>
        <v/>
      </c>
      <c r="B44">
        <f>IF(SR9!C47="","",SR9!C47)</f>
        <v/>
      </c>
      <c r="C44">
        <f>IF(SR9!B47="","",SR9!B47)</f>
        <v/>
      </c>
      <c r="D44">
        <f>IF(SR9!D47="","",SR9!D47)</f>
        <v/>
      </c>
      <c r="E44">
        <f>IF(SR9!F47="","",SR9!F47)</f>
        <v/>
      </c>
      <c r="F44">
        <f>IF(SR9!I47="","",SR9!I47)</f>
        <v/>
      </c>
      <c r="G44">
        <f>IF(SR9!M47="","",SR9!M47)</f>
        <v/>
      </c>
      <c r="H44">
        <f>IF(SR9!N47="","",SR9!N47)</f>
        <v/>
      </c>
      <c r="I44">
        <f>IF(SR9!O47="","",SR9!O47)</f>
        <v/>
      </c>
      <c r="J44">
        <f>IF(D44="","",IF(F44="","",G44+ROW()/100000))</f>
        <v/>
      </c>
    </row>
    <row r="45">
      <c r="A45">
        <f>IF(SR9!D48="","","SR9")</f>
        <v/>
      </c>
      <c r="B45">
        <f>IF(SR9!C48="","",SR9!C48)</f>
        <v/>
      </c>
      <c r="C45">
        <f>IF(SR9!B48="","",SR9!B48)</f>
        <v/>
      </c>
      <c r="D45">
        <f>IF(SR9!D48="","",SR9!D48)</f>
        <v/>
      </c>
      <c r="E45">
        <f>IF(SR9!F48="","",SR9!F48)</f>
        <v/>
      </c>
      <c r="F45">
        <f>IF(SR9!I48="","",SR9!I48)</f>
        <v/>
      </c>
      <c r="G45">
        <f>IF(SR9!M48="","",SR9!M48)</f>
        <v/>
      </c>
      <c r="H45">
        <f>IF(SR9!N48="","",SR9!N48)</f>
        <v/>
      </c>
      <c r="I45">
        <f>IF(SR9!O48="","",SR9!O48)</f>
        <v/>
      </c>
      <c r="J45">
        <f>IF(D45="","",IF(F45="","",G45+ROW()/100000))</f>
        <v/>
      </c>
    </row>
    <row r="46">
      <c r="A46">
        <f>IF(SR9!D49="","","SR9")</f>
        <v/>
      </c>
      <c r="B46">
        <f>IF(SR9!C49="","",SR9!C49)</f>
        <v/>
      </c>
      <c r="C46">
        <f>IF(SR9!B49="","",SR9!B49)</f>
        <v/>
      </c>
      <c r="D46">
        <f>IF(SR9!D49="","",SR9!D49)</f>
        <v/>
      </c>
      <c r="E46">
        <f>IF(SR9!F49="","",SR9!F49)</f>
        <v/>
      </c>
      <c r="F46">
        <f>IF(SR9!I49="","",SR9!I49)</f>
        <v/>
      </c>
      <c r="G46">
        <f>IF(SR9!M49="","",SR9!M49)</f>
        <v/>
      </c>
      <c r="H46">
        <f>IF(SR9!N49="","",SR9!N49)</f>
        <v/>
      </c>
      <c r="I46">
        <f>IF(SR9!O49="","",SR9!O49)</f>
        <v/>
      </c>
      <c r="J46">
        <f>IF(D46="","",IF(F46="","",G46+ROW()/100000))</f>
        <v/>
      </c>
    </row>
    <row r="47">
      <c r="A47">
        <f>IF(SR9!D50="","","SR9")</f>
        <v/>
      </c>
      <c r="B47">
        <f>IF(SR9!C50="","",SR9!C50)</f>
        <v/>
      </c>
      <c r="C47">
        <f>IF(SR9!B50="","",SR9!B50)</f>
        <v/>
      </c>
      <c r="D47">
        <f>IF(SR9!D50="","",SR9!D50)</f>
        <v/>
      </c>
      <c r="E47">
        <f>IF(SR9!F50="","",SR9!F50)</f>
        <v/>
      </c>
      <c r="F47">
        <f>IF(SR9!I50="","",SR9!I50)</f>
        <v/>
      </c>
      <c r="G47">
        <f>IF(SR9!M50="","",SR9!M50)</f>
        <v/>
      </c>
      <c r="H47">
        <f>IF(SR9!N50="","",SR9!N50)</f>
        <v/>
      </c>
      <c r="I47">
        <f>IF(SR9!O50="","",SR9!O50)</f>
        <v/>
      </c>
      <c r="J47">
        <f>IF(D47="","",IF(F47="","",G47+ROW()/100000))</f>
        <v/>
      </c>
    </row>
    <row r="48">
      <c r="A48">
        <f>IF(SR9!D51="","","SR9")</f>
        <v/>
      </c>
      <c r="B48">
        <f>IF(SR9!C51="","",SR9!C51)</f>
        <v/>
      </c>
      <c r="C48">
        <f>IF(SR9!B51="","",SR9!B51)</f>
        <v/>
      </c>
      <c r="D48">
        <f>IF(SR9!D51="","",SR9!D51)</f>
        <v/>
      </c>
      <c r="E48">
        <f>IF(SR9!F51="","",SR9!F51)</f>
        <v/>
      </c>
      <c r="F48">
        <f>IF(SR9!I51="","",SR9!I51)</f>
        <v/>
      </c>
      <c r="G48">
        <f>IF(SR9!M51="","",SR9!M51)</f>
        <v/>
      </c>
      <c r="H48">
        <f>IF(SR9!N51="","",SR9!N51)</f>
        <v/>
      </c>
      <c r="I48">
        <f>IF(SR9!O51="","",SR9!O51)</f>
        <v/>
      </c>
      <c r="J48">
        <f>IF(D48="","",IF(F48="","",G48+ROW()/100000))</f>
        <v/>
      </c>
    </row>
    <row r="49">
      <c r="A49">
        <f>IF(SR9!D52="","","SR9")</f>
        <v/>
      </c>
      <c r="B49">
        <f>IF(SR9!C52="","",SR9!C52)</f>
        <v/>
      </c>
      <c r="C49">
        <f>IF(SR9!B52="","",SR9!B52)</f>
        <v/>
      </c>
      <c r="D49">
        <f>IF(SR9!D52="","",SR9!D52)</f>
        <v/>
      </c>
      <c r="E49">
        <f>IF(SR9!F52="","",SR9!F52)</f>
        <v/>
      </c>
      <c r="F49">
        <f>IF(SR9!I52="","",SR9!I52)</f>
        <v/>
      </c>
      <c r="G49">
        <f>IF(SR9!M52="","",SR9!M52)</f>
        <v/>
      </c>
      <c r="H49">
        <f>IF(SR9!N52="","",SR9!N52)</f>
        <v/>
      </c>
      <c r="I49">
        <f>IF(SR9!O52="","",SR9!O52)</f>
        <v/>
      </c>
      <c r="J49">
        <f>IF(D49="","",IF(F49="","",G49+ROW()/100000))</f>
        <v/>
      </c>
    </row>
    <row r="50">
      <c r="A50">
        <f>IF(SR9!D53="","","SR9")</f>
        <v/>
      </c>
      <c r="B50">
        <f>IF(SR9!C53="","",SR9!C53)</f>
        <v/>
      </c>
      <c r="C50">
        <f>IF(SR9!B53="","",SR9!B53)</f>
        <v/>
      </c>
      <c r="D50">
        <f>IF(SR9!D53="","",SR9!D53)</f>
        <v/>
      </c>
      <c r="E50">
        <f>IF(SR9!F53="","",SR9!F53)</f>
        <v/>
      </c>
      <c r="F50">
        <f>IF(SR9!I53="","",SR9!I53)</f>
        <v/>
      </c>
      <c r="G50">
        <f>IF(SR9!M53="","",SR9!M53)</f>
        <v/>
      </c>
      <c r="H50">
        <f>IF(SR9!N53="","",SR9!N53)</f>
        <v/>
      </c>
      <c r="I50">
        <f>IF(SR9!O53="","",SR9!O53)</f>
        <v/>
      </c>
      <c r="J50">
        <f>IF(D50="","",IF(F50="","",G50+ROW()/100000))</f>
        <v/>
      </c>
    </row>
    <row r="51">
      <c r="A51">
        <f>IF(SR9!D54="","","SR9")</f>
        <v/>
      </c>
      <c r="B51">
        <f>IF(SR9!C54="","",SR9!C54)</f>
        <v/>
      </c>
      <c r="C51">
        <f>IF(SR9!B54="","",SR9!B54)</f>
        <v/>
      </c>
      <c r="D51">
        <f>IF(SR9!D54="","",SR9!D54)</f>
        <v/>
      </c>
      <c r="E51">
        <f>IF(SR9!F54="","",SR9!F54)</f>
        <v/>
      </c>
      <c r="F51">
        <f>IF(SR9!I54="","",SR9!I54)</f>
        <v/>
      </c>
      <c r="G51">
        <f>IF(SR9!M54="","",SR9!M54)</f>
        <v/>
      </c>
      <c r="H51">
        <f>IF(SR9!N54="","",SR9!N54)</f>
        <v/>
      </c>
      <c r="I51">
        <f>IF(SR9!O54="","",SR9!O54)</f>
        <v/>
      </c>
      <c r="J51">
        <f>IF(D51="","",IF(F51="","",G51+ROW()/100000))</f>
        <v/>
      </c>
    </row>
    <row r="52">
      <c r="A52">
        <f>IF(SR9!D55="","","SR9")</f>
        <v/>
      </c>
      <c r="B52">
        <f>IF(SR9!C55="","",SR9!C55)</f>
        <v/>
      </c>
      <c r="C52">
        <f>IF(SR9!B55="","",SR9!B55)</f>
        <v/>
      </c>
      <c r="D52">
        <f>IF(SR9!D55="","",SR9!D55)</f>
        <v/>
      </c>
      <c r="E52">
        <f>IF(SR9!F55="","",SR9!F55)</f>
        <v/>
      </c>
      <c r="F52">
        <f>IF(SR9!I55="","",SR9!I55)</f>
        <v/>
      </c>
      <c r="G52">
        <f>IF(SR9!M55="","",SR9!M55)</f>
        <v/>
      </c>
      <c r="H52">
        <f>IF(SR9!N55="","",SR9!N55)</f>
        <v/>
      </c>
      <c r="I52">
        <f>IF(SR9!O55="","",SR9!O55)</f>
        <v/>
      </c>
      <c r="J52">
        <f>IF(D52="","",IF(F52="","",G52+ROW()/100000))</f>
        <v/>
      </c>
    </row>
    <row r="53">
      <c r="A53">
        <f>IF(SR9!D56="","","SR9")</f>
        <v/>
      </c>
      <c r="B53">
        <f>IF(SR9!C56="","",SR9!C56)</f>
        <v/>
      </c>
      <c r="C53">
        <f>IF(SR9!B56="","",SR9!B56)</f>
        <v/>
      </c>
      <c r="D53">
        <f>IF(SR9!D56="","",SR9!D56)</f>
        <v/>
      </c>
      <c r="E53">
        <f>IF(SR9!F56="","",SR9!F56)</f>
        <v/>
      </c>
      <c r="F53">
        <f>IF(SR9!I56="","",SR9!I56)</f>
        <v/>
      </c>
      <c r="G53">
        <f>IF(SR9!M56="","",SR9!M56)</f>
        <v/>
      </c>
      <c r="H53">
        <f>IF(SR9!N56="","",SR9!N56)</f>
        <v/>
      </c>
      <c r="I53">
        <f>IF(SR9!O56="","",SR9!O56)</f>
        <v/>
      </c>
      <c r="J53">
        <f>IF(D53="","",IF(F53="","",G53+ROW()/100000))</f>
        <v/>
      </c>
    </row>
    <row r="54">
      <c r="A54">
        <f>IF(SR9!D57="","","SR9")</f>
        <v/>
      </c>
      <c r="B54">
        <f>IF(SR9!C57="","",SR9!C57)</f>
        <v/>
      </c>
      <c r="C54">
        <f>IF(SR9!B57="","",SR9!B57)</f>
        <v/>
      </c>
      <c r="D54">
        <f>IF(SR9!D57="","",SR9!D57)</f>
        <v/>
      </c>
      <c r="E54">
        <f>IF(SR9!F57="","",SR9!F57)</f>
        <v/>
      </c>
      <c r="F54">
        <f>IF(SR9!I57="","",SR9!I57)</f>
        <v/>
      </c>
      <c r="G54">
        <f>IF(SR9!M57="","",SR9!M57)</f>
        <v/>
      </c>
      <c r="H54">
        <f>IF(SR9!N57="","",SR9!N57)</f>
        <v/>
      </c>
      <c r="I54">
        <f>IF(SR9!O57="","",SR9!O57)</f>
        <v/>
      </c>
      <c r="J54">
        <f>IF(D54="","",IF(F54="","",G54+ROW()/100000))</f>
        <v/>
      </c>
    </row>
    <row r="55">
      <c r="A55">
        <f>IF(SR9!D58="","","SR9")</f>
        <v/>
      </c>
      <c r="B55">
        <f>IF(SR9!C58="","",SR9!C58)</f>
        <v/>
      </c>
      <c r="C55">
        <f>IF(SR9!B58="","",SR9!B58)</f>
        <v/>
      </c>
      <c r="D55">
        <f>IF(SR9!D58="","",SR9!D58)</f>
        <v/>
      </c>
      <c r="E55">
        <f>IF(SR9!F58="","",SR9!F58)</f>
        <v/>
      </c>
      <c r="F55">
        <f>IF(SR9!I58="","",SR9!I58)</f>
        <v/>
      </c>
      <c r="G55">
        <f>IF(SR9!M58="","",SR9!M58)</f>
        <v/>
      </c>
      <c r="H55">
        <f>IF(SR9!N58="","",SR9!N58)</f>
        <v/>
      </c>
      <c r="I55">
        <f>IF(SR9!O58="","",SR9!O58)</f>
        <v/>
      </c>
      <c r="J55">
        <f>IF(D55="","",IF(F55="","",G55+ROW()/100000))</f>
        <v/>
      </c>
    </row>
    <row r="56">
      <c r="A56">
        <f>IF(SR9!D59="","","SR9")</f>
        <v/>
      </c>
      <c r="B56">
        <f>IF(SR9!C59="","",SR9!C59)</f>
        <v/>
      </c>
      <c r="C56">
        <f>IF(SR9!B59="","",SR9!B59)</f>
        <v/>
      </c>
      <c r="D56">
        <f>IF(SR9!D59="","",SR9!D59)</f>
        <v/>
      </c>
      <c r="E56">
        <f>IF(SR9!F59="","",SR9!F59)</f>
        <v/>
      </c>
      <c r="F56">
        <f>IF(SR9!I59="","",SR9!I59)</f>
        <v/>
      </c>
      <c r="G56">
        <f>IF(SR9!M59="","",SR9!M59)</f>
        <v/>
      </c>
      <c r="H56">
        <f>IF(SR9!N59="","",SR9!N59)</f>
        <v/>
      </c>
      <c r="I56">
        <f>IF(SR9!O59="","",SR9!O59)</f>
        <v/>
      </c>
      <c r="J56">
        <f>IF(D56="","",IF(F56="","",G56+ROW()/100000))</f>
        <v/>
      </c>
    </row>
    <row r="57">
      <c r="A57">
        <f>IF(SR9!D60="","","SR9")</f>
        <v/>
      </c>
      <c r="B57">
        <f>IF(SR9!C60="","",SR9!C60)</f>
        <v/>
      </c>
      <c r="C57">
        <f>IF(SR9!B60="","",SR9!B60)</f>
        <v/>
      </c>
      <c r="D57">
        <f>IF(SR9!D60="","",SR9!D60)</f>
        <v/>
      </c>
      <c r="E57">
        <f>IF(SR9!F60="","",SR9!F60)</f>
        <v/>
      </c>
      <c r="F57">
        <f>IF(SR9!I60="","",SR9!I60)</f>
        <v/>
      </c>
      <c r="G57">
        <f>IF(SR9!M60="","",SR9!M60)</f>
        <v/>
      </c>
      <c r="H57">
        <f>IF(SR9!N60="","",SR9!N60)</f>
        <v/>
      </c>
      <c r="I57">
        <f>IF(SR9!O60="","",SR9!O60)</f>
        <v/>
      </c>
      <c r="J57">
        <f>IF(D57="","",IF(F57="","",G57+ROW()/100000))</f>
        <v/>
      </c>
    </row>
    <row r="58">
      <c r="A58">
        <f>IF(SR9!D61="","","SR9")</f>
        <v/>
      </c>
      <c r="B58">
        <f>IF(SR9!C61="","",SR9!C61)</f>
        <v/>
      </c>
      <c r="C58">
        <f>IF(SR9!B61="","",SR9!B61)</f>
        <v/>
      </c>
      <c r="D58">
        <f>IF(SR9!D61="","",SR9!D61)</f>
        <v/>
      </c>
      <c r="E58">
        <f>IF(SR9!F61="","",SR9!F61)</f>
        <v/>
      </c>
      <c r="F58">
        <f>IF(SR9!I61="","",SR9!I61)</f>
        <v/>
      </c>
      <c r="G58">
        <f>IF(SR9!M61="","",SR9!M61)</f>
        <v/>
      </c>
      <c r="H58">
        <f>IF(SR9!N61="","",SR9!N61)</f>
        <v/>
      </c>
      <c r="I58">
        <f>IF(SR9!O61="","",SR9!O61)</f>
        <v/>
      </c>
      <c r="J58">
        <f>IF(D58="","",IF(F58="","",G58+ROW()/100000))</f>
        <v/>
      </c>
    </row>
    <row r="59">
      <c r="A59">
        <f>IF(SR9!D62="","","SR9")</f>
        <v/>
      </c>
      <c r="B59">
        <f>IF(SR9!C62="","",SR9!C62)</f>
        <v/>
      </c>
      <c r="C59">
        <f>IF(SR9!B62="","",SR9!B62)</f>
        <v/>
      </c>
      <c r="D59">
        <f>IF(SR9!D62="","",SR9!D62)</f>
        <v/>
      </c>
      <c r="E59">
        <f>IF(SR9!F62="","",SR9!F62)</f>
        <v/>
      </c>
      <c r="F59">
        <f>IF(SR9!I62="","",SR9!I62)</f>
        <v/>
      </c>
      <c r="G59">
        <f>IF(SR9!M62="","",SR9!M62)</f>
        <v/>
      </c>
      <c r="H59">
        <f>IF(SR9!N62="","",SR9!N62)</f>
        <v/>
      </c>
      <c r="I59">
        <f>IF(SR9!O62="","",SR9!O62)</f>
        <v/>
      </c>
      <c r="J59">
        <f>IF(D59="","",IF(F59="","",G59+ROW()/100000))</f>
        <v/>
      </c>
    </row>
    <row r="60">
      <c r="A60">
        <f>IF(SR9!D63="","","SR9")</f>
        <v/>
      </c>
      <c r="B60">
        <f>IF(SR9!C63="","",SR9!C63)</f>
        <v/>
      </c>
      <c r="C60">
        <f>IF(SR9!B63="","",SR9!B63)</f>
        <v/>
      </c>
      <c r="D60">
        <f>IF(SR9!D63="","",SR9!D63)</f>
        <v/>
      </c>
      <c r="E60">
        <f>IF(SR9!F63="","",SR9!F63)</f>
        <v/>
      </c>
      <c r="F60">
        <f>IF(SR9!I63="","",SR9!I63)</f>
        <v/>
      </c>
      <c r="G60">
        <f>IF(SR9!M63="","",SR9!M63)</f>
        <v/>
      </c>
      <c r="H60">
        <f>IF(SR9!N63="","",SR9!N63)</f>
        <v/>
      </c>
      <c r="I60">
        <f>IF(SR9!O63="","",SR9!O63)</f>
        <v/>
      </c>
      <c r="J60">
        <f>IF(D60="","",IF(F60="","",G60+ROW()/100000))</f>
        <v/>
      </c>
    </row>
    <row r="61">
      <c r="A61">
        <f>IF(SR9!D64="","","SR9")</f>
        <v/>
      </c>
      <c r="B61">
        <f>IF(SR9!C64="","",SR9!C64)</f>
        <v/>
      </c>
      <c r="C61">
        <f>IF(SR9!B64="","",SR9!B64)</f>
        <v/>
      </c>
      <c r="D61">
        <f>IF(SR9!D64="","",SR9!D64)</f>
        <v/>
      </c>
      <c r="E61">
        <f>IF(SR9!F64="","",SR9!F64)</f>
        <v/>
      </c>
      <c r="F61">
        <f>IF(SR9!I64="","",SR9!I64)</f>
        <v/>
      </c>
      <c r="G61">
        <f>IF(SR9!M64="","",SR9!M64)</f>
        <v/>
      </c>
      <c r="H61">
        <f>IF(SR9!N64="","",SR9!N64)</f>
        <v/>
      </c>
      <c r="I61">
        <f>IF(SR9!O64="","",SR9!O64)</f>
        <v/>
      </c>
      <c r="J61">
        <f>IF(D61="","",IF(F61="","",G61+ROW()/100000))</f>
        <v/>
      </c>
    </row>
    <row r="62">
      <c r="A62">
        <f>IF(SR9!D65="","","SR9")</f>
        <v/>
      </c>
      <c r="B62">
        <f>IF(SR9!C65="","",SR9!C65)</f>
        <v/>
      </c>
      <c r="C62">
        <f>IF(SR9!B65="","",SR9!B65)</f>
        <v/>
      </c>
      <c r="D62">
        <f>IF(SR9!D65="","",SR9!D65)</f>
        <v/>
      </c>
      <c r="E62">
        <f>IF(SR9!F65="","",SR9!F65)</f>
        <v/>
      </c>
      <c r="F62">
        <f>IF(SR9!I65="","",SR9!I65)</f>
        <v/>
      </c>
      <c r="G62">
        <f>IF(SR9!M65="","",SR9!M65)</f>
        <v/>
      </c>
      <c r="H62">
        <f>IF(SR9!N65="","",SR9!N65)</f>
        <v/>
      </c>
      <c r="I62">
        <f>IF(SR9!O65="","",SR9!O65)</f>
        <v/>
      </c>
      <c r="J62">
        <f>IF(D62="","",IF(F62="","",G62+ROW()/100000))</f>
        <v/>
      </c>
    </row>
    <row r="63">
      <c r="A63">
        <f>IF(SR9!D66="","","SR9")</f>
        <v/>
      </c>
      <c r="B63">
        <f>IF(SR9!C66="","",SR9!C66)</f>
        <v/>
      </c>
      <c r="C63">
        <f>IF(SR9!B66="","",SR9!B66)</f>
        <v/>
      </c>
      <c r="D63">
        <f>IF(SR9!D66="","",SR9!D66)</f>
        <v/>
      </c>
      <c r="E63">
        <f>IF(SR9!F66="","",SR9!F66)</f>
        <v/>
      </c>
      <c r="F63">
        <f>IF(SR9!I66="","",SR9!I66)</f>
        <v/>
      </c>
      <c r="G63">
        <f>IF(SR9!M66="","",SR9!M66)</f>
        <v/>
      </c>
      <c r="H63">
        <f>IF(SR9!N66="","",SR9!N66)</f>
        <v/>
      </c>
      <c r="I63">
        <f>IF(SR9!O66="","",SR9!O66)</f>
        <v/>
      </c>
      <c r="J63">
        <f>IF(D63="","",IF(F63="","",G63+ROW()/100000))</f>
        <v/>
      </c>
    </row>
    <row r="64">
      <c r="A64">
        <f>IF(SR9!D67="","","SR9")</f>
        <v/>
      </c>
      <c r="B64">
        <f>IF(SR9!C67="","",SR9!C67)</f>
        <v/>
      </c>
      <c r="C64">
        <f>IF(SR9!B67="","",SR9!B67)</f>
        <v/>
      </c>
      <c r="D64">
        <f>IF(SR9!D67="","",SR9!D67)</f>
        <v/>
      </c>
      <c r="E64">
        <f>IF(SR9!F67="","",SR9!F67)</f>
        <v/>
      </c>
      <c r="F64">
        <f>IF(SR9!I67="","",SR9!I67)</f>
        <v/>
      </c>
      <c r="G64">
        <f>IF(SR9!M67="","",SR9!M67)</f>
        <v/>
      </c>
      <c r="H64">
        <f>IF(SR9!N67="","",SR9!N67)</f>
        <v/>
      </c>
      <c r="I64">
        <f>IF(SR9!O67="","",SR9!O67)</f>
        <v/>
      </c>
      <c r="J64">
        <f>IF(D64="","",IF(F64="","",G64+ROW()/100000))</f>
        <v/>
      </c>
    </row>
    <row r="65">
      <c r="A65">
        <f>IF(SR9!D68="","","SR9")</f>
        <v/>
      </c>
      <c r="B65">
        <f>IF(SR9!C68="","",SR9!C68)</f>
        <v/>
      </c>
      <c r="C65">
        <f>IF(SR9!B68="","",SR9!B68)</f>
        <v/>
      </c>
      <c r="D65">
        <f>IF(SR9!D68="","",SR9!D68)</f>
        <v/>
      </c>
      <c r="E65">
        <f>IF(SR9!F68="","",SR9!F68)</f>
        <v/>
      </c>
      <c r="F65">
        <f>IF(SR9!I68="","",SR9!I68)</f>
        <v/>
      </c>
      <c r="G65">
        <f>IF(SR9!M68="","",SR9!M68)</f>
        <v/>
      </c>
      <c r="H65">
        <f>IF(SR9!N68="","",SR9!N68)</f>
        <v/>
      </c>
      <c r="I65">
        <f>IF(SR9!O68="","",SR9!O68)</f>
        <v/>
      </c>
      <c r="J65">
        <f>IF(D65="","",IF(F65="","",G65+ROW()/100000))</f>
        <v/>
      </c>
    </row>
    <row r="66">
      <c r="A66">
        <f>IF(SR9!D69="","","SR9")</f>
        <v/>
      </c>
      <c r="B66">
        <f>IF(SR9!C69="","",SR9!C69)</f>
        <v/>
      </c>
      <c r="C66">
        <f>IF(SR9!B69="","",SR9!B69)</f>
        <v/>
      </c>
      <c r="D66">
        <f>IF(SR9!D69="","",SR9!D69)</f>
        <v/>
      </c>
      <c r="E66">
        <f>IF(SR9!F69="","",SR9!F69)</f>
        <v/>
      </c>
      <c r="F66">
        <f>IF(SR9!I69="","",SR9!I69)</f>
        <v/>
      </c>
      <c r="G66">
        <f>IF(SR9!M69="","",SR9!M69)</f>
        <v/>
      </c>
      <c r="H66">
        <f>IF(SR9!N69="","",SR9!N69)</f>
        <v/>
      </c>
      <c r="I66">
        <f>IF(SR9!O69="","",SR9!O69)</f>
        <v/>
      </c>
      <c r="J66">
        <f>IF(D66="","",IF(F66="","",G66+ROW()/100000))</f>
        <v/>
      </c>
    </row>
    <row r="67">
      <c r="A67">
        <f>IF(SR9!D70="","","SR9")</f>
        <v/>
      </c>
      <c r="B67">
        <f>IF(SR9!C70="","",SR9!C70)</f>
        <v/>
      </c>
      <c r="C67">
        <f>IF(SR9!B70="","",SR9!B70)</f>
        <v/>
      </c>
      <c r="D67">
        <f>IF(SR9!D70="","",SR9!D70)</f>
        <v/>
      </c>
      <c r="E67">
        <f>IF(SR9!F70="","",SR9!F70)</f>
        <v/>
      </c>
      <c r="F67">
        <f>IF(SR9!I70="","",SR9!I70)</f>
        <v/>
      </c>
      <c r="G67">
        <f>IF(SR9!M70="","",SR9!M70)</f>
        <v/>
      </c>
      <c r="H67">
        <f>IF(SR9!N70="","",SR9!N70)</f>
        <v/>
      </c>
      <c r="I67">
        <f>IF(SR9!O70="","",SR9!O70)</f>
        <v/>
      </c>
      <c r="J67">
        <f>IF(D67="","",IF(F67="","",G67+ROW()/100000))</f>
        <v/>
      </c>
    </row>
    <row r="68">
      <c r="A68">
        <f>IF(SR9!D71="","","SR9")</f>
        <v/>
      </c>
      <c r="B68">
        <f>IF(SR9!C71="","",SR9!C71)</f>
        <v/>
      </c>
      <c r="C68">
        <f>IF(SR9!B71="","",SR9!B71)</f>
        <v/>
      </c>
      <c r="D68">
        <f>IF(SR9!D71="","",SR9!D71)</f>
        <v/>
      </c>
      <c r="E68">
        <f>IF(SR9!F71="","",SR9!F71)</f>
        <v/>
      </c>
      <c r="F68">
        <f>IF(SR9!I71="","",SR9!I71)</f>
        <v/>
      </c>
      <c r="G68">
        <f>IF(SR9!M71="","",SR9!M71)</f>
        <v/>
      </c>
      <c r="H68">
        <f>IF(SR9!N71="","",SR9!N71)</f>
        <v/>
      </c>
      <c r="I68">
        <f>IF(SR9!O71="","",SR9!O71)</f>
        <v/>
      </c>
      <c r="J68">
        <f>IF(D68="","",IF(F68="","",G68+ROW()/100000))</f>
        <v/>
      </c>
    </row>
    <row r="69">
      <c r="A69">
        <f>IF(SR9!D72="","","SR9")</f>
        <v/>
      </c>
      <c r="B69">
        <f>IF(SR9!C72="","",SR9!C72)</f>
        <v/>
      </c>
      <c r="C69">
        <f>IF(SR9!B72="","",SR9!B72)</f>
        <v/>
      </c>
      <c r="D69">
        <f>IF(SR9!D72="","",SR9!D72)</f>
        <v/>
      </c>
      <c r="E69">
        <f>IF(SR9!F72="","",SR9!F72)</f>
        <v/>
      </c>
      <c r="F69">
        <f>IF(SR9!I72="","",SR9!I72)</f>
        <v/>
      </c>
      <c r="G69">
        <f>IF(SR9!M72="","",SR9!M72)</f>
        <v/>
      </c>
      <c r="H69">
        <f>IF(SR9!N72="","",SR9!N72)</f>
        <v/>
      </c>
      <c r="I69">
        <f>IF(SR9!O72="","",SR9!O72)</f>
        <v/>
      </c>
      <c r="J69">
        <f>IF(D69="","",IF(F69="","",G69+ROW()/100000))</f>
        <v/>
      </c>
    </row>
    <row r="70">
      <c r="A70">
        <f>IF(SR9!D73="","","SR9")</f>
        <v/>
      </c>
      <c r="B70">
        <f>IF(SR9!C73="","",SR9!C73)</f>
        <v/>
      </c>
      <c r="C70">
        <f>IF(SR9!B73="","",SR9!B73)</f>
        <v/>
      </c>
      <c r="D70">
        <f>IF(SR9!D73="","",SR9!D73)</f>
        <v/>
      </c>
      <c r="E70">
        <f>IF(SR9!F73="","",SR9!F73)</f>
        <v/>
      </c>
      <c r="F70">
        <f>IF(SR9!I73="","",SR9!I73)</f>
        <v/>
      </c>
      <c r="G70">
        <f>IF(SR9!M73="","",SR9!M73)</f>
        <v/>
      </c>
      <c r="H70">
        <f>IF(SR9!N73="","",SR9!N73)</f>
        <v/>
      </c>
      <c r="I70">
        <f>IF(SR9!O73="","",SR9!O73)</f>
        <v/>
      </c>
      <c r="J70">
        <f>IF(D70="","",IF(F70="","",G70+ROW()/100000))</f>
        <v/>
      </c>
    </row>
    <row r="71">
      <c r="A71">
        <f>IF(SR9!D74="","","SR9")</f>
        <v/>
      </c>
      <c r="B71">
        <f>IF(SR9!C74="","",SR9!C74)</f>
        <v/>
      </c>
      <c r="C71">
        <f>IF(SR9!B74="","",SR9!B74)</f>
        <v/>
      </c>
      <c r="D71">
        <f>IF(SR9!D74="","",SR9!D74)</f>
        <v/>
      </c>
      <c r="E71">
        <f>IF(SR9!F74="","",SR9!F74)</f>
        <v/>
      </c>
      <c r="F71">
        <f>IF(SR9!I74="","",SR9!I74)</f>
        <v/>
      </c>
      <c r="G71">
        <f>IF(SR9!M74="","",SR9!M74)</f>
        <v/>
      </c>
      <c r="H71">
        <f>IF(SR9!N74="","",SR9!N74)</f>
        <v/>
      </c>
      <c r="I71">
        <f>IF(SR9!O74="","",SR9!O74)</f>
        <v/>
      </c>
      <c r="J71">
        <f>IF(D71="","",IF(F71="","",G71+ROW()/100000))</f>
        <v/>
      </c>
    </row>
    <row r="72">
      <c r="A72">
        <f>IF(SR9!D75="","","SR9")</f>
        <v/>
      </c>
      <c r="B72">
        <f>IF(SR9!C75="","",SR9!C75)</f>
        <v/>
      </c>
      <c r="C72">
        <f>IF(SR9!B75="","",SR9!B75)</f>
        <v/>
      </c>
      <c r="D72">
        <f>IF(SR9!D75="","",SR9!D75)</f>
        <v/>
      </c>
      <c r="E72">
        <f>IF(SR9!F75="","",SR9!F75)</f>
        <v/>
      </c>
      <c r="F72">
        <f>IF(SR9!I75="","",SR9!I75)</f>
        <v/>
      </c>
      <c r="G72">
        <f>IF(SR9!M75="","",SR9!M75)</f>
        <v/>
      </c>
      <c r="H72">
        <f>IF(SR9!N75="","",SR9!N75)</f>
        <v/>
      </c>
      <c r="I72">
        <f>IF(SR9!O75="","",SR9!O75)</f>
        <v/>
      </c>
      <c r="J72">
        <f>IF(D72="","",IF(F72="","",G72+ROW()/100000))</f>
        <v/>
      </c>
    </row>
    <row r="73">
      <c r="A73">
        <f>IF(SR9!D76="","","SR9")</f>
        <v/>
      </c>
      <c r="B73">
        <f>IF(SR9!C76="","",SR9!C76)</f>
        <v/>
      </c>
      <c r="C73">
        <f>IF(SR9!B76="","",SR9!B76)</f>
        <v/>
      </c>
      <c r="D73">
        <f>IF(SR9!D76="","",SR9!D76)</f>
        <v/>
      </c>
      <c r="E73">
        <f>IF(SR9!F76="","",SR9!F76)</f>
        <v/>
      </c>
      <c r="F73">
        <f>IF(SR9!I76="","",SR9!I76)</f>
        <v/>
      </c>
      <c r="G73">
        <f>IF(SR9!M76="","",SR9!M76)</f>
        <v/>
      </c>
      <c r="H73">
        <f>IF(SR9!N76="","",SR9!N76)</f>
        <v/>
      </c>
      <c r="I73">
        <f>IF(SR9!O76="","",SR9!O76)</f>
        <v/>
      </c>
      <c r="J73">
        <f>IF(D73="","",IF(F73="","",G73+ROW()/100000))</f>
        <v/>
      </c>
    </row>
    <row r="74">
      <c r="A74">
        <f>IF(SR9!D77="","","SR9")</f>
        <v/>
      </c>
      <c r="B74">
        <f>IF(SR9!C77="","",SR9!C77)</f>
        <v/>
      </c>
      <c r="C74">
        <f>IF(SR9!B77="","",SR9!B77)</f>
        <v/>
      </c>
      <c r="D74">
        <f>IF(SR9!D77="","",SR9!D77)</f>
        <v/>
      </c>
      <c r="E74">
        <f>IF(SR9!F77="","",SR9!F77)</f>
        <v/>
      </c>
      <c r="F74">
        <f>IF(SR9!I77="","",SR9!I77)</f>
        <v/>
      </c>
      <c r="G74">
        <f>IF(SR9!M77="","",SR9!M77)</f>
        <v/>
      </c>
      <c r="H74">
        <f>IF(SR9!N77="","",SR9!N77)</f>
        <v/>
      </c>
      <c r="I74">
        <f>IF(SR9!O77="","",SR9!O77)</f>
        <v/>
      </c>
      <c r="J74">
        <f>IF(D74="","",IF(F74="","",G74+ROW()/100000))</f>
        <v/>
      </c>
    </row>
    <row r="75">
      <c r="A75">
        <f>IF(SR9!D78="","","SR9")</f>
        <v/>
      </c>
      <c r="B75">
        <f>IF(SR9!C78="","",SR9!C78)</f>
        <v/>
      </c>
      <c r="C75">
        <f>IF(SR9!B78="","",SR9!B78)</f>
        <v/>
      </c>
      <c r="D75">
        <f>IF(SR9!D78="","",SR9!D78)</f>
        <v/>
      </c>
      <c r="E75">
        <f>IF(SR9!F78="","",SR9!F78)</f>
        <v/>
      </c>
      <c r="F75">
        <f>IF(SR9!I78="","",SR9!I78)</f>
        <v/>
      </c>
      <c r="G75">
        <f>IF(SR9!M78="","",SR9!M78)</f>
        <v/>
      </c>
      <c r="H75">
        <f>IF(SR9!N78="","",SR9!N78)</f>
        <v/>
      </c>
      <c r="I75">
        <f>IF(SR9!O78="","",SR9!O78)</f>
        <v/>
      </c>
      <c r="J75">
        <f>IF(D75="","",IF(F75="","",G75+ROW()/100000))</f>
        <v/>
      </c>
    </row>
    <row r="76">
      <c r="A76">
        <f>IF(SR9!D79="","","SR9")</f>
        <v/>
      </c>
      <c r="B76">
        <f>IF(SR9!C79="","",SR9!C79)</f>
        <v/>
      </c>
      <c r="C76">
        <f>IF(SR9!B79="","",SR9!B79)</f>
        <v/>
      </c>
      <c r="D76">
        <f>IF(SR9!D79="","",SR9!D79)</f>
        <v/>
      </c>
      <c r="E76">
        <f>IF(SR9!F79="","",SR9!F79)</f>
        <v/>
      </c>
      <c r="F76">
        <f>IF(SR9!I79="","",SR9!I79)</f>
        <v/>
      </c>
      <c r="G76">
        <f>IF(SR9!M79="","",SR9!M79)</f>
        <v/>
      </c>
      <c r="H76">
        <f>IF(SR9!N79="","",SR9!N79)</f>
        <v/>
      </c>
      <c r="I76">
        <f>IF(SR9!O79="","",SR9!O79)</f>
        <v/>
      </c>
      <c r="J76">
        <f>IF(D76="","",IF(F76="","",G76+ROW()/100000))</f>
        <v/>
      </c>
    </row>
    <row r="77">
      <c r="A77">
        <f>IF(SR9!D80="","","SR9")</f>
        <v/>
      </c>
      <c r="B77">
        <f>IF(SR9!C80="","",SR9!C80)</f>
        <v/>
      </c>
      <c r="C77">
        <f>IF(SR9!B80="","",SR9!B80)</f>
        <v/>
      </c>
      <c r="D77">
        <f>IF(SR9!D80="","",SR9!D80)</f>
        <v/>
      </c>
      <c r="E77">
        <f>IF(SR9!F80="","",SR9!F80)</f>
        <v/>
      </c>
      <c r="F77">
        <f>IF(SR9!I80="","",SR9!I80)</f>
        <v/>
      </c>
      <c r="G77">
        <f>IF(SR9!M80="","",SR9!M80)</f>
        <v/>
      </c>
      <c r="H77">
        <f>IF(SR9!N80="","",SR9!N80)</f>
        <v/>
      </c>
      <c r="I77">
        <f>IF(SR9!O80="","",SR9!O80)</f>
        <v/>
      </c>
      <c r="J77">
        <f>IF(D77="","",IF(F77="","",G77+ROW()/100000))</f>
        <v/>
      </c>
    </row>
    <row r="78">
      <c r="A78">
        <f>IF(SR9!D81="","","SR9")</f>
        <v/>
      </c>
      <c r="B78">
        <f>IF(SR9!C81="","",SR9!C81)</f>
        <v/>
      </c>
      <c r="C78">
        <f>IF(SR9!B81="","",SR9!B81)</f>
        <v/>
      </c>
      <c r="D78">
        <f>IF(SR9!D81="","",SR9!D81)</f>
        <v/>
      </c>
      <c r="E78">
        <f>IF(SR9!F81="","",SR9!F81)</f>
        <v/>
      </c>
      <c r="F78">
        <f>IF(SR9!I81="","",SR9!I81)</f>
        <v/>
      </c>
      <c r="G78">
        <f>IF(SR9!M81="","",SR9!M81)</f>
        <v/>
      </c>
      <c r="H78">
        <f>IF(SR9!N81="","",SR9!N81)</f>
        <v/>
      </c>
      <c r="I78">
        <f>IF(SR9!O81="","",SR9!O81)</f>
        <v/>
      </c>
      <c r="J78">
        <f>IF(D78="","",IF(F78="","",G78+ROW()/100000))</f>
        <v/>
      </c>
    </row>
    <row r="79">
      <c r="A79">
        <f>IF(SR9!D82="","","SR9")</f>
        <v/>
      </c>
      <c r="B79">
        <f>IF(SR9!C82="","",SR9!C82)</f>
        <v/>
      </c>
      <c r="C79">
        <f>IF(SR9!B82="","",SR9!B82)</f>
        <v/>
      </c>
      <c r="D79">
        <f>IF(SR9!D82="","",SR9!D82)</f>
        <v/>
      </c>
      <c r="E79">
        <f>IF(SR9!F82="","",SR9!F82)</f>
        <v/>
      </c>
      <c r="F79">
        <f>IF(SR9!I82="","",SR9!I82)</f>
        <v/>
      </c>
      <c r="G79">
        <f>IF(SR9!M82="","",SR9!M82)</f>
        <v/>
      </c>
      <c r="H79">
        <f>IF(SR9!N82="","",SR9!N82)</f>
        <v/>
      </c>
      <c r="I79">
        <f>IF(SR9!O82="","",SR9!O82)</f>
        <v/>
      </c>
      <c r="J79">
        <f>IF(D79="","",IF(F79="","",G79+ROW()/100000))</f>
        <v/>
      </c>
    </row>
    <row r="80">
      <c r="A80">
        <f>IF(SR9!D83="","","SR9")</f>
        <v/>
      </c>
      <c r="B80">
        <f>IF(SR9!C83="","",SR9!C83)</f>
        <v/>
      </c>
      <c r="C80">
        <f>IF(SR9!B83="","",SR9!B83)</f>
        <v/>
      </c>
      <c r="D80">
        <f>IF(SR9!D83="","",SR9!D83)</f>
        <v/>
      </c>
      <c r="E80">
        <f>IF(SR9!F83="","",SR9!F83)</f>
        <v/>
      </c>
      <c r="F80">
        <f>IF(SR9!I83="","",SR9!I83)</f>
        <v/>
      </c>
      <c r="G80">
        <f>IF(SR9!M83="","",SR9!M83)</f>
        <v/>
      </c>
      <c r="H80">
        <f>IF(SR9!N83="","",SR9!N83)</f>
        <v/>
      </c>
      <c r="I80">
        <f>IF(SR9!O83="","",SR9!O83)</f>
        <v/>
      </c>
      <c r="J80">
        <f>IF(D80="","",IF(F80="","",G80+ROW()/100000))</f>
        <v/>
      </c>
    </row>
    <row r="81">
      <c r="A81">
        <f>IF(SR9!D84="","","SR9")</f>
        <v/>
      </c>
      <c r="B81">
        <f>IF(SR9!C84="","",SR9!C84)</f>
        <v/>
      </c>
      <c r="C81">
        <f>IF(SR9!B84="","",SR9!B84)</f>
        <v/>
      </c>
      <c r="D81">
        <f>IF(SR9!D84="","",SR9!D84)</f>
        <v/>
      </c>
      <c r="E81">
        <f>IF(SR9!F84="","",SR9!F84)</f>
        <v/>
      </c>
      <c r="F81">
        <f>IF(SR9!I84="","",SR9!I84)</f>
        <v/>
      </c>
      <c r="G81">
        <f>IF(SR9!M84="","",SR9!M84)</f>
        <v/>
      </c>
      <c r="H81">
        <f>IF(SR9!N84="","",SR9!N84)</f>
        <v/>
      </c>
      <c r="I81">
        <f>IF(SR9!O84="","",SR9!O84)</f>
        <v/>
      </c>
      <c r="J81">
        <f>IF(D81="","",IF(F81="","",G81+ROW()/100000))</f>
        <v/>
      </c>
    </row>
    <row r="82">
      <c r="A82">
        <f>IF(SR9!D85="","","SR9")</f>
        <v/>
      </c>
      <c r="B82">
        <f>IF(SR9!C85="","",SR9!C85)</f>
        <v/>
      </c>
      <c r="C82">
        <f>IF(SR9!B85="","",SR9!B85)</f>
        <v/>
      </c>
      <c r="D82">
        <f>IF(SR9!D85="","",SR9!D85)</f>
        <v/>
      </c>
      <c r="E82">
        <f>IF(SR9!F85="","",SR9!F85)</f>
        <v/>
      </c>
      <c r="F82">
        <f>IF(SR9!I85="","",SR9!I85)</f>
        <v/>
      </c>
      <c r="G82">
        <f>IF(SR9!M85="","",SR9!M85)</f>
        <v/>
      </c>
      <c r="H82">
        <f>IF(SR9!N85="","",SR9!N85)</f>
        <v/>
      </c>
      <c r="I82">
        <f>IF(SR9!O85="","",SR9!O85)</f>
        <v/>
      </c>
      <c r="J82">
        <f>IF(D82="","",IF(F82="","",G82+ROW()/100000))</f>
        <v/>
      </c>
    </row>
    <row r="83">
      <c r="A83">
        <f>IF(SR9!D86="","","SR9")</f>
        <v/>
      </c>
      <c r="B83">
        <f>IF(SR9!C86="","",SR9!C86)</f>
        <v/>
      </c>
      <c r="C83">
        <f>IF(SR9!B86="","",SR9!B86)</f>
        <v/>
      </c>
      <c r="D83">
        <f>IF(SR9!D86="","",SR9!D86)</f>
        <v/>
      </c>
      <c r="E83">
        <f>IF(SR9!F86="","",SR9!F86)</f>
        <v/>
      </c>
      <c r="F83">
        <f>IF(SR9!I86="","",SR9!I86)</f>
        <v/>
      </c>
      <c r="G83">
        <f>IF(SR9!M86="","",SR9!M86)</f>
        <v/>
      </c>
      <c r="H83">
        <f>IF(SR9!N86="","",SR9!N86)</f>
        <v/>
      </c>
      <c r="I83">
        <f>IF(SR9!O86="","",SR9!O86)</f>
        <v/>
      </c>
      <c r="J83">
        <f>IF(D83="","",IF(F83="","",G83+ROW()/100000))</f>
        <v/>
      </c>
    </row>
    <row r="84">
      <c r="A84">
        <f>IF(SR9!D87="","","SR9")</f>
        <v/>
      </c>
      <c r="B84">
        <f>IF(SR9!C87="","",SR9!C87)</f>
        <v/>
      </c>
      <c r="C84">
        <f>IF(SR9!B87="","",SR9!B87)</f>
        <v/>
      </c>
      <c r="D84">
        <f>IF(SR9!D87="","",SR9!D87)</f>
        <v/>
      </c>
      <c r="E84">
        <f>IF(SR9!F87="","",SR9!F87)</f>
        <v/>
      </c>
      <c r="F84">
        <f>IF(SR9!I87="","",SR9!I87)</f>
        <v/>
      </c>
      <c r="G84">
        <f>IF(SR9!M87="","",SR9!M87)</f>
        <v/>
      </c>
      <c r="H84">
        <f>IF(SR9!N87="","",SR9!N87)</f>
        <v/>
      </c>
      <c r="I84">
        <f>IF(SR9!O87="","",SR9!O87)</f>
        <v/>
      </c>
      <c r="J84">
        <f>IF(D84="","",IF(F84="","",G84+ROW()/100000))</f>
        <v/>
      </c>
    </row>
    <row r="85">
      <c r="A85">
        <f>IF(SR9!D88="","","SR9")</f>
        <v/>
      </c>
      <c r="B85">
        <f>IF(SR9!C88="","",SR9!C88)</f>
        <v/>
      </c>
      <c r="C85">
        <f>IF(SR9!B88="","",SR9!B88)</f>
        <v/>
      </c>
      <c r="D85">
        <f>IF(SR9!D88="","",SR9!D88)</f>
        <v/>
      </c>
      <c r="E85">
        <f>IF(SR9!F88="","",SR9!F88)</f>
        <v/>
      </c>
      <c r="F85">
        <f>IF(SR9!I88="","",SR9!I88)</f>
        <v/>
      </c>
      <c r="G85">
        <f>IF(SR9!M88="","",SR9!M88)</f>
        <v/>
      </c>
      <c r="H85">
        <f>IF(SR9!N88="","",SR9!N88)</f>
        <v/>
      </c>
      <c r="I85">
        <f>IF(SR9!O88="","",SR9!O88)</f>
        <v/>
      </c>
      <c r="J85">
        <f>IF(D85="","",IF(F85="","",G85+ROW()/100000))</f>
        <v/>
      </c>
    </row>
    <row r="86">
      <c r="A86">
        <f>IF(SR9!D89="","","SR9")</f>
        <v/>
      </c>
      <c r="B86">
        <f>IF(SR9!C89="","",SR9!C89)</f>
        <v/>
      </c>
      <c r="C86">
        <f>IF(SR9!B89="","",SR9!B89)</f>
        <v/>
      </c>
      <c r="D86">
        <f>IF(SR9!D89="","",SR9!D89)</f>
        <v/>
      </c>
      <c r="E86">
        <f>IF(SR9!F89="","",SR9!F89)</f>
        <v/>
      </c>
      <c r="F86">
        <f>IF(SR9!I89="","",SR9!I89)</f>
        <v/>
      </c>
      <c r="G86">
        <f>IF(SR9!M89="","",SR9!M89)</f>
        <v/>
      </c>
      <c r="H86">
        <f>IF(SR9!N89="","",SR9!N89)</f>
        <v/>
      </c>
      <c r="I86">
        <f>IF(SR9!O89="","",SR9!O89)</f>
        <v/>
      </c>
      <c r="J86">
        <f>IF(D86="","",IF(F86="","",G86+ROW()/100000))</f>
        <v/>
      </c>
    </row>
    <row r="87">
      <c r="A87">
        <f>IF(SR9!D90="","","SR9")</f>
        <v/>
      </c>
      <c r="B87">
        <f>IF(SR9!C90="","",SR9!C90)</f>
        <v/>
      </c>
      <c r="C87">
        <f>IF(SR9!B90="","",SR9!B90)</f>
        <v/>
      </c>
      <c r="D87">
        <f>IF(SR9!D90="","",SR9!D90)</f>
        <v/>
      </c>
      <c r="E87">
        <f>IF(SR9!F90="","",SR9!F90)</f>
        <v/>
      </c>
      <c r="F87">
        <f>IF(SR9!I90="","",SR9!I90)</f>
        <v/>
      </c>
      <c r="G87">
        <f>IF(SR9!M90="","",SR9!M90)</f>
        <v/>
      </c>
      <c r="H87">
        <f>IF(SR9!N90="","",SR9!N90)</f>
        <v/>
      </c>
      <c r="I87">
        <f>IF(SR9!O90="","",SR9!O90)</f>
        <v/>
      </c>
      <c r="J87">
        <f>IF(D87="","",IF(F87="","",G87+ROW()/100000))</f>
        <v/>
      </c>
    </row>
    <row r="88">
      <c r="A88">
        <f>IF(SR9!D91="","","SR9")</f>
        <v/>
      </c>
      <c r="B88">
        <f>IF(SR9!C91="","",SR9!C91)</f>
        <v/>
      </c>
      <c r="C88">
        <f>IF(SR9!B91="","",SR9!B91)</f>
        <v/>
      </c>
      <c r="D88">
        <f>IF(SR9!D91="","",SR9!D91)</f>
        <v/>
      </c>
      <c r="E88">
        <f>IF(SR9!F91="","",SR9!F91)</f>
        <v/>
      </c>
      <c r="F88">
        <f>IF(SR9!I91="","",SR9!I91)</f>
        <v/>
      </c>
      <c r="G88">
        <f>IF(SR9!M91="","",SR9!M91)</f>
        <v/>
      </c>
      <c r="H88">
        <f>IF(SR9!N91="","",SR9!N91)</f>
        <v/>
      </c>
      <c r="I88">
        <f>IF(SR9!O91="","",SR9!O91)</f>
        <v/>
      </c>
      <c r="J88">
        <f>IF(D88="","",IF(F88="","",G88+ROW()/100000))</f>
        <v/>
      </c>
    </row>
    <row r="89">
      <c r="A89">
        <f>IF(SR9!D92="","","SR9")</f>
        <v/>
      </c>
      <c r="B89">
        <f>IF(SR9!C92="","",SR9!C92)</f>
        <v/>
      </c>
      <c r="C89">
        <f>IF(SR9!B92="","",SR9!B92)</f>
        <v/>
      </c>
      <c r="D89">
        <f>IF(SR9!D92="","",SR9!D92)</f>
        <v/>
      </c>
      <c r="E89">
        <f>IF(SR9!F92="","",SR9!F92)</f>
        <v/>
      </c>
      <c r="F89">
        <f>IF(SR9!I92="","",SR9!I92)</f>
        <v/>
      </c>
      <c r="G89">
        <f>IF(SR9!M92="","",SR9!M92)</f>
        <v/>
      </c>
      <c r="H89">
        <f>IF(SR9!N92="","",SR9!N92)</f>
        <v/>
      </c>
      <c r="I89">
        <f>IF(SR9!O92="","",SR9!O92)</f>
        <v/>
      </c>
      <c r="J89">
        <f>IF(D89="","",IF(F89="","",G89+ROW()/100000))</f>
        <v/>
      </c>
    </row>
    <row r="90">
      <c r="A90">
        <f>IF(SR9!D93="","","SR9")</f>
        <v/>
      </c>
      <c r="B90">
        <f>IF(SR9!C93="","",SR9!C93)</f>
        <v/>
      </c>
      <c r="C90">
        <f>IF(SR9!B93="","",SR9!B93)</f>
        <v/>
      </c>
      <c r="D90">
        <f>IF(SR9!D93="","",SR9!D93)</f>
        <v/>
      </c>
      <c r="E90">
        <f>IF(SR9!F93="","",SR9!F93)</f>
        <v/>
      </c>
      <c r="F90">
        <f>IF(SR9!I93="","",SR9!I93)</f>
        <v/>
      </c>
      <c r="G90">
        <f>IF(SR9!M93="","",SR9!M93)</f>
        <v/>
      </c>
      <c r="H90">
        <f>IF(SR9!N93="","",SR9!N93)</f>
        <v/>
      </c>
      <c r="I90">
        <f>IF(SR9!O93="","",SR9!O93)</f>
        <v/>
      </c>
      <c r="J90">
        <f>IF(D90="","",IF(F90="","",G90+ROW()/100000))</f>
        <v/>
      </c>
    </row>
    <row r="91">
      <c r="A91">
        <f>IF(SR9!D94="","","SR9")</f>
        <v/>
      </c>
      <c r="B91">
        <f>IF(SR9!C94="","",SR9!C94)</f>
        <v/>
      </c>
      <c r="C91">
        <f>IF(SR9!B94="","",SR9!B94)</f>
        <v/>
      </c>
      <c r="D91">
        <f>IF(SR9!D94="","",SR9!D94)</f>
        <v/>
      </c>
      <c r="E91">
        <f>IF(SR9!F94="","",SR9!F94)</f>
        <v/>
      </c>
      <c r="F91">
        <f>IF(SR9!I94="","",SR9!I94)</f>
        <v/>
      </c>
      <c r="G91">
        <f>IF(SR9!M94="","",SR9!M94)</f>
        <v/>
      </c>
      <c r="H91">
        <f>IF(SR9!N94="","",SR9!N94)</f>
        <v/>
      </c>
      <c r="I91">
        <f>IF(SR9!O94="","",SR9!O94)</f>
        <v/>
      </c>
      <c r="J91">
        <f>IF(D91="","",IF(F91="","",G91+ROW()/100000))</f>
        <v/>
      </c>
    </row>
    <row r="92">
      <c r="A92">
        <f>IF(SR9!D95="","","SR9")</f>
        <v/>
      </c>
      <c r="B92">
        <f>IF(SR9!C95="","",SR9!C95)</f>
        <v/>
      </c>
      <c r="C92">
        <f>IF(SR9!B95="","",SR9!B95)</f>
        <v/>
      </c>
      <c r="D92">
        <f>IF(SR9!D95="","",SR9!D95)</f>
        <v/>
      </c>
      <c r="E92">
        <f>IF(SR9!F95="","",SR9!F95)</f>
        <v/>
      </c>
      <c r="F92">
        <f>IF(SR9!I95="","",SR9!I95)</f>
        <v/>
      </c>
      <c r="G92">
        <f>IF(SR9!M95="","",SR9!M95)</f>
        <v/>
      </c>
      <c r="H92">
        <f>IF(SR9!N95="","",SR9!N95)</f>
        <v/>
      </c>
      <c r="I92">
        <f>IF(SR9!O95="","",SR9!O95)</f>
        <v/>
      </c>
      <c r="J92">
        <f>IF(D92="","",IF(F92="","",G92+ROW()/100000))</f>
        <v/>
      </c>
    </row>
    <row r="93">
      <c r="A93">
        <f>IF(SR9!D96="","","SR9")</f>
        <v/>
      </c>
      <c r="B93">
        <f>IF(SR9!C96="","",SR9!C96)</f>
        <v/>
      </c>
      <c r="C93">
        <f>IF(SR9!B96="","",SR9!B96)</f>
        <v/>
      </c>
      <c r="D93">
        <f>IF(SR9!D96="","",SR9!D96)</f>
        <v/>
      </c>
      <c r="E93">
        <f>IF(SR9!F96="","",SR9!F96)</f>
        <v/>
      </c>
      <c r="F93">
        <f>IF(SR9!I96="","",SR9!I96)</f>
        <v/>
      </c>
      <c r="G93">
        <f>IF(SR9!M96="","",SR9!M96)</f>
        <v/>
      </c>
      <c r="H93">
        <f>IF(SR9!N96="","",SR9!N96)</f>
        <v/>
      </c>
      <c r="I93">
        <f>IF(SR9!O96="","",SR9!O96)</f>
        <v/>
      </c>
      <c r="J93">
        <f>IF(D93="","",IF(F93="","",G93+ROW()/100000))</f>
        <v/>
      </c>
    </row>
    <row r="94">
      <c r="A94">
        <f>IF(SR9!D97="","","SR9")</f>
        <v/>
      </c>
      <c r="B94">
        <f>IF(SR9!C97="","",SR9!C97)</f>
        <v/>
      </c>
      <c r="C94">
        <f>IF(SR9!B97="","",SR9!B97)</f>
        <v/>
      </c>
      <c r="D94">
        <f>IF(SR9!D97="","",SR9!D97)</f>
        <v/>
      </c>
      <c r="E94">
        <f>IF(SR9!F97="","",SR9!F97)</f>
        <v/>
      </c>
      <c r="F94">
        <f>IF(SR9!I97="","",SR9!I97)</f>
        <v/>
      </c>
      <c r="G94">
        <f>IF(SR9!M97="","",SR9!M97)</f>
        <v/>
      </c>
      <c r="H94">
        <f>IF(SR9!N97="","",SR9!N97)</f>
        <v/>
      </c>
      <c r="I94">
        <f>IF(SR9!O97="","",SR9!O97)</f>
        <v/>
      </c>
      <c r="J94">
        <f>IF(D94="","",IF(F94="","",G94+ROW()/100000))</f>
        <v/>
      </c>
    </row>
    <row r="95">
      <c r="A95">
        <f>IF(SR9!D98="","","SR9")</f>
        <v/>
      </c>
      <c r="B95">
        <f>IF(SR9!C98="","",SR9!C98)</f>
        <v/>
      </c>
      <c r="C95">
        <f>IF(SR9!B98="","",SR9!B98)</f>
        <v/>
      </c>
      <c r="D95">
        <f>IF(SR9!D98="","",SR9!D98)</f>
        <v/>
      </c>
      <c r="E95">
        <f>IF(SR9!F98="","",SR9!F98)</f>
        <v/>
      </c>
      <c r="F95">
        <f>IF(SR9!I98="","",SR9!I98)</f>
        <v/>
      </c>
      <c r="G95">
        <f>IF(SR9!M98="","",SR9!M98)</f>
        <v/>
      </c>
      <c r="H95">
        <f>IF(SR9!N98="","",SR9!N98)</f>
        <v/>
      </c>
      <c r="I95">
        <f>IF(SR9!O98="","",SR9!O98)</f>
        <v/>
      </c>
      <c r="J95">
        <f>IF(D95="","",IF(F95="","",G95+ROW()/100000))</f>
        <v/>
      </c>
    </row>
    <row r="96">
      <c r="A96">
        <f>IF(SR9!D99="","","SR9")</f>
        <v/>
      </c>
      <c r="B96">
        <f>IF(SR9!C99="","",SR9!C99)</f>
        <v/>
      </c>
      <c r="C96">
        <f>IF(SR9!B99="","",SR9!B99)</f>
        <v/>
      </c>
      <c r="D96">
        <f>IF(SR9!D99="","",SR9!D99)</f>
        <v/>
      </c>
      <c r="E96">
        <f>IF(SR9!F99="","",SR9!F99)</f>
        <v/>
      </c>
      <c r="F96">
        <f>IF(SR9!I99="","",SR9!I99)</f>
        <v/>
      </c>
      <c r="G96">
        <f>IF(SR9!M99="","",SR9!M99)</f>
        <v/>
      </c>
      <c r="H96">
        <f>IF(SR9!N99="","",SR9!N99)</f>
        <v/>
      </c>
      <c r="I96">
        <f>IF(SR9!O99="","",SR9!O99)</f>
        <v/>
      </c>
      <c r="J96">
        <f>IF(D96="","",IF(F96="","",G96+ROW()/100000))</f>
        <v/>
      </c>
    </row>
    <row r="97">
      <c r="A97">
        <f>IF(SR9!D100="","","SR9")</f>
        <v/>
      </c>
      <c r="B97">
        <f>IF(SR9!C100="","",SR9!C100)</f>
        <v/>
      </c>
      <c r="C97">
        <f>IF(SR9!B100="","",SR9!B100)</f>
        <v/>
      </c>
      <c r="D97">
        <f>IF(SR9!D100="","",SR9!D100)</f>
        <v/>
      </c>
      <c r="E97">
        <f>IF(SR9!F100="","",SR9!F100)</f>
        <v/>
      </c>
      <c r="F97">
        <f>IF(SR9!I100="","",SR9!I100)</f>
        <v/>
      </c>
      <c r="G97">
        <f>IF(SR9!M100="","",SR9!M100)</f>
        <v/>
      </c>
      <c r="H97">
        <f>IF(SR9!N100="","",SR9!N100)</f>
        <v/>
      </c>
      <c r="I97">
        <f>IF(SR9!O100="","",SR9!O100)</f>
        <v/>
      </c>
      <c r="J97">
        <f>IF(D97="","",IF(F97="","",G97+ROW()/100000))</f>
        <v/>
      </c>
    </row>
    <row r="98">
      <c r="A98">
        <f>IF(SR9!D101="","","SR9")</f>
        <v/>
      </c>
      <c r="B98">
        <f>IF(SR9!C101="","",SR9!C101)</f>
        <v/>
      </c>
      <c r="C98">
        <f>IF(SR9!B101="","",SR9!B101)</f>
        <v/>
      </c>
      <c r="D98">
        <f>IF(SR9!D101="","",SR9!D101)</f>
        <v/>
      </c>
      <c r="E98">
        <f>IF(SR9!F101="","",SR9!F101)</f>
        <v/>
      </c>
      <c r="F98">
        <f>IF(SR9!I101="","",SR9!I101)</f>
        <v/>
      </c>
      <c r="G98">
        <f>IF(SR9!M101="","",SR9!M101)</f>
        <v/>
      </c>
      <c r="H98">
        <f>IF(SR9!N101="","",SR9!N101)</f>
        <v/>
      </c>
      <c r="I98">
        <f>IF(SR9!O101="","",SR9!O101)</f>
        <v/>
      </c>
      <c r="J98">
        <f>IF(D98="","",IF(F98="","",G98+ROW()/100000))</f>
        <v/>
      </c>
    </row>
    <row r="99">
      <c r="A99">
        <f>IF(SR9!D102="","","SR9")</f>
        <v/>
      </c>
      <c r="B99">
        <f>IF(SR9!C102="","",SR9!C102)</f>
        <v/>
      </c>
      <c r="C99">
        <f>IF(SR9!B102="","",SR9!B102)</f>
        <v/>
      </c>
      <c r="D99">
        <f>IF(SR9!D102="","",SR9!D102)</f>
        <v/>
      </c>
      <c r="E99">
        <f>IF(SR9!F102="","",SR9!F102)</f>
        <v/>
      </c>
      <c r="F99">
        <f>IF(SR9!I102="","",SR9!I102)</f>
        <v/>
      </c>
      <c r="G99">
        <f>IF(SR9!M102="","",SR9!M102)</f>
        <v/>
      </c>
      <c r="H99">
        <f>IF(SR9!N102="","",SR9!N102)</f>
        <v/>
      </c>
      <c r="I99">
        <f>IF(SR9!O102="","",SR9!O102)</f>
        <v/>
      </c>
      <c r="J99">
        <f>IF(D99="","",IF(F99="","",G99+ROW()/100000))</f>
        <v/>
      </c>
    </row>
    <row r="100">
      <c r="A100">
        <f>IF(SR9!D103="","","SR9")</f>
        <v/>
      </c>
      <c r="B100">
        <f>IF(SR9!C103="","",SR9!C103)</f>
        <v/>
      </c>
      <c r="C100">
        <f>IF(SR9!B103="","",SR9!B103)</f>
        <v/>
      </c>
      <c r="D100">
        <f>IF(SR9!D103="","",SR9!D103)</f>
        <v/>
      </c>
      <c r="E100">
        <f>IF(SR9!F103="","",SR9!F103)</f>
        <v/>
      </c>
      <c r="F100">
        <f>IF(SR9!I103="","",SR9!I103)</f>
        <v/>
      </c>
      <c r="G100">
        <f>IF(SR9!M103="","",SR9!M103)</f>
        <v/>
      </c>
      <c r="H100">
        <f>IF(SR9!N103="","",SR9!N103)</f>
        <v/>
      </c>
      <c r="I100">
        <f>IF(SR9!O103="","",SR9!O103)</f>
        <v/>
      </c>
      <c r="J100">
        <f>IF(D100="","",IF(F100="","",G100+ROW()/100000))</f>
        <v/>
      </c>
    </row>
    <row r="101">
      <c r="A101">
        <f>IF(SR9!D104="","","SR9")</f>
        <v/>
      </c>
      <c r="B101">
        <f>IF(SR9!C104="","",SR9!C104)</f>
        <v/>
      </c>
      <c r="C101">
        <f>IF(SR9!B104="","",SR9!B104)</f>
        <v/>
      </c>
      <c r="D101">
        <f>IF(SR9!D104="","",SR9!D104)</f>
        <v/>
      </c>
      <c r="E101">
        <f>IF(SR9!F104="","",SR9!F104)</f>
        <v/>
      </c>
      <c r="F101">
        <f>IF(SR9!I104="","",SR9!I104)</f>
        <v/>
      </c>
      <c r="G101">
        <f>IF(SR9!M104="","",SR9!M104)</f>
        <v/>
      </c>
      <c r="H101">
        <f>IF(SR9!N104="","",SR9!N104)</f>
        <v/>
      </c>
      <c r="I101">
        <f>IF(SR9!O104="","",SR9!O104)</f>
        <v/>
      </c>
      <c r="J101">
        <f>IF(D101="","",IF(F101="","",G101+ROW()/100000))</f>
        <v/>
      </c>
    </row>
    <row r="102">
      <c r="A102">
        <f>IF(SR9!D105="","","SR9")</f>
        <v/>
      </c>
      <c r="B102">
        <f>IF(SR9!C105="","",SR9!C105)</f>
        <v/>
      </c>
      <c r="C102">
        <f>IF(SR9!B105="","",SR9!B105)</f>
        <v/>
      </c>
      <c r="D102">
        <f>IF(SR9!D105="","",SR9!D105)</f>
        <v/>
      </c>
      <c r="E102">
        <f>IF(SR9!F105="","",SR9!F105)</f>
        <v/>
      </c>
      <c r="F102">
        <f>IF(SR9!I105="","",SR9!I105)</f>
        <v/>
      </c>
      <c r="G102">
        <f>IF(SR9!M105="","",SR9!M105)</f>
        <v/>
      </c>
      <c r="H102">
        <f>IF(SR9!N105="","",SR9!N105)</f>
        <v/>
      </c>
      <c r="I102">
        <f>IF(SR9!O105="","",SR9!O105)</f>
        <v/>
      </c>
      <c r="J102">
        <f>IF(D102="","",IF(F102="","",G102+ROW()/100000))</f>
        <v/>
      </c>
    </row>
    <row r="103">
      <c r="A103">
        <f>IF(SR9!D106="","","SR9")</f>
        <v/>
      </c>
      <c r="B103">
        <f>IF(SR9!C106="","",SR9!C106)</f>
        <v/>
      </c>
      <c r="C103">
        <f>IF(SR9!B106="","",SR9!B106)</f>
        <v/>
      </c>
      <c r="D103">
        <f>IF(SR9!D106="","",SR9!D106)</f>
        <v/>
      </c>
      <c r="E103">
        <f>IF(SR9!F106="","",SR9!F106)</f>
        <v/>
      </c>
      <c r="F103">
        <f>IF(SR9!I106="","",SR9!I106)</f>
        <v/>
      </c>
      <c r="G103">
        <f>IF(SR9!M106="","",SR9!M106)</f>
        <v/>
      </c>
      <c r="H103">
        <f>IF(SR9!N106="","",SR9!N106)</f>
        <v/>
      </c>
      <c r="I103">
        <f>IF(SR9!O106="","",SR9!O106)</f>
        <v/>
      </c>
      <c r="J103">
        <f>IF(D103="","",IF(F103="","",G103+ROW()/100000))</f>
        <v/>
      </c>
    </row>
    <row r="104">
      <c r="A104">
        <f>IF(SR9!D107="","","SR9")</f>
        <v/>
      </c>
      <c r="B104">
        <f>IF(SR9!C107="","",SR9!C107)</f>
        <v/>
      </c>
      <c r="C104">
        <f>IF(SR9!B107="","",SR9!B107)</f>
        <v/>
      </c>
      <c r="D104">
        <f>IF(SR9!D107="","",SR9!D107)</f>
        <v/>
      </c>
      <c r="E104">
        <f>IF(SR9!F107="","",SR9!F107)</f>
        <v/>
      </c>
      <c r="F104">
        <f>IF(SR9!I107="","",SR9!I107)</f>
        <v/>
      </c>
      <c r="G104">
        <f>IF(SR9!M107="","",SR9!M107)</f>
        <v/>
      </c>
      <c r="H104">
        <f>IF(SR9!N107="","",SR9!N107)</f>
        <v/>
      </c>
      <c r="I104">
        <f>IF(SR9!O107="","",SR9!O107)</f>
        <v/>
      </c>
      <c r="J104">
        <f>IF(D104="","",IF(F104="","",G104+ROW()/100000))</f>
        <v/>
      </c>
    </row>
    <row r="105">
      <c r="A105">
        <f>IF(SR9!D108="","","SR9")</f>
        <v/>
      </c>
      <c r="B105">
        <f>IF(SR9!C108="","",SR9!C108)</f>
        <v/>
      </c>
      <c r="C105">
        <f>IF(SR9!B108="","",SR9!B108)</f>
        <v/>
      </c>
      <c r="D105">
        <f>IF(SR9!D108="","",SR9!D108)</f>
        <v/>
      </c>
      <c r="E105">
        <f>IF(SR9!F108="","",SR9!F108)</f>
        <v/>
      </c>
      <c r="F105">
        <f>IF(SR9!I108="","",SR9!I108)</f>
        <v/>
      </c>
      <c r="G105">
        <f>IF(SR9!M108="","",SR9!M108)</f>
        <v/>
      </c>
      <c r="H105">
        <f>IF(SR9!N108="","",SR9!N108)</f>
        <v/>
      </c>
      <c r="I105">
        <f>IF(SR9!O108="","",SR9!O108)</f>
        <v/>
      </c>
      <c r="J105">
        <f>IF(D105="","",IF(F105="","",G105+ROW()/100000))</f>
        <v/>
      </c>
    </row>
    <row r="106">
      <c r="A106">
        <f>IF(SR9!D109="","","SR9")</f>
        <v/>
      </c>
      <c r="B106">
        <f>IF(SR9!C109="","",SR9!C109)</f>
        <v/>
      </c>
      <c r="C106">
        <f>IF(SR9!B109="","",SR9!B109)</f>
        <v/>
      </c>
      <c r="D106">
        <f>IF(SR9!D109="","",SR9!D109)</f>
        <v/>
      </c>
      <c r="E106">
        <f>IF(SR9!F109="","",SR9!F109)</f>
        <v/>
      </c>
      <c r="F106">
        <f>IF(SR9!I109="","",SR9!I109)</f>
        <v/>
      </c>
      <c r="G106">
        <f>IF(SR9!M109="","",SR9!M109)</f>
        <v/>
      </c>
      <c r="H106">
        <f>IF(SR9!N109="","",SR9!N109)</f>
        <v/>
      </c>
      <c r="I106">
        <f>IF(SR9!O109="","",SR9!O109)</f>
        <v/>
      </c>
      <c r="J106">
        <f>IF(D106="","",IF(F106="","",G106+ROW()/100000))</f>
        <v/>
      </c>
    </row>
    <row r="107">
      <c r="A107">
        <f>IF(SR9!D110="","","SR9")</f>
        <v/>
      </c>
      <c r="B107">
        <f>IF(SR9!C110="","",SR9!C110)</f>
        <v/>
      </c>
      <c r="C107">
        <f>IF(SR9!B110="","",SR9!B110)</f>
        <v/>
      </c>
      <c r="D107">
        <f>IF(SR9!D110="","",SR9!D110)</f>
        <v/>
      </c>
      <c r="E107">
        <f>IF(SR9!F110="","",SR9!F110)</f>
        <v/>
      </c>
      <c r="F107">
        <f>IF(SR9!I110="","",SR9!I110)</f>
        <v/>
      </c>
      <c r="G107">
        <f>IF(SR9!M110="","",SR9!M110)</f>
        <v/>
      </c>
      <c r="H107">
        <f>IF(SR9!N110="","",SR9!N110)</f>
        <v/>
      </c>
      <c r="I107">
        <f>IF(SR9!O110="","",SR9!O110)</f>
        <v/>
      </c>
      <c r="J107">
        <f>IF(D107="","",IF(F107="","",G107+ROW()/100000))</f>
        <v/>
      </c>
    </row>
    <row r="108">
      <c r="A108">
        <f>IF(SR9!D111="","","SR9")</f>
        <v/>
      </c>
      <c r="B108">
        <f>IF(SR9!C111="","",SR9!C111)</f>
        <v/>
      </c>
      <c r="C108">
        <f>IF(SR9!B111="","",SR9!B111)</f>
        <v/>
      </c>
      <c r="D108">
        <f>IF(SR9!D111="","",SR9!D111)</f>
        <v/>
      </c>
      <c r="E108">
        <f>IF(SR9!F111="","",SR9!F111)</f>
        <v/>
      </c>
      <c r="F108">
        <f>IF(SR9!I111="","",SR9!I111)</f>
        <v/>
      </c>
      <c r="G108">
        <f>IF(SR9!M111="","",SR9!M111)</f>
        <v/>
      </c>
      <c r="H108">
        <f>IF(SR9!N111="","",SR9!N111)</f>
        <v/>
      </c>
      <c r="I108">
        <f>IF(SR9!O111="","",SR9!O111)</f>
        <v/>
      </c>
      <c r="J108">
        <f>IF(D108="","",IF(F108="","",G108+ROW()/100000))</f>
        <v/>
      </c>
    </row>
    <row r="109">
      <c r="A109">
        <f>IF(SR9!D112="","","SR9")</f>
        <v/>
      </c>
      <c r="B109">
        <f>IF(SR9!C112="","",SR9!C112)</f>
        <v/>
      </c>
      <c r="C109">
        <f>IF(SR9!B112="","",SR9!B112)</f>
        <v/>
      </c>
      <c r="D109">
        <f>IF(SR9!D112="","",SR9!D112)</f>
        <v/>
      </c>
      <c r="E109">
        <f>IF(SR9!F112="","",SR9!F112)</f>
        <v/>
      </c>
      <c r="F109">
        <f>IF(SR9!I112="","",SR9!I112)</f>
        <v/>
      </c>
      <c r="G109">
        <f>IF(SR9!M112="","",SR9!M112)</f>
        <v/>
      </c>
      <c r="H109">
        <f>IF(SR9!N112="","",SR9!N112)</f>
        <v/>
      </c>
      <c r="I109">
        <f>IF(SR9!O112="","",SR9!O112)</f>
        <v/>
      </c>
      <c r="J109">
        <f>IF(D109="","",IF(F109="","",G109+ROW()/100000))</f>
        <v/>
      </c>
    </row>
    <row r="110">
      <c r="A110">
        <f>IF(SR9!D113="","","SR9")</f>
        <v/>
      </c>
      <c r="B110">
        <f>IF(SR9!C113="","",SR9!C113)</f>
        <v/>
      </c>
      <c r="C110">
        <f>IF(SR9!B113="","",SR9!B113)</f>
        <v/>
      </c>
      <c r="D110">
        <f>IF(SR9!D113="","",SR9!D113)</f>
        <v/>
      </c>
      <c r="E110">
        <f>IF(SR9!F113="","",SR9!F113)</f>
        <v/>
      </c>
      <c r="F110">
        <f>IF(SR9!I113="","",SR9!I113)</f>
        <v/>
      </c>
      <c r="G110">
        <f>IF(SR9!M113="","",SR9!M113)</f>
        <v/>
      </c>
      <c r="H110">
        <f>IF(SR9!N113="","",SR9!N113)</f>
        <v/>
      </c>
      <c r="I110">
        <f>IF(SR9!O113="","",SR9!O113)</f>
        <v/>
      </c>
      <c r="J110">
        <f>IF(D110="","",IF(F110="","",G110+ROW()/100000))</f>
        <v/>
      </c>
    </row>
    <row r="111">
      <c r="A111">
        <f>IF(SR9!D114="","","SR9")</f>
        <v/>
      </c>
      <c r="B111">
        <f>IF(SR9!C114="","",SR9!C114)</f>
        <v/>
      </c>
      <c r="C111">
        <f>IF(SR9!B114="","",SR9!B114)</f>
        <v/>
      </c>
      <c r="D111">
        <f>IF(SR9!D114="","",SR9!D114)</f>
        <v/>
      </c>
      <c r="E111">
        <f>IF(SR9!F114="","",SR9!F114)</f>
        <v/>
      </c>
      <c r="F111">
        <f>IF(SR9!I114="","",SR9!I114)</f>
        <v/>
      </c>
      <c r="G111">
        <f>IF(SR9!M114="","",SR9!M114)</f>
        <v/>
      </c>
      <c r="H111">
        <f>IF(SR9!N114="","",SR9!N114)</f>
        <v/>
      </c>
      <c r="I111">
        <f>IF(SR9!O114="","",SR9!O114)</f>
        <v/>
      </c>
      <c r="J111">
        <f>IF(D111="","",IF(F111="","",G111+ROW()/100000))</f>
        <v/>
      </c>
    </row>
    <row r="112">
      <c r="A112">
        <f>IF(SR9!D115="","","SR9")</f>
        <v/>
      </c>
      <c r="B112">
        <f>IF(SR9!C115="","",SR9!C115)</f>
        <v/>
      </c>
      <c r="C112">
        <f>IF(SR9!B115="","",SR9!B115)</f>
        <v/>
      </c>
      <c r="D112">
        <f>IF(SR9!D115="","",SR9!D115)</f>
        <v/>
      </c>
      <c r="E112">
        <f>IF(SR9!F115="","",SR9!F115)</f>
        <v/>
      </c>
      <c r="F112">
        <f>IF(SR9!I115="","",SR9!I115)</f>
        <v/>
      </c>
      <c r="G112">
        <f>IF(SR9!M115="","",SR9!M115)</f>
        <v/>
      </c>
      <c r="H112">
        <f>IF(SR9!N115="","",SR9!N115)</f>
        <v/>
      </c>
      <c r="I112">
        <f>IF(SR9!O115="","",SR9!O115)</f>
        <v/>
      </c>
      <c r="J112">
        <f>IF(D112="","",IF(F112="","",G112+ROW()/100000))</f>
        <v/>
      </c>
    </row>
    <row r="113">
      <c r="A113">
        <f>IF(SR9!D116="","","SR9")</f>
        <v/>
      </c>
      <c r="B113">
        <f>IF(SR9!C116="","",SR9!C116)</f>
        <v/>
      </c>
      <c r="C113">
        <f>IF(SR9!B116="","",SR9!B116)</f>
        <v/>
      </c>
      <c r="D113">
        <f>IF(SR9!D116="","",SR9!D116)</f>
        <v/>
      </c>
      <c r="E113">
        <f>IF(SR9!F116="","",SR9!F116)</f>
        <v/>
      </c>
      <c r="F113">
        <f>IF(SR9!I116="","",SR9!I116)</f>
        <v/>
      </c>
      <c r="G113">
        <f>IF(SR9!M116="","",SR9!M116)</f>
        <v/>
      </c>
      <c r="H113">
        <f>IF(SR9!N116="","",SR9!N116)</f>
        <v/>
      </c>
      <c r="I113">
        <f>IF(SR9!O116="","",SR9!O116)</f>
        <v/>
      </c>
      <c r="J113">
        <f>IF(D113="","",IF(F113="","",G113+ROW()/100000))</f>
        <v/>
      </c>
    </row>
    <row r="114">
      <c r="A114">
        <f>IF(SR9!D117="","","SR9")</f>
        <v/>
      </c>
      <c r="B114">
        <f>IF(SR9!C117="","",SR9!C117)</f>
        <v/>
      </c>
      <c r="C114">
        <f>IF(SR9!B117="","",SR9!B117)</f>
        <v/>
      </c>
      <c r="D114">
        <f>IF(SR9!D117="","",SR9!D117)</f>
        <v/>
      </c>
      <c r="E114">
        <f>IF(SR9!F117="","",SR9!F117)</f>
        <v/>
      </c>
      <c r="F114">
        <f>IF(SR9!I117="","",SR9!I117)</f>
        <v/>
      </c>
      <c r="G114">
        <f>IF(SR9!M117="","",SR9!M117)</f>
        <v/>
      </c>
      <c r="H114">
        <f>IF(SR9!N117="","",SR9!N117)</f>
        <v/>
      </c>
      <c r="I114">
        <f>IF(SR9!O117="","",SR9!O117)</f>
        <v/>
      </c>
      <c r="J114">
        <f>IF(D114="","",IF(F114="","",G114+ROW()/100000))</f>
        <v/>
      </c>
    </row>
    <row r="115">
      <c r="A115">
        <f>IF(SR9!D118="","","SR9")</f>
        <v/>
      </c>
      <c r="B115">
        <f>IF(SR9!C118="","",SR9!C118)</f>
        <v/>
      </c>
      <c r="C115">
        <f>IF(SR9!B118="","",SR9!B118)</f>
        <v/>
      </c>
      <c r="D115">
        <f>IF(SR9!D118="","",SR9!D118)</f>
        <v/>
      </c>
      <c r="E115">
        <f>IF(SR9!F118="","",SR9!F118)</f>
        <v/>
      </c>
      <c r="F115">
        <f>IF(SR9!I118="","",SR9!I118)</f>
        <v/>
      </c>
      <c r="G115">
        <f>IF(SR9!M118="","",SR9!M118)</f>
        <v/>
      </c>
      <c r="H115">
        <f>IF(SR9!N118="","",SR9!N118)</f>
        <v/>
      </c>
      <c r="I115">
        <f>IF(SR9!O118="","",SR9!O118)</f>
        <v/>
      </c>
      <c r="J115">
        <f>IF(D115="","",IF(F115="","",G115+ROW()/100000))</f>
        <v/>
      </c>
    </row>
    <row r="116">
      <c r="A116">
        <f>IF(SR9!D119="","","SR9")</f>
        <v/>
      </c>
      <c r="B116">
        <f>IF(SR9!C119="","",SR9!C119)</f>
        <v/>
      </c>
      <c r="C116">
        <f>IF(SR9!B119="","",SR9!B119)</f>
        <v/>
      </c>
      <c r="D116">
        <f>IF(SR9!D119="","",SR9!D119)</f>
        <v/>
      </c>
      <c r="E116">
        <f>IF(SR9!F119="","",SR9!F119)</f>
        <v/>
      </c>
      <c r="F116">
        <f>IF(SR9!I119="","",SR9!I119)</f>
        <v/>
      </c>
      <c r="G116">
        <f>IF(SR9!M119="","",SR9!M119)</f>
        <v/>
      </c>
      <c r="H116">
        <f>IF(SR9!N119="","",SR9!N119)</f>
        <v/>
      </c>
      <c r="I116">
        <f>IF(SR9!O119="","",SR9!O119)</f>
        <v/>
      </c>
      <c r="J116">
        <f>IF(D116="","",IF(F116="","",G116+ROW()/100000))</f>
        <v/>
      </c>
    </row>
    <row r="117">
      <c r="A117">
        <f>IF(SR9!D120="","","SR9")</f>
        <v/>
      </c>
      <c r="B117">
        <f>IF(SR9!C120="","",SR9!C120)</f>
        <v/>
      </c>
      <c r="C117">
        <f>IF(SR9!B120="","",SR9!B120)</f>
        <v/>
      </c>
      <c r="D117">
        <f>IF(SR9!D120="","",SR9!D120)</f>
        <v/>
      </c>
      <c r="E117">
        <f>IF(SR9!F120="","",SR9!F120)</f>
        <v/>
      </c>
      <c r="F117">
        <f>IF(SR9!I120="","",SR9!I120)</f>
        <v/>
      </c>
      <c r="G117">
        <f>IF(SR9!M120="","",SR9!M120)</f>
        <v/>
      </c>
      <c r="H117">
        <f>IF(SR9!N120="","",SR9!N120)</f>
        <v/>
      </c>
      <c r="I117">
        <f>IF(SR9!O120="","",SR9!O120)</f>
        <v/>
      </c>
      <c r="J117">
        <f>IF(D117="","",IF(F117="","",G117+ROW()/100000))</f>
        <v/>
      </c>
    </row>
    <row r="118">
      <c r="A118">
        <f>IF(SR9!D121="","","SR9")</f>
        <v/>
      </c>
      <c r="B118">
        <f>IF(SR9!C121="","",SR9!C121)</f>
        <v/>
      </c>
      <c r="C118">
        <f>IF(SR9!B121="","",SR9!B121)</f>
        <v/>
      </c>
      <c r="D118">
        <f>IF(SR9!D121="","",SR9!D121)</f>
        <v/>
      </c>
      <c r="E118">
        <f>IF(SR9!F121="","",SR9!F121)</f>
        <v/>
      </c>
      <c r="F118">
        <f>IF(SR9!I121="","",SR9!I121)</f>
        <v/>
      </c>
      <c r="G118">
        <f>IF(SR9!M121="","",SR9!M121)</f>
        <v/>
      </c>
      <c r="H118">
        <f>IF(SR9!N121="","",SR9!N121)</f>
        <v/>
      </c>
      <c r="I118">
        <f>IF(SR9!O121="","",SR9!O121)</f>
        <v/>
      </c>
      <c r="J118">
        <f>IF(D118="","",IF(F118="","",G118+ROW()/100000))</f>
        <v/>
      </c>
    </row>
    <row r="119">
      <c r="A119">
        <f>IF(SR9!D122="","","SR9")</f>
        <v/>
      </c>
      <c r="B119">
        <f>IF(SR9!C122="","",SR9!C122)</f>
        <v/>
      </c>
      <c r="C119">
        <f>IF(SR9!B122="","",SR9!B122)</f>
        <v/>
      </c>
      <c r="D119">
        <f>IF(SR9!D122="","",SR9!D122)</f>
        <v/>
      </c>
      <c r="E119">
        <f>IF(SR9!F122="","",SR9!F122)</f>
        <v/>
      </c>
      <c r="F119">
        <f>IF(SR9!I122="","",SR9!I122)</f>
        <v/>
      </c>
      <c r="G119">
        <f>IF(SR9!M122="","",SR9!M122)</f>
        <v/>
      </c>
      <c r="H119">
        <f>IF(SR9!N122="","",SR9!N122)</f>
        <v/>
      </c>
      <c r="I119">
        <f>IF(SR9!O122="","",SR9!O122)</f>
        <v/>
      </c>
      <c r="J119">
        <f>IF(D119="","",IF(F119="","",G119+ROW()/100000))</f>
        <v/>
      </c>
    </row>
    <row r="120">
      <c r="A120">
        <f>IF(SR9!D123="","","SR9")</f>
        <v/>
      </c>
      <c r="B120">
        <f>IF(SR9!C123="","",SR9!C123)</f>
        <v/>
      </c>
      <c r="C120">
        <f>IF(SR9!B123="","",SR9!B123)</f>
        <v/>
      </c>
      <c r="D120">
        <f>IF(SR9!D123="","",SR9!D123)</f>
        <v/>
      </c>
      <c r="E120">
        <f>IF(SR9!F123="","",SR9!F123)</f>
        <v/>
      </c>
      <c r="F120">
        <f>IF(SR9!I123="","",SR9!I123)</f>
        <v/>
      </c>
      <c r="G120">
        <f>IF(SR9!M123="","",SR9!M123)</f>
        <v/>
      </c>
      <c r="H120">
        <f>IF(SR9!N123="","",SR9!N123)</f>
        <v/>
      </c>
      <c r="I120">
        <f>IF(SR9!O123="","",SR9!O123)</f>
        <v/>
      </c>
      <c r="J120">
        <f>IF(D120="","",IF(F120="","",G120+ROW()/100000))</f>
        <v/>
      </c>
    </row>
    <row r="121">
      <c r="A121">
        <f>IF(SR9!D124="","","SR9")</f>
        <v/>
      </c>
      <c r="B121">
        <f>IF(SR9!C124="","",SR9!C124)</f>
        <v/>
      </c>
      <c r="C121">
        <f>IF(SR9!B124="","",SR9!B124)</f>
        <v/>
      </c>
      <c r="D121">
        <f>IF(SR9!D124="","",SR9!D124)</f>
        <v/>
      </c>
      <c r="E121">
        <f>IF(SR9!F124="","",SR9!F124)</f>
        <v/>
      </c>
      <c r="F121">
        <f>IF(SR9!I124="","",SR9!I124)</f>
        <v/>
      </c>
      <c r="G121">
        <f>IF(SR9!M124="","",SR9!M124)</f>
        <v/>
      </c>
      <c r="H121">
        <f>IF(SR9!N124="","",SR9!N124)</f>
        <v/>
      </c>
      <c r="I121">
        <f>IF(SR9!O124="","",SR9!O124)</f>
        <v/>
      </c>
      <c r="J121">
        <f>IF(D121="","",IF(F121="","",G121+ROW()/100000))</f>
        <v/>
      </c>
    </row>
    <row r="122">
      <c r="A122">
        <f>IF(AES!D5="","","AES")</f>
        <v/>
      </c>
      <c r="B122">
        <f>IF(AES!C5="","",AES!C5)</f>
        <v/>
      </c>
      <c r="C122">
        <f>IF(AES!B5="","",AES!B5)</f>
        <v/>
      </c>
      <c r="D122">
        <f>IF(AES!D5="","",AES!D5)</f>
        <v/>
      </c>
      <c r="E122">
        <f>IF(AES!F5="","",AES!F5)</f>
        <v/>
      </c>
      <c r="F122">
        <f>IF(AES!I5="","",AES!I5)</f>
        <v/>
      </c>
      <c r="G122">
        <f>IF(AES!M5="","",AES!M5)</f>
        <v/>
      </c>
      <c r="H122">
        <f>IF(AES!N5="","",AES!N5)</f>
        <v/>
      </c>
      <c r="I122">
        <f>IF(AES!O5="","",AES!O5)</f>
        <v/>
      </c>
      <c r="J122">
        <f>IF(D122="","",IF(F122="","",G122+ROW()/100000))</f>
        <v/>
      </c>
    </row>
    <row r="123">
      <c r="A123">
        <f>IF(AES!D6="","","AES")</f>
        <v/>
      </c>
      <c r="B123">
        <f>IF(AES!C6="","",AES!C6)</f>
        <v/>
      </c>
      <c r="C123">
        <f>IF(AES!B6="","",AES!B6)</f>
        <v/>
      </c>
      <c r="D123">
        <f>IF(AES!D6="","",AES!D6)</f>
        <v/>
      </c>
      <c r="E123">
        <f>IF(AES!F6="","",AES!F6)</f>
        <v/>
      </c>
      <c r="F123">
        <f>IF(AES!I6="","",AES!I6)</f>
        <v/>
      </c>
      <c r="G123">
        <f>IF(AES!M6="","",AES!M6)</f>
        <v/>
      </c>
      <c r="H123">
        <f>IF(AES!N6="","",AES!N6)</f>
        <v/>
      </c>
      <c r="I123">
        <f>IF(AES!O6="","",AES!O6)</f>
        <v/>
      </c>
      <c r="J123">
        <f>IF(D123="","",IF(F123="","",G123+ROW()/100000))</f>
        <v/>
      </c>
    </row>
    <row r="124">
      <c r="A124">
        <f>IF(AES!D7="","","AES")</f>
        <v/>
      </c>
      <c r="B124">
        <f>IF(AES!C7="","",AES!C7)</f>
        <v/>
      </c>
      <c r="C124">
        <f>IF(AES!B7="","",AES!B7)</f>
        <v/>
      </c>
      <c r="D124">
        <f>IF(AES!D7="","",AES!D7)</f>
        <v/>
      </c>
      <c r="E124">
        <f>IF(AES!F7="","",AES!F7)</f>
        <v/>
      </c>
      <c r="F124">
        <f>IF(AES!I7="","",AES!I7)</f>
        <v/>
      </c>
      <c r="G124">
        <f>IF(AES!M7="","",AES!M7)</f>
        <v/>
      </c>
      <c r="H124">
        <f>IF(AES!N7="","",AES!N7)</f>
        <v/>
      </c>
      <c r="I124">
        <f>IF(AES!O7="","",AES!O7)</f>
        <v/>
      </c>
      <c r="J124">
        <f>IF(D124="","",IF(F124="","",G124+ROW()/100000))</f>
        <v/>
      </c>
    </row>
    <row r="125">
      <c r="A125">
        <f>IF(AES!D8="","","AES")</f>
        <v/>
      </c>
      <c r="B125">
        <f>IF(AES!C8="","",AES!C8)</f>
        <v/>
      </c>
      <c r="C125">
        <f>IF(AES!B8="","",AES!B8)</f>
        <v/>
      </c>
      <c r="D125">
        <f>IF(AES!D8="","",AES!D8)</f>
        <v/>
      </c>
      <c r="E125">
        <f>IF(AES!F8="","",AES!F8)</f>
        <v/>
      </c>
      <c r="F125">
        <f>IF(AES!I8="","",AES!I8)</f>
        <v/>
      </c>
      <c r="G125">
        <f>IF(AES!M8="","",AES!M8)</f>
        <v/>
      </c>
      <c r="H125">
        <f>IF(AES!N8="","",AES!N8)</f>
        <v/>
      </c>
      <c r="I125">
        <f>IF(AES!O8="","",AES!O8)</f>
        <v/>
      </c>
      <c r="J125">
        <f>IF(D125="","",IF(F125="","",G125+ROW()/100000))</f>
        <v/>
      </c>
    </row>
    <row r="126">
      <c r="A126">
        <f>IF(AES!D9="","","AES")</f>
        <v/>
      </c>
      <c r="B126">
        <f>IF(AES!C9="","",AES!C9)</f>
        <v/>
      </c>
      <c r="C126">
        <f>IF(AES!B9="","",AES!B9)</f>
        <v/>
      </c>
      <c r="D126">
        <f>IF(AES!D9="","",AES!D9)</f>
        <v/>
      </c>
      <c r="E126">
        <f>IF(AES!F9="","",AES!F9)</f>
        <v/>
      </c>
      <c r="F126">
        <f>IF(AES!I9="","",AES!I9)</f>
        <v/>
      </c>
      <c r="G126">
        <f>IF(AES!M9="","",AES!M9)</f>
        <v/>
      </c>
      <c r="H126">
        <f>IF(AES!N9="","",AES!N9)</f>
        <v/>
      </c>
      <c r="I126">
        <f>IF(AES!O9="","",AES!O9)</f>
        <v/>
      </c>
      <c r="J126">
        <f>IF(D126="","",IF(F126="","",G126+ROW()/100000))</f>
        <v/>
      </c>
    </row>
    <row r="127">
      <c r="A127">
        <f>IF(AES!D10="","","AES")</f>
        <v/>
      </c>
      <c r="B127">
        <f>IF(AES!C10="","",AES!C10)</f>
        <v/>
      </c>
      <c r="C127">
        <f>IF(AES!B10="","",AES!B10)</f>
        <v/>
      </c>
      <c r="D127">
        <f>IF(AES!D10="","",AES!D10)</f>
        <v/>
      </c>
      <c r="E127">
        <f>IF(AES!F10="","",AES!F10)</f>
        <v/>
      </c>
      <c r="F127">
        <f>IF(AES!I10="","",AES!I10)</f>
        <v/>
      </c>
      <c r="G127">
        <f>IF(AES!M10="","",AES!M10)</f>
        <v/>
      </c>
      <c r="H127">
        <f>IF(AES!N10="","",AES!N10)</f>
        <v/>
      </c>
      <c r="I127">
        <f>IF(AES!O10="","",AES!O10)</f>
        <v/>
      </c>
      <c r="J127">
        <f>IF(D127="","",IF(F127="","",G127+ROW()/100000))</f>
        <v/>
      </c>
    </row>
    <row r="128">
      <c r="A128">
        <f>IF(AES!D11="","","AES")</f>
        <v/>
      </c>
      <c r="B128">
        <f>IF(AES!C11="","",AES!C11)</f>
        <v/>
      </c>
      <c r="C128">
        <f>IF(AES!B11="","",AES!B11)</f>
        <v/>
      </c>
      <c r="D128">
        <f>IF(AES!D11="","",AES!D11)</f>
        <v/>
      </c>
      <c r="E128">
        <f>IF(AES!F11="","",AES!F11)</f>
        <v/>
      </c>
      <c r="F128">
        <f>IF(AES!I11="","",AES!I11)</f>
        <v/>
      </c>
      <c r="G128">
        <f>IF(AES!M11="","",AES!M11)</f>
        <v/>
      </c>
      <c r="H128">
        <f>IF(AES!N11="","",AES!N11)</f>
        <v/>
      </c>
      <c r="I128">
        <f>IF(AES!O11="","",AES!O11)</f>
        <v/>
      </c>
      <c r="J128">
        <f>IF(D128="","",IF(F128="","",G128+ROW()/100000))</f>
        <v/>
      </c>
    </row>
    <row r="129">
      <c r="A129">
        <f>IF(AES!D12="","","AES")</f>
        <v/>
      </c>
      <c r="B129">
        <f>IF(AES!C12="","",AES!C12)</f>
        <v/>
      </c>
      <c r="C129">
        <f>IF(AES!B12="","",AES!B12)</f>
        <v/>
      </c>
      <c r="D129">
        <f>IF(AES!D12="","",AES!D12)</f>
        <v/>
      </c>
      <c r="E129">
        <f>IF(AES!F12="","",AES!F12)</f>
        <v/>
      </c>
      <c r="F129">
        <f>IF(AES!I12="","",AES!I12)</f>
        <v/>
      </c>
      <c r="G129">
        <f>IF(AES!M12="","",AES!M12)</f>
        <v/>
      </c>
      <c r="H129">
        <f>IF(AES!N12="","",AES!N12)</f>
        <v/>
      </c>
      <c r="I129">
        <f>IF(AES!O12="","",AES!O12)</f>
        <v/>
      </c>
      <c r="J129">
        <f>IF(D129="","",IF(F129="","",G129+ROW()/100000))</f>
        <v/>
      </c>
    </row>
    <row r="130">
      <c r="A130">
        <f>IF(AES!D13="","","AES")</f>
        <v/>
      </c>
      <c r="B130">
        <f>IF(AES!C13="","",AES!C13)</f>
        <v/>
      </c>
      <c r="C130">
        <f>IF(AES!B13="","",AES!B13)</f>
        <v/>
      </c>
      <c r="D130">
        <f>IF(AES!D13="","",AES!D13)</f>
        <v/>
      </c>
      <c r="E130">
        <f>IF(AES!F13="","",AES!F13)</f>
        <v/>
      </c>
      <c r="F130">
        <f>IF(AES!I13="","",AES!I13)</f>
        <v/>
      </c>
      <c r="G130">
        <f>IF(AES!M13="","",AES!M13)</f>
        <v/>
      </c>
      <c r="H130">
        <f>IF(AES!N13="","",AES!N13)</f>
        <v/>
      </c>
      <c r="I130">
        <f>IF(AES!O13="","",AES!O13)</f>
        <v/>
      </c>
      <c r="J130">
        <f>IF(D130="","",IF(F130="","",G130+ROW()/100000))</f>
        <v/>
      </c>
    </row>
    <row r="131">
      <c r="A131">
        <f>IF(AES!D14="","","AES")</f>
        <v/>
      </c>
      <c r="B131">
        <f>IF(AES!C14="","",AES!C14)</f>
        <v/>
      </c>
      <c r="C131">
        <f>IF(AES!B14="","",AES!B14)</f>
        <v/>
      </c>
      <c r="D131">
        <f>IF(AES!D14="","",AES!D14)</f>
        <v/>
      </c>
      <c r="E131">
        <f>IF(AES!F14="","",AES!F14)</f>
        <v/>
      </c>
      <c r="F131">
        <f>IF(AES!I14="","",AES!I14)</f>
        <v/>
      </c>
      <c r="G131">
        <f>IF(AES!M14="","",AES!M14)</f>
        <v/>
      </c>
      <c r="H131">
        <f>IF(AES!N14="","",AES!N14)</f>
        <v/>
      </c>
      <c r="I131">
        <f>IF(AES!O14="","",AES!O14)</f>
        <v/>
      </c>
      <c r="J131">
        <f>IF(D131="","",IF(F131="","",G131+ROW()/100000))</f>
        <v/>
      </c>
    </row>
    <row r="132">
      <c r="A132">
        <f>IF(AES!D15="","","AES")</f>
        <v/>
      </c>
      <c r="B132">
        <f>IF(AES!C15="","",AES!C15)</f>
        <v/>
      </c>
      <c r="C132">
        <f>IF(AES!B15="","",AES!B15)</f>
        <v/>
      </c>
      <c r="D132">
        <f>IF(AES!D15="","",AES!D15)</f>
        <v/>
      </c>
      <c r="E132">
        <f>IF(AES!F15="","",AES!F15)</f>
        <v/>
      </c>
      <c r="F132">
        <f>IF(AES!I15="","",AES!I15)</f>
        <v/>
      </c>
      <c r="G132">
        <f>IF(AES!M15="","",AES!M15)</f>
        <v/>
      </c>
      <c r="H132">
        <f>IF(AES!N15="","",AES!N15)</f>
        <v/>
      </c>
      <c r="I132">
        <f>IF(AES!O15="","",AES!O15)</f>
        <v/>
      </c>
      <c r="J132">
        <f>IF(D132="","",IF(F132="","",G132+ROW()/100000))</f>
        <v/>
      </c>
    </row>
    <row r="133">
      <c r="A133">
        <f>IF(AES!D16="","","AES")</f>
        <v/>
      </c>
      <c r="B133">
        <f>IF(AES!C16="","",AES!C16)</f>
        <v/>
      </c>
      <c r="C133">
        <f>IF(AES!B16="","",AES!B16)</f>
        <v/>
      </c>
      <c r="D133">
        <f>IF(AES!D16="","",AES!D16)</f>
        <v/>
      </c>
      <c r="E133">
        <f>IF(AES!F16="","",AES!F16)</f>
        <v/>
      </c>
      <c r="F133">
        <f>IF(AES!I16="","",AES!I16)</f>
        <v/>
      </c>
      <c r="G133">
        <f>IF(AES!M16="","",AES!M16)</f>
        <v/>
      </c>
      <c r="H133">
        <f>IF(AES!N16="","",AES!N16)</f>
        <v/>
      </c>
      <c r="I133">
        <f>IF(AES!O16="","",AES!O16)</f>
        <v/>
      </c>
      <c r="J133">
        <f>IF(D133="","",IF(F133="","",G133+ROW()/100000))</f>
        <v/>
      </c>
    </row>
    <row r="134">
      <c r="A134">
        <f>IF(AES!D17="","","AES")</f>
        <v/>
      </c>
      <c r="B134">
        <f>IF(AES!C17="","",AES!C17)</f>
        <v/>
      </c>
      <c r="C134">
        <f>IF(AES!B17="","",AES!B17)</f>
        <v/>
      </c>
      <c r="D134">
        <f>IF(AES!D17="","",AES!D17)</f>
        <v/>
      </c>
      <c r="E134">
        <f>IF(AES!F17="","",AES!F17)</f>
        <v/>
      </c>
      <c r="F134">
        <f>IF(AES!I17="","",AES!I17)</f>
        <v/>
      </c>
      <c r="G134">
        <f>IF(AES!M17="","",AES!M17)</f>
        <v/>
      </c>
      <c r="H134">
        <f>IF(AES!N17="","",AES!N17)</f>
        <v/>
      </c>
      <c r="I134">
        <f>IF(AES!O17="","",AES!O17)</f>
        <v/>
      </c>
      <c r="J134">
        <f>IF(D134="","",IF(F134="","",G134+ROW()/100000))</f>
        <v/>
      </c>
    </row>
    <row r="135">
      <c r="A135">
        <f>IF(AES!D18="","","AES")</f>
        <v/>
      </c>
      <c r="B135">
        <f>IF(AES!C18="","",AES!C18)</f>
        <v/>
      </c>
      <c r="C135">
        <f>IF(AES!B18="","",AES!B18)</f>
        <v/>
      </c>
      <c r="D135">
        <f>IF(AES!D18="","",AES!D18)</f>
        <v/>
      </c>
      <c r="E135">
        <f>IF(AES!F18="","",AES!F18)</f>
        <v/>
      </c>
      <c r="F135">
        <f>IF(AES!I18="","",AES!I18)</f>
        <v/>
      </c>
      <c r="G135">
        <f>IF(AES!M18="","",AES!M18)</f>
        <v/>
      </c>
      <c r="H135">
        <f>IF(AES!N18="","",AES!N18)</f>
        <v/>
      </c>
      <c r="I135">
        <f>IF(AES!O18="","",AES!O18)</f>
        <v/>
      </c>
      <c r="J135">
        <f>IF(D135="","",IF(F135="","",G135+ROW()/100000))</f>
        <v/>
      </c>
    </row>
    <row r="136">
      <c r="A136">
        <f>IF(AES!D19="","","AES")</f>
        <v/>
      </c>
      <c r="B136">
        <f>IF(AES!C19="","",AES!C19)</f>
        <v/>
      </c>
      <c r="C136">
        <f>IF(AES!B19="","",AES!B19)</f>
        <v/>
      </c>
      <c r="D136">
        <f>IF(AES!D19="","",AES!D19)</f>
        <v/>
      </c>
      <c r="E136">
        <f>IF(AES!F19="","",AES!F19)</f>
        <v/>
      </c>
      <c r="F136">
        <f>IF(AES!I19="","",AES!I19)</f>
        <v/>
      </c>
      <c r="G136">
        <f>IF(AES!M19="","",AES!M19)</f>
        <v/>
      </c>
      <c r="H136">
        <f>IF(AES!N19="","",AES!N19)</f>
        <v/>
      </c>
      <c r="I136">
        <f>IF(AES!O19="","",AES!O19)</f>
        <v/>
      </c>
      <c r="J136">
        <f>IF(D136="","",IF(F136="","",G136+ROW()/100000))</f>
        <v/>
      </c>
    </row>
    <row r="137">
      <c r="A137">
        <f>IF(AES!D20="","","AES")</f>
        <v/>
      </c>
      <c r="B137">
        <f>IF(AES!C20="","",AES!C20)</f>
        <v/>
      </c>
      <c r="C137">
        <f>IF(AES!B20="","",AES!B20)</f>
        <v/>
      </c>
      <c r="D137">
        <f>IF(AES!D20="","",AES!D20)</f>
        <v/>
      </c>
      <c r="E137">
        <f>IF(AES!F20="","",AES!F20)</f>
        <v/>
      </c>
      <c r="F137">
        <f>IF(AES!I20="","",AES!I20)</f>
        <v/>
      </c>
      <c r="G137">
        <f>IF(AES!M20="","",AES!M20)</f>
        <v/>
      </c>
      <c r="H137">
        <f>IF(AES!N20="","",AES!N20)</f>
        <v/>
      </c>
      <c r="I137">
        <f>IF(AES!O20="","",AES!O20)</f>
        <v/>
      </c>
      <c r="J137">
        <f>IF(D137="","",IF(F137="","",G137+ROW()/100000))</f>
        <v/>
      </c>
    </row>
    <row r="138">
      <c r="A138">
        <f>IF(AES!D21="","","AES")</f>
        <v/>
      </c>
      <c r="B138">
        <f>IF(AES!C21="","",AES!C21)</f>
        <v/>
      </c>
      <c r="C138">
        <f>IF(AES!B21="","",AES!B21)</f>
        <v/>
      </c>
      <c r="D138">
        <f>IF(AES!D21="","",AES!D21)</f>
        <v/>
      </c>
      <c r="E138">
        <f>IF(AES!F21="","",AES!F21)</f>
        <v/>
      </c>
      <c r="F138">
        <f>IF(AES!I21="","",AES!I21)</f>
        <v/>
      </c>
      <c r="G138">
        <f>IF(AES!M21="","",AES!M21)</f>
        <v/>
      </c>
      <c r="H138">
        <f>IF(AES!N21="","",AES!N21)</f>
        <v/>
      </c>
      <c r="I138">
        <f>IF(AES!O21="","",AES!O21)</f>
        <v/>
      </c>
      <c r="J138">
        <f>IF(D138="","",IF(F138="","",G138+ROW()/100000))</f>
        <v/>
      </c>
    </row>
    <row r="139">
      <c r="A139">
        <f>IF(AES!D22="","","AES")</f>
        <v/>
      </c>
      <c r="B139">
        <f>IF(AES!C22="","",AES!C22)</f>
        <v/>
      </c>
      <c r="C139">
        <f>IF(AES!B22="","",AES!B22)</f>
        <v/>
      </c>
      <c r="D139">
        <f>IF(AES!D22="","",AES!D22)</f>
        <v/>
      </c>
      <c r="E139">
        <f>IF(AES!F22="","",AES!F22)</f>
        <v/>
      </c>
      <c r="F139">
        <f>IF(AES!I22="","",AES!I22)</f>
        <v/>
      </c>
      <c r="G139">
        <f>IF(AES!M22="","",AES!M22)</f>
        <v/>
      </c>
      <c r="H139">
        <f>IF(AES!N22="","",AES!N22)</f>
        <v/>
      </c>
      <c r="I139">
        <f>IF(AES!O22="","",AES!O22)</f>
        <v/>
      </c>
      <c r="J139">
        <f>IF(D139="","",IF(F139="","",G139+ROW()/100000))</f>
        <v/>
      </c>
    </row>
    <row r="140">
      <c r="A140">
        <f>IF(AES!D23="","","AES")</f>
        <v/>
      </c>
      <c r="B140">
        <f>IF(AES!C23="","",AES!C23)</f>
        <v/>
      </c>
      <c r="C140">
        <f>IF(AES!B23="","",AES!B23)</f>
        <v/>
      </c>
      <c r="D140">
        <f>IF(AES!D23="","",AES!D23)</f>
        <v/>
      </c>
      <c r="E140">
        <f>IF(AES!F23="","",AES!F23)</f>
        <v/>
      </c>
      <c r="F140">
        <f>IF(AES!I23="","",AES!I23)</f>
        <v/>
      </c>
      <c r="G140">
        <f>IF(AES!M23="","",AES!M23)</f>
        <v/>
      </c>
      <c r="H140">
        <f>IF(AES!N23="","",AES!N23)</f>
        <v/>
      </c>
      <c r="I140">
        <f>IF(AES!O23="","",AES!O23)</f>
        <v/>
      </c>
      <c r="J140">
        <f>IF(D140="","",IF(F140="","",G140+ROW()/100000))</f>
        <v/>
      </c>
    </row>
    <row r="141">
      <c r="A141">
        <f>IF(AES!D24="","","AES")</f>
        <v/>
      </c>
      <c r="B141">
        <f>IF(AES!C24="","",AES!C24)</f>
        <v/>
      </c>
      <c r="C141">
        <f>IF(AES!B24="","",AES!B24)</f>
        <v/>
      </c>
      <c r="D141">
        <f>IF(AES!D24="","",AES!D24)</f>
        <v/>
      </c>
      <c r="E141">
        <f>IF(AES!F24="","",AES!F24)</f>
        <v/>
      </c>
      <c r="F141">
        <f>IF(AES!I24="","",AES!I24)</f>
        <v/>
      </c>
      <c r="G141">
        <f>IF(AES!M24="","",AES!M24)</f>
        <v/>
      </c>
      <c r="H141">
        <f>IF(AES!N24="","",AES!N24)</f>
        <v/>
      </c>
      <c r="I141">
        <f>IF(AES!O24="","",AES!O24)</f>
        <v/>
      </c>
      <c r="J141">
        <f>IF(D141="","",IF(F141="","",G141+ROW()/100000))</f>
        <v/>
      </c>
    </row>
    <row r="142">
      <c r="A142">
        <f>IF(AES!D25="","","AES")</f>
        <v/>
      </c>
      <c r="B142">
        <f>IF(AES!C25="","",AES!C25)</f>
        <v/>
      </c>
      <c r="C142">
        <f>IF(AES!B25="","",AES!B25)</f>
        <v/>
      </c>
      <c r="D142">
        <f>IF(AES!D25="","",AES!D25)</f>
        <v/>
      </c>
      <c r="E142">
        <f>IF(AES!F25="","",AES!F25)</f>
        <v/>
      </c>
      <c r="F142">
        <f>IF(AES!I25="","",AES!I25)</f>
        <v/>
      </c>
      <c r="G142">
        <f>IF(AES!M25="","",AES!M25)</f>
        <v/>
      </c>
      <c r="H142">
        <f>IF(AES!N25="","",AES!N25)</f>
        <v/>
      </c>
      <c r="I142">
        <f>IF(AES!O25="","",AES!O25)</f>
        <v/>
      </c>
      <c r="J142">
        <f>IF(D142="","",IF(F142="","",G142+ROW()/100000))</f>
        <v/>
      </c>
    </row>
    <row r="143">
      <c r="A143">
        <f>IF(AES!D26="","","AES")</f>
        <v/>
      </c>
      <c r="B143">
        <f>IF(AES!C26="","",AES!C26)</f>
        <v/>
      </c>
      <c r="C143">
        <f>IF(AES!B26="","",AES!B26)</f>
        <v/>
      </c>
      <c r="D143">
        <f>IF(AES!D26="","",AES!D26)</f>
        <v/>
      </c>
      <c r="E143">
        <f>IF(AES!F26="","",AES!F26)</f>
        <v/>
      </c>
      <c r="F143">
        <f>IF(AES!I26="","",AES!I26)</f>
        <v/>
      </c>
      <c r="G143">
        <f>IF(AES!M26="","",AES!M26)</f>
        <v/>
      </c>
      <c r="H143">
        <f>IF(AES!N26="","",AES!N26)</f>
        <v/>
      </c>
      <c r="I143">
        <f>IF(AES!O26="","",AES!O26)</f>
        <v/>
      </c>
      <c r="J143">
        <f>IF(D143="","",IF(F143="","",G143+ROW()/100000))</f>
        <v/>
      </c>
    </row>
    <row r="144">
      <c r="A144">
        <f>IF(AES!D27="","","AES")</f>
        <v/>
      </c>
      <c r="B144">
        <f>IF(AES!C27="","",AES!C27)</f>
        <v/>
      </c>
      <c r="C144">
        <f>IF(AES!B27="","",AES!B27)</f>
        <v/>
      </c>
      <c r="D144">
        <f>IF(AES!D27="","",AES!D27)</f>
        <v/>
      </c>
      <c r="E144">
        <f>IF(AES!F27="","",AES!F27)</f>
        <v/>
      </c>
      <c r="F144">
        <f>IF(AES!I27="","",AES!I27)</f>
        <v/>
      </c>
      <c r="G144">
        <f>IF(AES!M27="","",AES!M27)</f>
        <v/>
      </c>
      <c r="H144">
        <f>IF(AES!N27="","",AES!N27)</f>
        <v/>
      </c>
      <c r="I144">
        <f>IF(AES!O27="","",AES!O27)</f>
        <v/>
      </c>
      <c r="J144">
        <f>IF(D144="","",IF(F144="","",G144+ROW()/100000))</f>
        <v/>
      </c>
    </row>
    <row r="145">
      <c r="A145">
        <f>IF(AES!D28="","","AES")</f>
        <v/>
      </c>
      <c r="B145">
        <f>IF(AES!C28="","",AES!C28)</f>
        <v/>
      </c>
      <c r="C145">
        <f>IF(AES!B28="","",AES!B28)</f>
        <v/>
      </c>
      <c r="D145">
        <f>IF(AES!D28="","",AES!D28)</f>
        <v/>
      </c>
      <c r="E145">
        <f>IF(AES!F28="","",AES!F28)</f>
        <v/>
      </c>
      <c r="F145">
        <f>IF(AES!I28="","",AES!I28)</f>
        <v/>
      </c>
      <c r="G145">
        <f>IF(AES!M28="","",AES!M28)</f>
        <v/>
      </c>
      <c r="H145">
        <f>IF(AES!N28="","",AES!N28)</f>
        <v/>
      </c>
      <c r="I145">
        <f>IF(AES!O28="","",AES!O28)</f>
        <v/>
      </c>
      <c r="J145">
        <f>IF(D145="","",IF(F145="","",G145+ROW()/100000))</f>
        <v/>
      </c>
    </row>
    <row r="146">
      <c r="A146">
        <f>IF(AES!D29="","","AES")</f>
        <v/>
      </c>
      <c r="B146">
        <f>IF(AES!C29="","",AES!C29)</f>
        <v/>
      </c>
      <c r="C146">
        <f>IF(AES!B29="","",AES!B29)</f>
        <v/>
      </c>
      <c r="D146">
        <f>IF(AES!D29="","",AES!D29)</f>
        <v/>
      </c>
      <c r="E146">
        <f>IF(AES!F29="","",AES!F29)</f>
        <v/>
      </c>
      <c r="F146">
        <f>IF(AES!I29="","",AES!I29)</f>
        <v/>
      </c>
      <c r="G146">
        <f>IF(AES!M29="","",AES!M29)</f>
        <v/>
      </c>
      <c r="H146">
        <f>IF(AES!N29="","",AES!N29)</f>
        <v/>
      </c>
      <c r="I146">
        <f>IF(AES!O29="","",AES!O29)</f>
        <v/>
      </c>
      <c r="J146">
        <f>IF(D146="","",IF(F146="","",G146+ROW()/100000))</f>
        <v/>
      </c>
    </row>
    <row r="147">
      <c r="A147">
        <f>IF(AES!D30="","","AES")</f>
        <v/>
      </c>
      <c r="B147">
        <f>IF(AES!C30="","",AES!C30)</f>
        <v/>
      </c>
      <c r="C147">
        <f>IF(AES!B30="","",AES!B30)</f>
        <v/>
      </c>
      <c r="D147">
        <f>IF(AES!D30="","",AES!D30)</f>
        <v/>
      </c>
      <c r="E147">
        <f>IF(AES!F30="","",AES!F30)</f>
        <v/>
      </c>
      <c r="F147">
        <f>IF(AES!I30="","",AES!I30)</f>
        <v/>
      </c>
      <c r="G147">
        <f>IF(AES!M30="","",AES!M30)</f>
        <v/>
      </c>
      <c r="H147">
        <f>IF(AES!N30="","",AES!N30)</f>
        <v/>
      </c>
      <c r="I147">
        <f>IF(AES!O30="","",AES!O30)</f>
        <v/>
      </c>
      <c r="J147">
        <f>IF(D147="","",IF(F147="","",G147+ROW()/100000))</f>
        <v/>
      </c>
    </row>
    <row r="148">
      <c r="A148">
        <f>IF(AES!D31="","","AES")</f>
        <v/>
      </c>
      <c r="B148">
        <f>IF(AES!C31="","",AES!C31)</f>
        <v/>
      </c>
      <c r="C148">
        <f>IF(AES!B31="","",AES!B31)</f>
        <v/>
      </c>
      <c r="D148">
        <f>IF(AES!D31="","",AES!D31)</f>
        <v/>
      </c>
      <c r="E148">
        <f>IF(AES!F31="","",AES!F31)</f>
        <v/>
      </c>
      <c r="F148">
        <f>IF(AES!I31="","",AES!I31)</f>
        <v/>
      </c>
      <c r="G148">
        <f>IF(AES!M31="","",AES!M31)</f>
        <v/>
      </c>
      <c r="H148">
        <f>IF(AES!N31="","",AES!N31)</f>
        <v/>
      </c>
      <c r="I148">
        <f>IF(AES!O31="","",AES!O31)</f>
        <v/>
      </c>
      <c r="J148">
        <f>IF(D148="","",IF(F148="","",G148+ROW()/100000))</f>
        <v/>
      </c>
    </row>
    <row r="149">
      <c r="A149">
        <f>IF(AES!D32="","","AES")</f>
        <v/>
      </c>
      <c r="B149">
        <f>IF(AES!C32="","",AES!C32)</f>
        <v/>
      </c>
      <c r="C149">
        <f>IF(AES!B32="","",AES!B32)</f>
        <v/>
      </c>
      <c r="D149">
        <f>IF(AES!D32="","",AES!D32)</f>
        <v/>
      </c>
      <c r="E149">
        <f>IF(AES!F32="","",AES!F32)</f>
        <v/>
      </c>
      <c r="F149">
        <f>IF(AES!I32="","",AES!I32)</f>
        <v/>
      </c>
      <c r="G149">
        <f>IF(AES!M32="","",AES!M32)</f>
        <v/>
      </c>
      <c r="H149">
        <f>IF(AES!N32="","",AES!N32)</f>
        <v/>
      </c>
      <c r="I149">
        <f>IF(AES!O32="","",AES!O32)</f>
        <v/>
      </c>
      <c r="J149">
        <f>IF(D149="","",IF(F149="","",G149+ROW()/100000))</f>
        <v/>
      </c>
    </row>
    <row r="150">
      <c r="A150">
        <f>IF(AES!D33="","","AES")</f>
        <v/>
      </c>
      <c r="B150">
        <f>IF(AES!C33="","",AES!C33)</f>
        <v/>
      </c>
      <c r="C150">
        <f>IF(AES!B33="","",AES!B33)</f>
        <v/>
      </c>
      <c r="D150">
        <f>IF(AES!D33="","",AES!D33)</f>
        <v/>
      </c>
      <c r="E150">
        <f>IF(AES!F33="","",AES!F33)</f>
        <v/>
      </c>
      <c r="F150">
        <f>IF(AES!I33="","",AES!I33)</f>
        <v/>
      </c>
      <c r="G150">
        <f>IF(AES!M33="","",AES!M33)</f>
        <v/>
      </c>
      <c r="H150">
        <f>IF(AES!N33="","",AES!N33)</f>
        <v/>
      </c>
      <c r="I150">
        <f>IF(AES!O33="","",AES!O33)</f>
        <v/>
      </c>
      <c r="J150">
        <f>IF(D150="","",IF(F150="","",G150+ROW()/100000))</f>
        <v/>
      </c>
    </row>
    <row r="151">
      <c r="A151">
        <f>IF(AES!D34="","","AES")</f>
        <v/>
      </c>
      <c r="B151">
        <f>IF(AES!C34="","",AES!C34)</f>
        <v/>
      </c>
      <c r="C151">
        <f>IF(AES!B34="","",AES!B34)</f>
        <v/>
      </c>
      <c r="D151">
        <f>IF(AES!D34="","",AES!D34)</f>
        <v/>
      </c>
      <c r="E151">
        <f>IF(AES!F34="","",AES!F34)</f>
        <v/>
      </c>
      <c r="F151">
        <f>IF(AES!I34="","",AES!I34)</f>
        <v/>
      </c>
      <c r="G151">
        <f>IF(AES!M34="","",AES!M34)</f>
        <v/>
      </c>
      <c r="H151">
        <f>IF(AES!N34="","",AES!N34)</f>
        <v/>
      </c>
      <c r="I151">
        <f>IF(AES!O34="","",AES!O34)</f>
        <v/>
      </c>
      <c r="J151">
        <f>IF(D151="","",IF(F151="","",G151+ROW()/100000))</f>
        <v/>
      </c>
    </row>
    <row r="152">
      <c r="A152">
        <f>IF(AES!D35="","","AES")</f>
        <v/>
      </c>
      <c r="B152">
        <f>IF(AES!C35="","",AES!C35)</f>
        <v/>
      </c>
      <c r="C152">
        <f>IF(AES!B35="","",AES!B35)</f>
        <v/>
      </c>
      <c r="D152">
        <f>IF(AES!D35="","",AES!D35)</f>
        <v/>
      </c>
      <c r="E152">
        <f>IF(AES!F35="","",AES!F35)</f>
        <v/>
      </c>
      <c r="F152">
        <f>IF(AES!I35="","",AES!I35)</f>
        <v/>
      </c>
      <c r="G152">
        <f>IF(AES!M35="","",AES!M35)</f>
        <v/>
      </c>
      <c r="H152">
        <f>IF(AES!N35="","",AES!N35)</f>
        <v/>
      </c>
      <c r="I152">
        <f>IF(AES!O35="","",AES!O35)</f>
        <v/>
      </c>
      <c r="J152">
        <f>IF(D152="","",IF(F152="","",G152+ROW()/100000))</f>
        <v/>
      </c>
    </row>
    <row r="153">
      <c r="A153">
        <f>IF(AES!D36="","","AES")</f>
        <v/>
      </c>
      <c r="B153">
        <f>IF(AES!C36="","",AES!C36)</f>
        <v/>
      </c>
      <c r="C153">
        <f>IF(AES!B36="","",AES!B36)</f>
        <v/>
      </c>
      <c r="D153">
        <f>IF(AES!D36="","",AES!D36)</f>
        <v/>
      </c>
      <c r="E153">
        <f>IF(AES!F36="","",AES!F36)</f>
        <v/>
      </c>
      <c r="F153">
        <f>IF(AES!I36="","",AES!I36)</f>
        <v/>
      </c>
      <c r="G153">
        <f>IF(AES!M36="","",AES!M36)</f>
        <v/>
      </c>
      <c r="H153">
        <f>IF(AES!N36="","",AES!N36)</f>
        <v/>
      </c>
      <c r="I153">
        <f>IF(AES!O36="","",AES!O36)</f>
        <v/>
      </c>
      <c r="J153">
        <f>IF(D153="","",IF(F153="","",G153+ROW()/100000))</f>
        <v/>
      </c>
    </row>
    <row r="154">
      <c r="A154">
        <f>IF(AES!D37="","","AES")</f>
        <v/>
      </c>
      <c r="B154">
        <f>IF(AES!C37="","",AES!C37)</f>
        <v/>
      </c>
      <c r="C154">
        <f>IF(AES!B37="","",AES!B37)</f>
        <v/>
      </c>
      <c r="D154">
        <f>IF(AES!D37="","",AES!D37)</f>
        <v/>
      </c>
      <c r="E154">
        <f>IF(AES!F37="","",AES!F37)</f>
        <v/>
      </c>
      <c r="F154">
        <f>IF(AES!I37="","",AES!I37)</f>
        <v/>
      </c>
      <c r="G154">
        <f>IF(AES!M37="","",AES!M37)</f>
        <v/>
      </c>
      <c r="H154">
        <f>IF(AES!N37="","",AES!N37)</f>
        <v/>
      </c>
      <c r="I154">
        <f>IF(AES!O37="","",AES!O37)</f>
        <v/>
      </c>
      <c r="J154">
        <f>IF(D154="","",IF(F154="","",G154+ROW()/100000))</f>
        <v/>
      </c>
    </row>
    <row r="155">
      <c r="A155">
        <f>IF(AES!D38="","","AES")</f>
        <v/>
      </c>
      <c r="B155">
        <f>IF(AES!C38="","",AES!C38)</f>
        <v/>
      </c>
      <c r="C155">
        <f>IF(AES!B38="","",AES!B38)</f>
        <v/>
      </c>
      <c r="D155">
        <f>IF(AES!D38="","",AES!D38)</f>
        <v/>
      </c>
      <c r="E155">
        <f>IF(AES!F38="","",AES!F38)</f>
        <v/>
      </c>
      <c r="F155">
        <f>IF(AES!I38="","",AES!I38)</f>
        <v/>
      </c>
      <c r="G155">
        <f>IF(AES!M38="","",AES!M38)</f>
        <v/>
      </c>
      <c r="H155">
        <f>IF(AES!N38="","",AES!N38)</f>
        <v/>
      </c>
      <c r="I155">
        <f>IF(AES!O38="","",AES!O38)</f>
        <v/>
      </c>
      <c r="J155">
        <f>IF(D155="","",IF(F155="","",G155+ROW()/100000))</f>
        <v/>
      </c>
    </row>
    <row r="156">
      <c r="A156">
        <f>IF(AES!D39="","","AES")</f>
        <v/>
      </c>
      <c r="B156">
        <f>IF(AES!C39="","",AES!C39)</f>
        <v/>
      </c>
      <c r="C156">
        <f>IF(AES!B39="","",AES!B39)</f>
        <v/>
      </c>
      <c r="D156">
        <f>IF(AES!D39="","",AES!D39)</f>
        <v/>
      </c>
      <c r="E156">
        <f>IF(AES!F39="","",AES!F39)</f>
        <v/>
      </c>
      <c r="F156">
        <f>IF(AES!I39="","",AES!I39)</f>
        <v/>
      </c>
      <c r="G156">
        <f>IF(AES!M39="","",AES!M39)</f>
        <v/>
      </c>
      <c r="H156">
        <f>IF(AES!N39="","",AES!N39)</f>
        <v/>
      </c>
      <c r="I156">
        <f>IF(AES!O39="","",AES!O39)</f>
        <v/>
      </c>
      <c r="J156">
        <f>IF(D156="","",IF(F156="","",G156+ROW()/100000))</f>
        <v/>
      </c>
    </row>
    <row r="157">
      <c r="A157">
        <f>IF(AES!D40="","","AES")</f>
        <v/>
      </c>
      <c r="B157">
        <f>IF(AES!C40="","",AES!C40)</f>
        <v/>
      </c>
      <c r="C157">
        <f>IF(AES!B40="","",AES!B40)</f>
        <v/>
      </c>
      <c r="D157">
        <f>IF(AES!D40="","",AES!D40)</f>
        <v/>
      </c>
      <c r="E157">
        <f>IF(AES!F40="","",AES!F40)</f>
        <v/>
      </c>
      <c r="F157">
        <f>IF(AES!I40="","",AES!I40)</f>
        <v/>
      </c>
      <c r="G157">
        <f>IF(AES!M40="","",AES!M40)</f>
        <v/>
      </c>
      <c r="H157">
        <f>IF(AES!N40="","",AES!N40)</f>
        <v/>
      </c>
      <c r="I157">
        <f>IF(AES!O40="","",AES!O40)</f>
        <v/>
      </c>
      <c r="J157">
        <f>IF(D157="","",IF(F157="","",G157+ROW()/100000))</f>
        <v/>
      </c>
    </row>
    <row r="158">
      <c r="A158">
        <f>IF(AES!D41="","","AES")</f>
        <v/>
      </c>
      <c r="B158">
        <f>IF(AES!C41="","",AES!C41)</f>
        <v/>
      </c>
      <c r="C158">
        <f>IF(AES!B41="","",AES!B41)</f>
        <v/>
      </c>
      <c r="D158">
        <f>IF(AES!D41="","",AES!D41)</f>
        <v/>
      </c>
      <c r="E158">
        <f>IF(AES!F41="","",AES!F41)</f>
        <v/>
      </c>
      <c r="F158">
        <f>IF(AES!I41="","",AES!I41)</f>
        <v/>
      </c>
      <c r="G158">
        <f>IF(AES!M41="","",AES!M41)</f>
        <v/>
      </c>
      <c r="H158">
        <f>IF(AES!N41="","",AES!N41)</f>
        <v/>
      </c>
      <c r="I158">
        <f>IF(AES!O41="","",AES!O41)</f>
        <v/>
      </c>
      <c r="J158">
        <f>IF(D158="","",IF(F158="","",G158+ROW()/100000))</f>
        <v/>
      </c>
    </row>
    <row r="159">
      <c r="A159">
        <f>IF(AES!D42="","","AES")</f>
        <v/>
      </c>
      <c r="B159">
        <f>IF(AES!C42="","",AES!C42)</f>
        <v/>
      </c>
      <c r="C159">
        <f>IF(AES!B42="","",AES!B42)</f>
        <v/>
      </c>
      <c r="D159">
        <f>IF(AES!D42="","",AES!D42)</f>
        <v/>
      </c>
      <c r="E159">
        <f>IF(AES!F42="","",AES!F42)</f>
        <v/>
      </c>
      <c r="F159">
        <f>IF(AES!I42="","",AES!I42)</f>
        <v/>
      </c>
      <c r="G159">
        <f>IF(AES!M42="","",AES!M42)</f>
        <v/>
      </c>
      <c r="H159">
        <f>IF(AES!N42="","",AES!N42)</f>
        <v/>
      </c>
      <c r="I159">
        <f>IF(AES!O42="","",AES!O42)</f>
        <v/>
      </c>
      <c r="J159">
        <f>IF(D159="","",IF(F159="","",G159+ROW()/100000))</f>
        <v/>
      </c>
    </row>
    <row r="160">
      <c r="A160">
        <f>IF(AES!D43="","","AES")</f>
        <v/>
      </c>
      <c r="B160">
        <f>IF(AES!C43="","",AES!C43)</f>
        <v/>
      </c>
      <c r="C160">
        <f>IF(AES!B43="","",AES!B43)</f>
        <v/>
      </c>
      <c r="D160">
        <f>IF(AES!D43="","",AES!D43)</f>
        <v/>
      </c>
      <c r="E160">
        <f>IF(AES!F43="","",AES!F43)</f>
        <v/>
      </c>
      <c r="F160">
        <f>IF(AES!I43="","",AES!I43)</f>
        <v/>
      </c>
      <c r="G160">
        <f>IF(AES!M43="","",AES!M43)</f>
        <v/>
      </c>
      <c r="H160">
        <f>IF(AES!N43="","",AES!N43)</f>
        <v/>
      </c>
      <c r="I160">
        <f>IF(AES!O43="","",AES!O43)</f>
        <v/>
      </c>
      <c r="J160">
        <f>IF(D160="","",IF(F160="","",G160+ROW()/100000))</f>
        <v/>
      </c>
    </row>
    <row r="161">
      <c r="A161">
        <f>IF(AES!D44="","","AES")</f>
        <v/>
      </c>
      <c r="B161">
        <f>IF(AES!C44="","",AES!C44)</f>
        <v/>
      </c>
      <c r="C161">
        <f>IF(AES!B44="","",AES!B44)</f>
        <v/>
      </c>
      <c r="D161">
        <f>IF(AES!D44="","",AES!D44)</f>
        <v/>
      </c>
      <c r="E161">
        <f>IF(AES!F44="","",AES!F44)</f>
        <v/>
      </c>
      <c r="F161">
        <f>IF(AES!I44="","",AES!I44)</f>
        <v/>
      </c>
      <c r="G161">
        <f>IF(AES!M44="","",AES!M44)</f>
        <v/>
      </c>
      <c r="H161">
        <f>IF(AES!N44="","",AES!N44)</f>
        <v/>
      </c>
      <c r="I161">
        <f>IF(AES!O44="","",AES!O44)</f>
        <v/>
      </c>
      <c r="J161">
        <f>IF(D161="","",IF(F161="","",G161+ROW()/100000))</f>
        <v/>
      </c>
    </row>
    <row r="162">
      <c r="A162">
        <f>IF(AES!D45="","","AES")</f>
        <v/>
      </c>
      <c r="B162">
        <f>IF(AES!C45="","",AES!C45)</f>
        <v/>
      </c>
      <c r="C162">
        <f>IF(AES!B45="","",AES!B45)</f>
        <v/>
      </c>
      <c r="D162">
        <f>IF(AES!D45="","",AES!D45)</f>
        <v/>
      </c>
      <c r="E162">
        <f>IF(AES!F45="","",AES!F45)</f>
        <v/>
      </c>
      <c r="F162">
        <f>IF(AES!I45="","",AES!I45)</f>
        <v/>
      </c>
      <c r="G162">
        <f>IF(AES!M45="","",AES!M45)</f>
        <v/>
      </c>
      <c r="H162">
        <f>IF(AES!N45="","",AES!N45)</f>
        <v/>
      </c>
      <c r="I162">
        <f>IF(AES!O45="","",AES!O45)</f>
        <v/>
      </c>
      <c r="J162">
        <f>IF(D162="","",IF(F162="","",G162+ROW()/100000))</f>
        <v/>
      </c>
    </row>
    <row r="163">
      <c r="A163">
        <f>IF(AES!D46="","","AES")</f>
        <v/>
      </c>
      <c r="B163">
        <f>IF(AES!C46="","",AES!C46)</f>
        <v/>
      </c>
      <c r="C163">
        <f>IF(AES!B46="","",AES!B46)</f>
        <v/>
      </c>
      <c r="D163">
        <f>IF(AES!D46="","",AES!D46)</f>
        <v/>
      </c>
      <c r="E163">
        <f>IF(AES!F46="","",AES!F46)</f>
        <v/>
      </c>
      <c r="F163">
        <f>IF(AES!I46="","",AES!I46)</f>
        <v/>
      </c>
      <c r="G163">
        <f>IF(AES!M46="","",AES!M46)</f>
        <v/>
      </c>
      <c r="H163">
        <f>IF(AES!N46="","",AES!N46)</f>
        <v/>
      </c>
      <c r="I163">
        <f>IF(AES!O46="","",AES!O46)</f>
        <v/>
      </c>
      <c r="J163">
        <f>IF(D163="","",IF(F163="","",G163+ROW()/100000))</f>
        <v/>
      </c>
    </row>
    <row r="164">
      <c r="A164">
        <f>IF(AES!D47="","","AES")</f>
        <v/>
      </c>
      <c r="B164">
        <f>IF(AES!C47="","",AES!C47)</f>
        <v/>
      </c>
      <c r="C164">
        <f>IF(AES!B47="","",AES!B47)</f>
        <v/>
      </c>
      <c r="D164">
        <f>IF(AES!D47="","",AES!D47)</f>
        <v/>
      </c>
      <c r="E164">
        <f>IF(AES!F47="","",AES!F47)</f>
        <v/>
      </c>
      <c r="F164">
        <f>IF(AES!I47="","",AES!I47)</f>
        <v/>
      </c>
      <c r="G164">
        <f>IF(AES!M47="","",AES!M47)</f>
        <v/>
      </c>
      <c r="H164">
        <f>IF(AES!N47="","",AES!N47)</f>
        <v/>
      </c>
      <c r="I164">
        <f>IF(AES!O47="","",AES!O47)</f>
        <v/>
      </c>
      <c r="J164">
        <f>IF(D164="","",IF(F164="","",G164+ROW()/100000))</f>
        <v/>
      </c>
    </row>
    <row r="165">
      <c r="A165">
        <f>IF(AES!D48="","","AES")</f>
        <v/>
      </c>
      <c r="B165">
        <f>IF(AES!C48="","",AES!C48)</f>
        <v/>
      </c>
      <c r="C165">
        <f>IF(AES!B48="","",AES!B48)</f>
        <v/>
      </c>
      <c r="D165">
        <f>IF(AES!D48="","",AES!D48)</f>
        <v/>
      </c>
      <c r="E165">
        <f>IF(AES!F48="","",AES!F48)</f>
        <v/>
      </c>
      <c r="F165">
        <f>IF(AES!I48="","",AES!I48)</f>
        <v/>
      </c>
      <c r="G165">
        <f>IF(AES!M48="","",AES!M48)</f>
        <v/>
      </c>
      <c r="H165">
        <f>IF(AES!N48="","",AES!N48)</f>
        <v/>
      </c>
      <c r="I165">
        <f>IF(AES!O48="","",AES!O48)</f>
        <v/>
      </c>
      <c r="J165">
        <f>IF(D165="","",IF(F165="","",G165+ROW()/100000))</f>
        <v/>
      </c>
    </row>
    <row r="166">
      <c r="A166">
        <f>IF(AES!D49="","","AES")</f>
        <v/>
      </c>
      <c r="B166">
        <f>IF(AES!C49="","",AES!C49)</f>
        <v/>
      </c>
      <c r="C166">
        <f>IF(AES!B49="","",AES!B49)</f>
        <v/>
      </c>
      <c r="D166">
        <f>IF(AES!D49="","",AES!D49)</f>
        <v/>
      </c>
      <c r="E166">
        <f>IF(AES!F49="","",AES!F49)</f>
        <v/>
      </c>
      <c r="F166">
        <f>IF(AES!I49="","",AES!I49)</f>
        <v/>
      </c>
      <c r="G166">
        <f>IF(AES!M49="","",AES!M49)</f>
        <v/>
      </c>
      <c r="H166">
        <f>IF(AES!N49="","",AES!N49)</f>
        <v/>
      </c>
      <c r="I166">
        <f>IF(AES!O49="","",AES!O49)</f>
        <v/>
      </c>
      <c r="J166">
        <f>IF(D166="","",IF(F166="","",G166+ROW()/100000))</f>
        <v/>
      </c>
    </row>
    <row r="167">
      <c r="A167">
        <f>IF(AES!D50="","","AES")</f>
        <v/>
      </c>
      <c r="B167">
        <f>IF(AES!C50="","",AES!C50)</f>
        <v/>
      </c>
      <c r="C167">
        <f>IF(AES!B50="","",AES!B50)</f>
        <v/>
      </c>
      <c r="D167">
        <f>IF(AES!D50="","",AES!D50)</f>
        <v/>
      </c>
      <c r="E167">
        <f>IF(AES!F50="","",AES!F50)</f>
        <v/>
      </c>
      <c r="F167">
        <f>IF(AES!I50="","",AES!I50)</f>
        <v/>
      </c>
      <c r="G167">
        <f>IF(AES!M50="","",AES!M50)</f>
        <v/>
      </c>
      <c r="H167">
        <f>IF(AES!N50="","",AES!N50)</f>
        <v/>
      </c>
      <c r="I167">
        <f>IF(AES!O50="","",AES!O50)</f>
        <v/>
      </c>
      <c r="J167">
        <f>IF(D167="","",IF(F167="","",G167+ROW()/100000))</f>
        <v/>
      </c>
    </row>
    <row r="168">
      <c r="A168">
        <f>IF(AES!D51="","","AES")</f>
        <v/>
      </c>
      <c r="B168">
        <f>IF(AES!C51="","",AES!C51)</f>
        <v/>
      </c>
      <c r="C168">
        <f>IF(AES!B51="","",AES!B51)</f>
        <v/>
      </c>
      <c r="D168">
        <f>IF(AES!D51="","",AES!D51)</f>
        <v/>
      </c>
      <c r="E168">
        <f>IF(AES!F51="","",AES!F51)</f>
        <v/>
      </c>
      <c r="F168">
        <f>IF(AES!I51="","",AES!I51)</f>
        <v/>
      </c>
      <c r="G168">
        <f>IF(AES!M51="","",AES!M51)</f>
        <v/>
      </c>
      <c r="H168">
        <f>IF(AES!N51="","",AES!N51)</f>
        <v/>
      </c>
      <c r="I168">
        <f>IF(AES!O51="","",AES!O51)</f>
        <v/>
      </c>
      <c r="J168">
        <f>IF(D168="","",IF(F168="","",G168+ROW()/100000))</f>
        <v/>
      </c>
    </row>
    <row r="169">
      <c r="A169">
        <f>IF(AES!D52="","","AES")</f>
        <v/>
      </c>
      <c r="B169">
        <f>IF(AES!C52="","",AES!C52)</f>
        <v/>
      </c>
      <c r="C169">
        <f>IF(AES!B52="","",AES!B52)</f>
        <v/>
      </c>
      <c r="D169">
        <f>IF(AES!D52="","",AES!D52)</f>
        <v/>
      </c>
      <c r="E169">
        <f>IF(AES!F52="","",AES!F52)</f>
        <v/>
      </c>
      <c r="F169">
        <f>IF(AES!I52="","",AES!I52)</f>
        <v/>
      </c>
      <c r="G169">
        <f>IF(AES!M52="","",AES!M52)</f>
        <v/>
      </c>
      <c r="H169">
        <f>IF(AES!N52="","",AES!N52)</f>
        <v/>
      </c>
      <c r="I169">
        <f>IF(AES!O52="","",AES!O52)</f>
        <v/>
      </c>
      <c r="J169">
        <f>IF(D169="","",IF(F169="","",G169+ROW()/100000))</f>
        <v/>
      </c>
    </row>
    <row r="170">
      <c r="A170">
        <f>IF(AES!D53="","","AES")</f>
        <v/>
      </c>
      <c r="B170">
        <f>IF(AES!C53="","",AES!C53)</f>
        <v/>
      </c>
      <c r="C170">
        <f>IF(AES!B53="","",AES!B53)</f>
        <v/>
      </c>
      <c r="D170">
        <f>IF(AES!D53="","",AES!D53)</f>
        <v/>
      </c>
      <c r="E170">
        <f>IF(AES!F53="","",AES!F53)</f>
        <v/>
      </c>
      <c r="F170">
        <f>IF(AES!I53="","",AES!I53)</f>
        <v/>
      </c>
      <c r="G170">
        <f>IF(AES!M53="","",AES!M53)</f>
        <v/>
      </c>
      <c r="H170">
        <f>IF(AES!N53="","",AES!N53)</f>
        <v/>
      </c>
      <c r="I170">
        <f>IF(AES!O53="","",AES!O53)</f>
        <v/>
      </c>
      <c r="J170">
        <f>IF(D170="","",IF(F170="","",G170+ROW()/100000))</f>
        <v/>
      </c>
    </row>
    <row r="171">
      <c r="A171">
        <f>IF(AES!D54="","","AES")</f>
        <v/>
      </c>
      <c r="B171">
        <f>IF(AES!C54="","",AES!C54)</f>
        <v/>
      </c>
      <c r="C171">
        <f>IF(AES!B54="","",AES!B54)</f>
        <v/>
      </c>
      <c r="D171">
        <f>IF(AES!D54="","",AES!D54)</f>
        <v/>
      </c>
      <c r="E171">
        <f>IF(AES!F54="","",AES!F54)</f>
        <v/>
      </c>
      <c r="F171">
        <f>IF(AES!I54="","",AES!I54)</f>
        <v/>
      </c>
      <c r="G171">
        <f>IF(AES!M54="","",AES!M54)</f>
        <v/>
      </c>
      <c r="H171">
        <f>IF(AES!N54="","",AES!N54)</f>
        <v/>
      </c>
      <c r="I171">
        <f>IF(AES!O54="","",AES!O54)</f>
        <v/>
      </c>
      <c r="J171">
        <f>IF(D171="","",IF(F171="","",G171+ROW()/100000))</f>
        <v/>
      </c>
    </row>
    <row r="172">
      <c r="A172">
        <f>IF(AES!D55="","","AES")</f>
        <v/>
      </c>
      <c r="B172">
        <f>IF(AES!C55="","",AES!C55)</f>
        <v/>
      </c>
      <c r="C172">
        <f>IF(AES!B55="","",AES!B55)</f>
        <v/>
      </c>
      <c r="D172">
        <f>IF(AES!D55="","",AES!D55)</f>
        <v/>
      </c>
      <c r="E172">
        <f>IF(AES!F55="","",AES!F55)</f>
        <v/>
      </c>
      <c r="F172">
        <f>IF(AES!I55="","",AES!I55)</f>
        <v/>
      </c>
      <c r="G172">
        <f>IF(AES!M55="","",AES!M55)</f>
        <v/>
      </c>
      <c r="H172">
        <f>IF(AES!N55="","",AES!N55)</f>
        <v/>
      </c>
      <c r="I172">
        <f>IF(AES!O55="","",AES!O55)</f>
        <v/>
      </c>
      <c r="J172">
        <f>IF(D172="","",IF(F172="","",G172+ROW()/100000))</f>
        <v/>
      </c>
    </row>
    <row r="173">
      <c r="A173">
        <f>IF(AES!D56="","","AES")</f>
        <v/>
      </c>
      <c r="B173">
        <f>IF(AES!C56="","",AES!C56)</f>
        <v/>
      </c>
      <c r="C173">
        <f>IF(AES!B56="","",AES!B56)</f>
        <v/>
      </c>
      <c r="D173">
        <f>IF(AES!D56="","",AES!D56)</f>
        <v/>
      </c>
      <c r="E173">
        <f>IF(AES!F56="","",AES!F56)</f>
        <v/>
      </c>
      <c r="F173">
        <f>IF(AES!I56="","",AES!I56)</f>
        <v/>
      </c>
      <c r="G173">
        <f>IF(AES!M56="","",AES!M56)</f>
        <v/>
      </c>
      <c r="H173">
        <f>IF(AES!N56="","",AES!N56)</f>
        <v/>
      </c>
      <c r="I173">
        <f>IF(AES!O56="","",AES!O56)</f>
        <v/>
      </c>
      <c r="J173">
        <f>IF(D173="","",IF(F173="","",G173+ROW()/100000))</f>
        <v/>
      </c>
    </row>
    <row r="174">
      <c r="A174">
        <f>IF(AES!D57="","","AES")</f>
        <v/>
      </c>
      <c r="B174">
        <f>IF(AES!C57="","",AES!C57)</f>
        <v/>
      </c>
      <c r="C174">
        <f>IF(AES!B57="","",AES!B57)</f>
        <v/>
      </c>
      <c r="D174">
        <f>IF(AES!D57="","",AES!D57)</f>
        <v/>
      </c>
      <c r="E174">
        <f>IF(AES!F57="","",AES!F57)</f>
        <v/>
      </c>
      <c r="F174">
        <f>IF(AES!I57="","",AES!I57)</f>
        <v/>
      </c>
      <c r="G174">
        <f>IF(AES!M57="","",AES!M57)</f>
        <v/>
      </c>
      <c r="H174">
        <f>IF(AES!N57="","",AES!N57)</f>
        <v/>
      </c>
      <c r="I174">
        <f>IF(AES!O57="","",AES!O57)</f>
        <v/>
      </c>
      <c r="J174">
        <f>IF(D174="","",IF(F174="","",G174+ROW()/100000))</f>
        <v/>
      </c>
    </row>
    <row r="175">
      <c r="A175">
        <f>IF(AES!D58="","","AES")</f>
        <v/>
      </c>
      <c r="B175">
        <f>IF(AES!C58="","",AES!C58)</f>
        <v/>
      </c>
      <c r="C175">
        <f>IF(AES!B58="","",AES!B58)</f>
        <v/>
      </c>
      <c r="D175">
        <f>IF(AES!D58="","",AES!D58)</f>
        <v/>
      </c>
      <c r="E175">
        <f>IF(AES!F58="","",AES!F58)</f>
        <v/>
      </c>
      <c r="F175">
        <f>IF(AES!I58="","",AES!I58)</f>
        <v/>
      </c>
      <c r="G175">
        <f>IF(AES!M58="","",AES!M58)</f>
        <v/>
      </c>
      <c r="H175">
        <f>IF(AES!N58="","",AES!N58)</f>
        <v/>
      </c>
      <c r="I175">
        <f>IF(AES!O58="","",AES!O58)</f>
        <v/>
      </c>
      <c r="J175">
        <f>IF(D175="","",IF(F175="","",G175+ROW()/100000))</f>
        <v/>
      </c>
    </row>
    <row r="176">
      <c r="A176">
        <f>IF(AES!D59="","","AES")</f>
        <v/>
      </c>
      <c r="B176">
        <f>IF(AES!C59="","",AES!C59)</f>
        <v/>
      </c>
      <c r="C176">
        <f>IF(AES!B59="","",AES!B59)</f>
        <v/>
      </c>
      <c r="D176">
        <f>IF(AES!D59="","",AES!D59)</f>
        <v/>
      </c>
      <c r="E176">
        <f>IF(AES!F59="","",AES!F59)</f>
        <v/>
      </c>
      <c r="F176">
        <f>IF(AES!I59="","",AES!I59)</f>
        <v/>
      </c>
      <c r="G176">
        <f>IF(AES!M59="","",AES!M59)</f>
        <v/>
      </c>
      <c r="H176">
        <f>IF(AES!N59="","",AES!N59)</f>
        <v/>
      </c>
      <c r="I176">
        <f>IF(AES!O59="","",AES!O59)</f>
        <v/>
      </c>
      <c r="J176">
        <f>IF(D176="","",IF(F176="","",G176+ROW()/100000))</f>
        <v/>
      </c>
    </row>
    <row r="177">
      <c r="A177">
        <f>IF(AES!D60="","","AES")</f>
        <v/>
      </c>
      <c r="B177">
        <f>IF(AES!C60="","",AES!C60)</f>
        <v/>
      </c>
      <c r="C177">
        <f>IF(AES!B60="","",AES!B60)</f>
        <v/>
      </c>
      <c r="D177">
        <f>IF(AES!D60="","",AES!D60)</f>
        <v/>
      </c>
      <c r="E177">
        <f>IF(AES!F60="","",AES!F60)</f>
        <v/>
      </c>
      <c r="F177">
        <f>IF(AES!I60="","",AES!I60)</f>
        <v/>
      </c>
      <c r="G177">
        <f>IF(AES!M60="","",AES!M60)</f>
        <v/>
      </c>
      <c r="H177">
        <f>IF(AES!N60="","",AES!N60)</f>
        <v/>
      </c>
      <c r="I177">
        <f>IF(AES!O60="","",AES!O60)</f>
        <v/>
      </c>
      <c r="J177">
        <f>IF(D177="","",IF(F177="","",G177+ROW()/100000))</f>
        <v/>
      </c>
    </row>
    <row r="178">
      <c r="A178">
        <f>IF(AES!D61="","","AES")</f>
        <v/>
      </c>
      <c r="B178">
        <f>IF(AES!C61="","",AES!C61)</f>
        <v/>
      </c>
      <c r="C178">
        <f>IF(AES!B61="","",AES!B61)</f>
        <v/>
      </c>
      <c r="D178">
        <f>IF(AES!D61="","",AES!D61)</f>
        <v/>
      </c>
      <c r="E178">
        <f>IF(AES!F61="","",AES!F61)</f>
        <v/>
      </c>
      <c r="F178">
        <f>IF(AES!I61="","",AES!I61)</f>
        <v/>
      </c>
      <c r="G178">
        <f>IF(AES!M61="","",AES!M61)</f>
        <v/>
      </c>
      <c r="H178">
        <f>IF(AES!N61="","",AES!N61)</f>
        <v/>
      </c>
      <c r="I178">
        <f>IF(AES!O61="","",AES!O61)</f>
        <v/>
      </c>
      <c r="J178">
        <f>IF(D178="","",IF(F178="","",G178+ROW()/100000))</f>
        <v/>
      </c>
    </row>
    <row r="179">
      <c r="A179">
        <f>IF(AES!D62="","","AES")</f>
        <v/>
      </c>
      <c r="B179">
        <f>IF(AES!C62="","",AES!C62)</f>
        <v/>
      </c>
      <c r="C179">
        <f>IF(AES!B62="","",AES!B62)</f>
        <v/>
      </c>
      <c r="D179">
        <f>IF(AES!D62="","",AES!D62)</f>
        <v/>
      </c>
      <c r="E179">
        <f>IF(AES!F62="","",AES!F62)</f>
        <v/>
      </c>
      <c r="F179">
        <f>IF(AES!I62="","",AES!I62)</f>
        <v/>
      </c>
      <c r="G179">
        <f>IF(AES!M62="","",AES!M62)</f>
        <v/>
      </c>
      <c r="H179">
        <f>IF(AES!N62="","",AES!N62)</f>
        <v/>
      </c>
      <c r="I179">
        <f>IF(AES!O62="","",AES!O62)</f>
        <v/>
      </c>
      <c r="J179">
        <f>IF(D179="","",IF(F179="","",G179+ROW()/100000))</f>
        <v/>
      </c>
    </row>
    <row r="180">
      <c r="A180">
        <f>IF(AES!D63="","","AES")</f>
        <v/>
      </c>
      <c r="B180">
        <f>IF(AES!C63="","",AES!C63)</f>
        <v/>
      </c>
      <c r="C180">
        <f>IF(AES!B63="","",AES!B63)</f>
        <v/>
      </c>
      <c r="D180">
        <f>IF(AES!D63="","",AES!D63)</f>
        <v/>
      </c>
      <c r="E180">
        <f>IF(AES!F63="","",AES!F63)</f>
        <v/>
      </c>
      <c r="F180">
        <f>IF(AES!I63="","",AES!I63)</f>
        <v/>
      </c>
      <c r="G180">
        <f>IF(AES!M63="","",AES!M63)</f>
        <v/>
      </c>
      <c r="H180">
        <f>IF(AES!N63="","",AES!N63)</f>
        <v/>
      </c>
      <c r="I180">
        <f>IF(AES!O63="","",AES!O63)</f>
        <v/>
      </c>
      <c r="J180">
        <f>IF(D180="","",IF(F180="","",G180+ROW()/100000))</f>
        <v/>
      </c>
    </row>
    <row r="181">
      <c r="A181">
        <f>IF(AES!D64="","","AES")</f>
        <v/>
      </c>
      <c r="B181">
        <f>IF(AES!C64="","",AES!C64)</f>
        <v/>
      </c>
      <c r="C181">
        <f>IF(AES!B64="","",AES!B64)</f>
        <v/>
      </c>
      <c r="D181">
        <f>IF(AES!D64="","",AES!D64)</f>
        <v/>
      </c>
      <c r="E181">
        <f>IF(AES!F64="","",AES!F64)</f>
        <v/>
      </c>
      <c r="F181">
        <f>IF(AES!I64="","",AES!I64)</f>
        <v/>
      </c>
      <c r="G181">
        <f>IF(AES!M64="","",AES!M64)</f>
        <v/>
      </c>
      <c r="H181">
        <f>IF(AES!N64="","",AES!N64)</f>
        <v/>
      </c>
      <c r="I181">
        <f>IF(AES!O64="","",AES!O64)</f>
        <v/>
      </c>
      <c r="J181">
        <f>IF(D181="","",IF(F181="","",G181+ROW()/100000))</f>
        <v/>
      </c>
    </row>
    <row r="182">
      <c r="A182">
        <f>IF(AES!D65="","","AES")</f>
        <v/>
      </c>
      <c r="B182">
        <f>IF(AES!C65="","",AES!C65)</f>
        <v/>
      </c>
      <c r="C182">
        <f>IF(AES!B65="","",AES!B65)</f>
        <v/>
      </c>
      <c r="D182">
        <f>IF(AES!D65="","",AES!D65)</f>
        <v/>
      </c>
      <c r="E182">
        <f>IF(AES!F65="","",AES!F65)</f>
        <v/>
      </c>
      <c r="F182">
        <f>IF(AES!I65="","",AES!I65)</f>
        <v/>
      </c>
      <c r="G182">
        <f>IF(AES!M65="","",AES!M65)</f>
        <v/>
      </c>
      <c r="H182">
        <f>IF(AES!N65="","",AES!N65)</f>
        <v/>
      </c>
      <c r="I182">
        <f>IF(AES!O65="","",AES!O65)</f>
        <v/>
      </c>
      <c r="J182">
        <f>IF(D182="","",IF(F182="","",G182+ROW()/100000))</f>
        <v/>
      </c>
    </row>
    <row r="183">
      <c r="A183">
        <f>IF(AES!D66="","","AES")</f>
        <v/>
      </c>
      <c r="B183">
        <f>IF(AES!C66="","",AES!C66)</f>
        <v/>
      </c>
      <c r="C183">
        <f>IF(AES!B66="","",AES!B66)</f>
        <v/>
      </c>
      <c r="D183">
        <f>IF(AES!D66="","",AES!D66)</f>
        <v/>
      </c>
      <c r="E183">
        <f>IF(AES!F66="","",AES!F66)</f>
        <v/>
      </c>
      <c r="F183">
        <f>IF(AES!I66="","",AES!I66)</f>
        <v/>
      </c>
      <c r="G183">
        <f>IF(AES!M66="","",AES!M66)</f>
        <v/>
      </c>
      <c r="H183">
        <f>IF(AES!N66="","",AES!N66)</f>
        <v/>
      </c>
      <c r="I183">
        <f>IF(AES!O66="","",AES!O66)</f>
        <v/>
      </c>
      <c r="J183">
        <f>IF(D183="","",IF(F183="","",G183+ROW()/100000))</f>
        <v/>
      </c>
    </row>
    <row r="184">
      <c r="A184">
        <f>IF(AES!D67="","","AES")</f>
        <v/>
      </c>
      <c r="B184">
        <f>IF(AES!C67="","",AES!C67)</f>
        <v/>
      </c>
      <c r="C184">
        <f>IF(AES!B67="","",AES!B67)</f>
        <v/>
      </c>
      <c r="D184">
        <f>IF(AES!D67="","",AES!D67)</f>
        <v/>
      </c>
      <c r="E184">
        <f>IF(AES!F67="","",AES!F67)</f>
        <v/>
      </c>
      <c r="F184">
        <f>IF(AES!I67="","",AES!I67)</f>
        <v/>
      </c>
      <c r="G184">
        <f>IF(AES!M67="","",AES!M67)</f>
        <v/>
      </c>
      <c r="H184">
        <f>IF(AES!N67="","",AES!N67)</f>
        <v/>
      </c>
      <c r="I184">
        <f>IF(AES!O67="","",AES!O67)</f>
        <v/>
      </c>
      <c r="J184">
        <f>IF(D184="","",IF(F184="","",G184+ROW()/100000))</f>
        <v/>
      </c>
    </row>
    <row r="185">
      <c r="A185">
        <f>IF(AES!D68="","","AES")</f>
        <v/>
      </c>
      <c r="B185">
        <f>IF(AES!C68="","",AES!C68)</f>
        <v/>
      </c>
      <c r="C185">
        <f>IF(AES!B68="","",AES!B68)</f>
        <v/>
      </c>
      <c r="D185">
        <f>IF(AES!D68="","",AES!D68)</f>
        <v/>
      </c>
      <c r="E185">
        <f>IF(AES!F68="","",AES!F68)</f>
        <v/>
      </c>
      <c r="F185">
        <f>IF(AES!I68="","",AES!I68)</f>
        <v/>
      </c>
      <c r="G185">
        <f>IF(AES!M68="","",AES!M68)</f>
        <v/>
      </c>
      <c r="H185">
        <f>IF(AES!N68="","",AES!N68)</f>
        <v/>
      </c>
      <c r="I185">
        <f>IF(AES!O68="","",AES!O68)</f>
        <v/>
      </c>
      <c r="J185">
        <f>IF(D185="","",IF(F185="","",G185+ROW()/100000))</f>
        <v/>
      </c>
    </row>
    <row r="186">
      <c r="A186">
        <f>IF(AES!D69="","","AES")</f>
        <v/>
      </c>
      <c r="B186">
        <f>IF(AES!C69="","",AES!C69)</f>
        <v/>
      </c>
      <c r="C186">
        <f>IF(AES!B69="","",AES!B69)</f>
        <v/>
      </c>
      <c r="D186">
        <f>IF(AES!D69="","",AES!D69)</f>
        <v/>
      </c>
      <c r="E186">
        <f>IF(AES!F69="","",AES!F69)</f>
        <v/>
      </c>
      <c r="F186">
        <f>IF(AES!I69="","",AES!I69)</f>
        <v/>
      </c>
      <c r="G186">
        <f>IF(AES!M69="","",AES!M69)</f>
        <v/>
      </c>
      <c r="H186">
        <f>IF(AES!N69="","",AES!N69)</f>
        <v/>
      </c>
      <c r="I186">
        <f>IF(AES!O69="","",AES!O69)</f>
        <v/>
      </c>
      <c r="J186">
        <f>IF(D186="","",IF(F186="","",G186+ROW()/100000))</f>
        <v/>
      </c>
    </row>
    <row r="187">
      <c r="A187">
        <f>IF(AES!D70="","","AES")</f>
        <v/>
      </c>
      <c r="B187">
        <f>IF(AES!C70="","",AES!C70)</f>
        <v/>
      </c>
      <c r="C187">
        <f>IF(AES!B70="","",AES!B70)</f>
        <v/>
      </c>
      <c r="D187">
        <f>IF(AES!D70="","",AES!D70)</f>
        <v/>
      </c>
      <c r="E187">
        <f>IF(AES!F70="","",AES!F70)</f>
        <v/>
      </c>
      <c r="F187">
        <f>IF(AES!I70="","",AES!I70)</f>
        <v/>
      </c>
      <c r="G187">
        <f>IF(AES!M70="","",AES!M70)</f>
        <v/>
      </c>
      <c r="H187">
        <f>IF(AES!N70="","",AES!N70)</f>
        <v/>
      </c>
      <c r="I187">
        <f>IF(AES!O70="","",AES!O70)</f>
        <v/>
      </c>
      <c r="J187">
        <f>IF(D187="","",IF(F187="","",G187+ROW()/100000))</f>
        <v/>
      </c>
    </row>
    <row r="188">
      <c r="A188">
        <f>IF(AES!D71="","","AES")</f>
        <v/>
      </c>
      <c r="B188">
        <f>IF(AES!C71="","",AES!C71)</f>
        <v/>
      </c>
      <c r="C188">
        <f>IF(AES!B71="","",AES!B71)</f>
        <v/>
      </c>
      <c r="D188">
        <f>IF(AES!D71="","",AES!D71)</f>
        <v/>
      </c>
      <c r="E188">
        <f>IF(AES!F71="","",AES!F71)</f>
        <v/>
      </c>
      <c r="F188">
        <f>IF(AES!I71="","",AES!I71)</f>
        <v/>
      </c>
      <c r="G188">
        <f>IF(AES!M71="","",AES!M71)</f>
        <v/>
      </c>
      <c r="H188">
        <f>IF(AES!N71="","",AES!N71)</f>
        <v/>
      </c>
      <c r="I188">
        <f>IF(AES!O71="","",AES!O71)</f>
        <v/>
      </c>
      <c r="J188">
        <f>IF(D188="","",IF(F188="","",G188+ROW()/100000))</f>
        <v/>
      </c>
    </row>
    <row r="189">
      <c r="A189">
        <f>IF(AES!D72="","","AES")</f>
        <v/>
      </c>
      <c r="B189">
        <f>IF(AES!C72="","",AES!C72)</f>
        <v/>
      </c>
      <c r="C189">
        <f>IF(AES!B72="","",AES!B72)</f>
        <v/>
      </c>
      <c r="D189">
        <f>IF(AES!D72="","",AES!D72)</f>
        <v/>
      </c>
      <c r="E189">
        <f>IF(AES!F72="","",AES!F72)</f>
        <v/>
      </c>
      <c r="F189">
        <f>IF(AES!I72="","",AES!I72)</f>
        <v/>
      </c>
      <c r="G189">
        <f>IF(AES!M72="","",AES!M72)</f>
        <v/>
      </c>
      <c r="H189">
        <f>IF(AES!N72="","",AES!N72)</f>
        <v/>
      </c>
      <c r="I189">
        <f>IF(AES!O72="","",AES!O72)</f>
        <v/>
      </c>
      <c r="J189">
        <f>IF(D189="","",IF(F189="","",G189+ROW()/100000))</f>
        <v/>
      </c>
    </row>
    <row r="190">
      <c r="A190">
        <f>IF(AES!D73="","","AES")</f>
        <v/>
      </c>
      <c r="B190">
        <f>IF(AES!C73="","",AES!C73)</f>
        <v/>
      </c>
      <c r="C190">
        <f>IF(AES!B73="","",AES!B73)</f>
        <v/>
      </c>
      <c r="D190">
        <f>IF(AES!D73="","",AES!D73)</f>
        <v/>
      </c>
      <c r="E190">
        <f>IF(AES!F73="","",AES!F73)</f>
        <v/>
      </c>
      <c r="F190">
        <f>IF(AES!I73="","",AES!I73)</f>
        <v/>
      </c>
      <c r="G190">
        <f>IF(AES!M73="","",AES!M73)</f>
        <v/>
      </c>
      <c r="H190">
        <f>IF(AES!N73="","",AES!N73)</f>
        <v/>
      </c>
      <c r="I190">
        <f>IF(AES!O73="","",AES!O73)</f>
        <v/>
      </c>
      <c r="J190">
        <f>IF(D190="","",IF(F190="","",G190+ROW()/100000))</f>
        <v/>
      </c>
    </row>
    <row r="191">
      <c r="A191">
        <f>IF(AES!D74="","","AES")</f>
        <v/>
      </c>
      <c r="B191">
        <f>IF(AES!C74="","",AES!C74)</f>
        <v/>
      </c>
      <c r="C191">
        <f>IF(AES!B74="","",AES!B74)</f>
        <v/>
      </c>
      <c r="D191">
        <f>IF(AES!D74="","",AES!D74)</f>
        <v/>
      </c>
      <c r="E191">
        <f>IF(AES!F74="","",AES!F74)</f>
        <v/>
      </c>
      <c r="F191">
        <f>IF(AES!I74="","",AES!I74)</f>
        <v/>
      </c>
      <c r="G191">
        <f>IF(AES!M74="","",AES!M74)</f>
        <v/>
      </c>
      <c r="H191">
        <f>IF(AES!N74="","",AES!N74)</f>
        <v/>
      </c>
      <c r="I191">
        <f>IF(AES!O74="","",AES!O74)</f>
        <v/>
      </c>
      <c r="J191">
        <f>IF(D191="","",IF(F191="","",G191+ROW()/100000))</f>
        <v/>
      </c>
    </row>
    <row r="192">
      <c r="A192">
        <f>IF(AES!D75="","","AES")</f>
        <v/>
      </c>
      <c r="B192">
        <f>IF(AES!C75="","",AES!C75)</f>
        <v/>
      </c>
      <c r="C192">
        <f>IF(AES!B75="","",AES!B75)</f>
        <v/>
      </c>
      <c r="D192">
        <f>IF(AES!D75="","",AES!D75)</f>
        <v/>
      </c>
      <c r="E192">
        <f>IF(AES!F75="","",AES!F75)</f>
        <v/>
      </c>
      <c r="F192">
        <f>IF(AES!I75="","",AES!I75)</f>
        <v/>
      </c>
      <c r="G192">
        <f>IF(AES!M75="","",AES!M75)</f>
        <v/>
      </c>
      <c r="H192">
        <f>IF(AES!N75="","",AES!N75)</f>
        <v/>
      </c>
      <c r="I192">
        <f>IF(AES!O75="","",AES!O75)</f>
        <v/>
      </c>
      <c r="J192">
        <f>IF(D192="","",IF(F192="","",G192+ROW()/100000))</f>
        <v/>
      </c>
    </row>
    <row r="193">
      <c r="A193">
        <f>IF(AES!D76="","","AES")</f>
        <v/>
      </c>
      <c r="B193">
        <f>IF(AES!C76="","",AES!C76)</f>
        <v/>
      </c>
      <c r="C193">
        <f>IF(AES!B76="","",AES!B76)</f>
        <v/>
      </c>
      <c r="D193">
        <f>IF(AES!D76="","",AES!D76)</f>
        <v/>
      </c>
      <c r="E193">
        <f>IF(AES!F76="","",AES!F76)</f>
        <v/>
      </c>
      <c r="F193">
        <f>IF(AES!I76="","",AES!I76)</f>
        <v/>
      </c>
      <c r="G193">
        <f>IF(AES!M76="","",AES!M76)</f>
        <v/>
      </c>
      <c r="H193">
        <f>IF(AES!N76="","",AES!N76)</f>
        <v/>
      </c>
      <c r="I193">
        <f>IF(AES!O76="","",AES!O76)</f>
        <v/>
      </c>
      <c r="J193">
        <f>IF(D193="","",IF(F193="","",G193+ROW()/100000))</f>
        <v/>
      </c>
    </row>
    <row r="194">
      <c r="A194">
        <f>IF(AES!D77="","","AES")</f>
        <v/>
      </c>
      <c r="B194">
        <f>IF(AES!C77="","",AES!C77)</f>
        <v/>
      </c>
      <c r="C194">
        <f>IF(AES!B77="","",AES!B77)</f>
        <v/>
      </c>
      <c r="D194">
        <f>IF(AES!D77="","",AES!D77)</f>
        <v/>
      </c>
      <c r="E194">
        <f>IF(AES!F77="","",AES!F77)</f>
        <v/>
      </c>
      <c r="F194">
        <f>IF(AES!I77="","",AES!I77)</f>
        <v/>
      </c>
      <c r="G194">
        <f>IF(AES!M77="","",AES!M77)</f>
        <v/>
      </c>
      <c r="H194">
        <f>IF(AES!N77="","",AES!N77)</f>
        <v/>
      </c>
      <c r="I194">
        <f>IF(AES!O77="","",AES!O77)</f>
        <v/>
      </c>
      <c r="J194">
        <f>IF(D194="","",IF(F194="","",G194+ROW()/100000))</f>
        <v/>
      </c>
    </row>
    <row r="195">
      <c r="A195">
        <f>IF(AES!D78="","","AES")</f>
        <v/>
      </c>
      <c r="B195">
        <f>IF(AES!C78="","",AES!C78)</f>
        <v/>
      </c>
      <c r="C195">
        <f>IF(AES!B78="","",AES!B78)</f>
        <v/>
      </c>
      <c r="D195">
        <f>IF(AES!D78="","",AES!D78)</f>
        <v/>
      </c>
      <c r="E195">
        <f>IF(AES!F78="","",AES!F78)</f>
        <v/>
      </c>
      <c r="F195">
        <f>IF(AES!I78="","",AES!I78)</f>
        <v/>
      </c>
      <c r="G195">
        <f>IF(AES!M78="","",AES!M78)</f>
        <v/>
      </c>
      <c r="H195">
        <f>IF(AES!N78="","",AES!N78)</f>
        <v/>
      </c>
      <c r="I195">
        <f>IF(AES!O78="","",AES!O78)</f>
        <v/>
      </c>
      <c r="J195">
        <f>IF(D195="","",IF(F195="","",G195+ROW()/100000))</f>
        <v/>
      </c>
    </row>
    <row r="196">
      <c r="A196">
        <f>IF(AES!D79="","","AES")</f>
        <v/>
      </c>
      <c r="B196">
        <f>IF(AES!C79="","",AES!C79)</f>
        <v/>
      </c>
      <c r="C196">
        <f>IF(AES!B79="","",AES!B79)</f>
        <v/>
      </c>
      <c r="D196">
        <f>IF(AES!D79="","",AES!D79)</f>
        <v/>
      </c>
      <c r="E196">
        <f>IF(AES!F79="","",AES!F79)</f>
        <v/>
      </c>
      <c r="F196">
        <f>IF(AES!I79="","",AES!I79)</f>
        <v/>
      </c>
      <c r="G196">
        <f>IF(AES!M79="","",AES!M79)</f>
        <v/>
      </c>
      <c r="H196">
        <f>IF(AES!N79="","",AES!N79)</f>
        <v/>
      </c>
      <c r="I196">
        <f>IF(AES!O79="","",AES!O79)</f>
        <v/>
      </c>
      <c r="J196">
        <f>IF(D196="","",IF(F196="","",G196+ROW()/100000))</f>
        <v/>
      </c>
    </row>
    <row r="197">
      <c r="A197">
        <f>IF(AES!D80="","","AES")</f>
        <v/>
      </c>
      <c r="B197">
        <f>IF(AES!C80="","",AES!C80)</f>
        <v/>
      </c>
      <c r="C197">
        <f>IF(AES!B80="","",AES!B80)</f>
        <v/>
      </c>
      <c r="D197">
        <f>IF(AES!D80="","",AES!D80)</f>
        <v/>
      </c>
      <c r="E197">
        <f>IF(AES!F80="","",AES!F80)</f>
        <v/>
      </c>
      <c r="F197">
        <f>IF(AES!I80="","",AES!I80)</f>
        <v/>
      </c>
      <c r="G197">
        <f>IF(AES!M80="","",AES!M80)</f>
        <v/>
      </c>
      <c r="H197">
        <f>IF(AES!N80="","",AES!N80)</f>
        <v/>
      </c>
      <c r="I197">
        <f>IF(AES!O80="","",AES!O80)</f>
        <v/>
      </c>
      <c r="J197">
        <f>IF(D197="","",IF(F197="","",G197+ROW()/100000))</f>
        <v/>
      </c>
    </row>
    <row r="198">
      <c r="A198">
        <f>IF(AES!D81="","","AES")</f>
        <v/>
      </c>
      <c r="B198">
        <f>IF(AES!C81="","",AES!C81)</f>
        <v/>
      </c>
      <c r="C198">
        <f>IF(AES!B81="","",AES!B81)</f>
        <v/>
      </c>
      <c r="D198">
        <f>IF(AES!D81="","",AES!D81)</f>
        <v/>
      </c>
      <c r="E198">
        <f>IF(AES!F81="","",AES!F81)</f>
        <v/>
      </c>
      <c r="F198">
        <f>IF(AES!I81="","",AES!I81)</f>
        <v/>
      </c>
      <c r="G198">
        <f>IF(AES!M81="","",AES!M81)</f>
        <v/>
      </c>
      <c r="H198">
        <f>IF(AES!N81="","",AES!N81)</f>
        <v/>
      </c>
      <c r="I198">
        <f>IF(AES!O81="","",AES!O81)</f>
        <v/>
      </c>
      <c r="J198">
        <f>IF(D198="","",IF(F198="","",G198+ROW()/100000))</f>
        <v/>
      </c>
    </row>
    <row r="199">
      <c r="A199">
        <f>IF(AES!D82="","","AES")</f>
        <v/>
      </c>
      <c r="B199">
        <f>IF(AES!C82="","",AES!C82)</f>
        <v/>
      </c>
      <c r="C199">
        <f>IF(AES!B82="","",AES!B82)</f>
        <v/>
      </c>
      <c r="D199">
        <f>IF(AES!D82="","",AES!D82)</f>
        <v/>
      </c>
      <c r="E199">
        <f>IF(AES!F82="","",AES!F82)</f>
        <v/>
      </c>
      <c r="F199">
        <f>IF(AES!I82="","",AES!I82)</f>
        <v/>
      </c>
      <c r="G199">
        <f>IF(AES!M82="","",AES!M82)</f>
        <v/>
      </c>
      <c r="H199">
        <f>IF(AES!N82="","",AES!N82)</f>
        <v/>
      </c>
      <c r="I199">
        <f>IF(AES!O82="","",AES!O82)</f>
        <v/>
      </c>
      <c r="J199">
        <f>IF(D199="","",IF(F199="","",G199+ROW()/100000))</f>
        <v/>
      </c>
    </row>
    <row r="200">
      <c r="A200">
        <f>IF(AES!D83="","","AES")</f>
        <v/>
      </c>
      <c r="B200">
        <f>IF(AES!C83="","",AES!C83)</f>
        <v/>
      </c>
      <c r="C200">
        <f>IF(AES!B83="","",AES!B83)</f>
        <v/>
      </c>
      <c r="D200">
        <f>IF(AES!D83="","",AES!D83)</f>
        <v/>
      </c>
      <c r="E200">
        <f>IF(AES!F83="","",AES!F83)</f>
        <v/>
      </c>
      <c r="F200">
        <f>IF(AES!I83="","",AES!I83)</f>
        <v/>
      </c>
      <c r="G200">
        <f>IF(AES!M83="","",AES!M83)</f>
        <v/>
      </c>
      <c r="H200">
        <f>IF(AES!N83="","",AES!N83)</f>
        <v/>
      </c>
      <c r="I200">
        <f>IF(AES!O83="","",AES!O83)</f>
        <v/>
      </c>
      <c r="J200">
        <f>IF(D200="","",IF(F200="","",G200+ROW()/100000))</f>
        <v/>
      </c>
    </row>
    <row r="201">
      <c r="A201">
        <f>IF(AES!D84="","","AES")</f>
        <v/>
      </c>
      <c r="B201">
        <f>IF(AES!C84="","",AES!C84)</f>
        <v/>
      </c>
      <c r="C201">
        <f>IF(AES!B84="","",AES!B84)</f>
        <v/>
      </c>
      <c r="D201">
        <f>IF(AES!D84="","",AES!D84)</f>
        <v/>
      </c>
      <c r="E201">
        <f>IF(AES!F84="","",AES!F84)</f>
        <v/>
      </c>
      <c r="F201">
        <f>IF(AES!I84="","",AES!I84)</f>
        <v/>
      </c>
      <c r="G201">
        <f>IF(AES!M84="","",AES!M84)</f>
        <v/>
      </c>
      <c r="H201">
        <f>IF(AES!N84="","",AES!N84)</f>
        <v/>
      </c>
      <c r="I201">
        <f>IF(AES!O84="","",AES!O84)</f>
        <v/>
      </c>
      <c r="J201">
        <f>IF(D201="","",IF(F201="","",G201+ROW()/100000))</f>
        <v/>
      </c>
    </row>
    <row r="202">
      <c r="A202">
        <f>IF(AES!D85="","","AES")</f>
        <v/>
      </c>
      <c r="B202">
        <f>IF(AES!C85="","",AES!C85)</f>
        <v/>
      </c>
      <c r="C202">
        <f>IF(AES!B85="","",AES!B85)</f>
        <v/>
      </c>
      <c r="D202">
        <f>IF(AES!D85="","",AES!D85)</f>
        <v/>
      </c>
      <c r="E202">
        <f>IF(AES!F85="","",AES!F85)</f>
        <v/>
      </c>
      <c r="F202">
        <f>IF(AES!I85="","",AES!I85)</f>
        <v/>
      </c>
      <c r="G202">
        <f>IF(AES!M85="","",AES!M85)</f>
        <v/>
      </c>
      <c r="H202">
        <f>IF(AES!N85="","",AES!N85)</f>
        <v/>
      </c>
      <c r="I202">
        <f>IF(AES!O85="","",AES!O85)</f>
        <v/>
      </c>
      <c r="J202">
        <f>IF(D202="","",IF(F202="","",G202+ROW()/100000))</f>
        <v/>
      </c>
    </row>
    <row r="203">
      <c r="A203">
        <f>IF(AES!D86="","","AES")</f>
        <v/>
      </c>
      <c r="B203">
        <f>IF(AES!C86="","",AES!C86)</f>
        <v/>
      </c>
      <c r="C203">
        <f>IF(AES!B86="","",AES!B86)</f>
        <v/>
      </c>
      <c r="D203">
        <f>IF(AES!D86="","",AES!D86)</f>
        <v/>
      </c>
      <c r="E203">
        <f>IF(AES!F86="","",AES!F86)</f>
        <v/>
      </c>
      <c r="F203">
        <f>IF(AES!I86="","",AES!I86)</f>
        <v/>
      </c>
      <c r="G203">
        <f>IF(AES!M86="","",AES!M86)</f>
        <v/>
      </c>
      <c r="H203">
        <f>IF(AES!N86="","",AES!N86)</f>
        <v/>
      </c>
      <c r="I203">
        <f>IF(AES!O86="","",AES!O86)</f>
        <v/>
      </c>
      <c r="J203">
        <f>IF(D203="","",IF(F203="","",G203+ROW()/100000))</f>
        <v/>
      </c>
    </row>
    <row r="204">
      <c r="A204">
        <f>IF(AES!D87="","","AES")</f>
        <v/>
      </c>
      <c r="B204">
        <f>IF(AES!C87="","",AES!C87)</f>
        <v/>
      </c>
      <c r="C204">
        <f>IF(AES!B87="","",AES!B87)</f>
        <v/>
      </c>
      <c r="D204">
        <f>IF(AES!D87="","",AES!D87)</f>
        <v/>
      </c>
      <c r="E204">
        <f>IF(AES!F87="","",AES!F87)</f>
        <v/>
      </c>
      <c r="F204">
        <f>IF(AES!I87="","",AES!I87)</f>
        <v/>
      </c>
      <c r="G204">
        <f>IF(AES!M87="","",AES!M87)</f>
        <v/>
      </c>
      <c r="H204">
        <f>IF(AES!N87="","",AES!N87)</f>
        <v/>
      </c>
      <c r="I204">
        <f>IF(AES!O87="","",AES!O87)</f>
        <v/>
      </c>
      <c r="J204">
        <f>IF(D204="","",IF(F204="","",G204+ROW()/100000))</f>
        <v/>
      </c>
    </row>
    <row r="205">
      <c r="A205">
        <f>IF(AES!D88="","","AES")</f>
        <v/>
      </c>
      <c r="B205">
        <f>IF(AES!C88="","",AES!C88)</f>
        <v/>
      </c>
      <c r="C205">
        <f>IF(AES!B88="","",AES!B88)</f>
        <v/>
      </c>
      <c r="D205">
        <f>IF(AES!D88="","",AES!D88)</f>
        <v/>
      </c>
      <c r="E205">
        <f>IF(AES!F88="","",AES!F88)</f>
        <v/>
      </c>
      <c r="F205">
        <f>IF(AES!I88="","",AES!I88)</f>
        <v/>
      </c>
      <c r="G205">
        <f>IF(AES!M88="","",AES!M88)</f>
        <v/>
      </c>
      <c r="H205">
        <f>IF(AES!N88="","",AES!N88)</f>
        <v/>
      </c>
      <c r="I205">
        <f>IF(AES!O88="","",AES!O88)</f>
        <v/>
      </c>
      <c r="J205">
        <f>IF(D205="","",IF(F205="","",G205+ROW()/100000))</f>
        <v/>
      </c>
    </row>
    <row r="206">
      <c r="A206">
        <f>IF(AES!D89="","","AES")</f>
        <v/>
      </c>
      <c r="B206">
        <f>IF(AES!C89="","",AES!C89)</f>
        <v/>
      </c>
      <c r="C206">
        <f>IF(AES!B89="","",AES!B89)</f>
        <v/>
      </c>
      <c r="D206">
        <f>IF(AES!D89="","",AES!D89)</f>
        <v/>
      </c>
      <c r="E206">
        <f>IF(AES!F89="","",AES!F89)</f>
        <v/>
      </c>
      <c r="F206">
        <f>IF(AES!I89="","",AES!I89)</f>
        <v/>
      </c>
      <c r="G206">
        <f>IF(AES!M89="","",AES!M89)</f>
        <v/>
      </c>
      <c r="H206">
        <f>IF(AES!N89="","",AES!N89)</f>
        <v/>
      </c>
      <c r="I206">
        <f>IF(AES!O89="","",AES!O89)</f>
        <v/>
      </c>
      <c r="J206">
        <f>IF(D206="","",IF(F206="","",G206+ROW()/100000))</f>
        <v/>
      </c>
    </row>
    <row r="207">
      <c r="A207">
        <f>IF(AES!D90="","","AES")</f>
        <v/>
      </c>
      <c r="B207">
        <f>IF(AES!C90="","",AES!C90)</f>
        <v/>
      </c>
      <c r="C207">
        <f>IF(AES!B90="","",AES!B90)</f>
        <v/>
      </c>
      <c r="D207">
        <f>IF(AES!D90="","",AES!D90)</f>
        <v/>
      </c>
      <c r="E207">
        <f>IF(AES!F90="","",AES!F90)</f>
        <v/>
      </c>
      <c r="F207">
        <f>IF(AES!I90="","",AES!I90)</f>
        <v/>
      </c>
      <c r="G207">
        <f>IF(AES!M90="","",AES!M90)</f>
        <v/>
      </c>
      <c r="H207">
        <f>IF(AES!N90="","",AES!N90)</f>
        <v/>
      </c>
      <c r="I207">
        <f>IF(AES!O90="","",AES!O90)</f>
        <v/>
      </c>
      <c r="J207">
        <f>IF(D207="","",IF(F207="","",G207+ROW()/100000))</f>
        <v/>
      </c>
    </row>
    <row r="208">
      <c r="A208">
        <f>IF(AES!D91="","","AES")</f>
        <v/>
      </c>
      <c r="B208">
        <f>IF(AES!C91="","",AES!C91)</f>
        <v/>
      </c>
      <c r="C208">
        <f>IF(AES!B91="","",AES!B91)</f>
        <v/>
      </c>
      <c r="D208">
        <f>IF(AES!D91="","",AES!D91)</f>
        <v/>
      </c>
      <c r="E208">
        <f>IF(AES!F91="","",AES!F91)</f>
        <v/>
      </c>
      <c r="F208">
        <f>IF(AES!I91="","",AES!I91)</f>
        <v/>
      </c>
      <c r="G208">
        <f>IF(AES!M91="","",AES!M91)</f>
        <v/>
      </c>
      <c r="H208">
        <f>IF(AES!N91="","",AES!N91)</f>
        <v/>
      </c>
      <c r="I208">
        <f>IF(AES!O91="","",AES!O91)</f>
        <v/>
      </c>
      <c r="J208">
        <f>IF(D208="","",IF(F208="","",G208+ROW()/100000))</f>
        <v/>
      </c>
    </row>
    <row r="209">
      <c r="A209">
        <f>IF(AES!D92="","","AES")</f>
        <v/>
      </c>
      <c r="B209">
        <f>IF(AES!C92="","",AES!C92)</f>
        <v/>
      </c>
      <c r="C209">
        <f>IF(AES!B92="","",AES!B92)</f>
        <v/>
      </c>
      <c r="D209">
        <f>IF(AES!D92="","",AES!D92)</f>
        <v/>
      </c>
      <c r="E209">
        <f>IF(AES!F92="","",AES!F92)</f>
        <v/>
      </c>
      <c r="F209">
        <f>IF(AES!I92="","",AES!I92)</f>
        <v/>
      </c>
      <c r="G209">
        <f>IF(AES!M92="","",AES!M92)</f>
        <v/>
      </c>
      <c r="H209">
        <f>IF(AES!N92="","",AES!N92)</f>
        <v/>
      </c>
      <c r="I209">
        <f>IF(AES!O92="","",AES!O92)</f>
        <v/>
      </c>
      <c r="J209">
        <f>IF(D209="","",IF(F209="","",G209+ROW()/100000))</f>
        <v/>
      </c>
    </row>
    <row r="210">
      <c r="A210">
        <f>IF(AES!D93="","","AES")</f>
        <v/>
      </c>
      <c r="B210">
        <f>IF(AES!C93="","",AES!C93)</f>
        <v/>
      </c>
      <c r="C210">
        <f>IF(AES!B93="","",AES!B93)</f>
        <v/>
      </c>
      <c r="D210">
        <f>IF(AES!D93="","",AES!D93)</f>
        <v/>
      </c>
      <c r="E210">
        <f>IF(AES!F93="","",AES!F93)</f>
        <v/>
      </c>
      <c r="F210">
        <f>IF(AES!I93="","",AES!I93)</f>
        <v/>
      </c>
      <c r="G210">
        <f>IF(AES!M93="","",AES!M93)</f>
        <v/>
      </c>
      <c r="H210">
        <f>IF(AES!N93="","",AES!N93)</f>
        <v/>
      </c>
      <c r="I210">
        <f>IF(AES!O93="","",AES!O93)</f>
        <v/>
      </c>
      <c r="J210">
        <f>IF(D210="","",IF(F210="","",G210+ROW()/100000))</f>
        <v/>
      </c>
    </row>
    <row r="211">
      <c r="A211">
        <f>IF(AES!D94="","","AES")</f>
        <v/>
      </c>
      <c r="B211">
        <f>IF(AES!C94="","",AES!C94)</f>
        <v/>
      </c>
      <c r="C211">
        <f>IF(AES!B94="","",AES!B94)</f>
        <v/>
      </c>
      <c r="D211">
        <f>IF(AES!D94="","",AES!D94)</f>
        <v/>
      </c>
      <c r="E211">
        <f>IF(AES!F94="","",AES!F94)</f>
        <v/>
      </c>
      <c r="F211">
        <f>IF(AES!I94="","",AES!I94)</f>
        <v/>
      </c>
      <c r="G211">
        <f>IF(AES!M94="","",AES!M94)</f>
        <v/>
      </c>
      <c r="H211">
        <f>IF(AES!N94="","",AES!N94)</f>
        <v/>
      </c>
      <c r="I211">
        <f>IF(AES!O94="","",AES!O94)</f>
        <v/>
      </c>
      <c r="J211">
        <f>IF(D211="","",IF(F211="","",G211+ROW()/100000))</f>
        <v/>
      </c>
    </row>
    <row r="212">
      <c r="A212">
        <f>IF(AES!D95="","","AES")</f>
        <v/>
      </c>
      <c r="B212">
        <f>IF(AES!C95="","",AES!C95)</f>
        <v/>
      </c>
      <c r="C212">
        <f>IF(AES!B95="","",AES!B95)</f>
        <v/>
      </c>
      <c r="D212">
        <f>IF(AES!D95="","",AES!D95)</f>
        <v/>
      </c>
      <c r="E212">
        <f>IF(AES!F95="","",AES!F95)</f>
        <v/>
      </c>
      <c r="F212">
        <f>IF(AES!I95="","",AES!I95)</f>
        <v/>
      </c>
      <c r="G212">
        <f>IF(AES!M95="","",AES!M95)</f>
        <v/>
      </c>
      <c r="H212">
        <f>IF(AES!N95="","",AES!N95)</f>
        <v/>
      </c>
      <c r="I212">
        <f>IF(AES!O95="","",AES!O95)</f>
        <v/>
      </c>
      <c r="J212">
        <f>IF(D212="","",IF(F212="","",G212+ROW()/100000))</f>
        <v/>
      </c>
    </row>
    <row r="213">
      <c r="A213">
        <f>IF(AES!D96="","","AES")</f>
        <v/>
      </c>
      <c r="B213">
        <f>IF(AES!C96="","",AES!C96)</f>
        <v/>
      </c>
      <c r="C213">
        <f>IF(AES!B96="","",AES!B96)</f>
        <v/>
      </c>
      <c r="D213">
        <f>IF(AES!D96="","",AES!D96)</f>
        <v/>
      </c>
      <c r="E213">
        <f>IF(AES!F96="","",AES!F96)</f>
        <v/>
      </c>
      <c r="F213">
        <f>IF(AES!I96="","",AES!I96)</f>
        <v/>
      </c>
      <c r="G213">
        <f>IF(AES!M96="","",AES!M96)</f>
        <v/>
      </c>
      <c r="H213">
        <f>IF(AES!N96="","",AES!N96)</f>
        <v/>
      </c>
      <c r="I213">
        <f>IF(AES!O96="","",AES!O96)</f>
        <v/>
      </c>
      <c r="J213">
        <f>IF(D213="","",IF(F213="","",G213+ROW()/100000))</f>
        <v/>
      </c>
    </row>
    <row r="214">
      <c r="A214">
        <f>IF(AES!D97="","","AES")</f>
        <v/>
      </c>
      <c r="B214">
        <f>IF(AES!C97="","",AES!C97)</f>
        <v/>
      </c>
      <c r="C214">
        <f>IF(AES!B97="","",AES!B97)</f>
        <v/>
      </c>
      <c r="D214">
        <f>IF(AES!D97="","",AES!D97)</f>
        <v/>
      </c>
      <c r="E214">
        <f>IF(AES!F97="","",AES!F97)</f>
        <v/>
      </c>
      <c r="F214">
        <f>IF(AES!I97="","",AES!I97)</f>
        <v/>
      </c>
      <c r="G214">
        <f>IF(AES!M97="","",AES!M97)</f>
        <v/>
      </c>
      <c r="H214">
        <f>IF(AES!N97="","",AES!N97)</f>
        <v/>
      </c>
      <c r="I214">
        <f>IF(AES!O97="","",AES!O97)</f>
        <v/>
      </c>
      <c r="J214">
        <f>IF(D214="","",IF(F214="","",G214+ROW()/100000))</f>
        <v/>
      </c>
    </row>
    <row r="215">
      <c r="A215">
        <f>IF(AES!D98="","","AES")</f>
        <v/>
      </c>
      <c r="B215">
        <f>IF(AES!C98="","",AES!C98)</f>
        <v/>
      </c>
      <c r="C215">
        <f>IF(AES!B98="","",AES!B98)</f>
        <v/>
      </c>
      <c r="D215">
        <f>IF(AES!D98="","",AES!D98)</f>
        <v/>
      </c>
      <c r="E215">
        <f>IF(AES!F98="","",AES!F98)</f>
        <v/>
      </c>
      <c r="F215">
        <f>IF(AES!I98="","",AES!I98)</f>
        <v/>
      </c>
      <c r="G215">
        <f>IF(AES!M98="","",AES!M98)</f>
        <v/>
      </c>
      <c r="H215">
        <f>IF(AES!N98="","",AES!N98)</f>
        <v/>
      </c>
      <c r="I215">
        <f>IF(AES!O98="","",AES!O98)</f>
        <v/>
      </c>
      <c r="J215">
        <f>IF(D215="","",IF(F215="","",G215+ROW()/100000))</f>
        <v/>
      </c>
    </row>
    <row r="216">
      <c r="A216">
        <f>IF(AES!D99="","","AES")</f>
        <v/>
      </c>
      <c r="B216">
        <f>IF(AES!C99="","",AES!C99)</f>
        <v/>
      </c>
      <c r="C216">
        <f>IF(AES!B99="","",AES!B99)</f>
        <v/>
      </c>
      <c r="D216">
        <f>IF(AES!D99="","",AES!D99)</f>
        <v/>
      </c>
      <c r="E216">
        <f>IF(AES!F99="","",AES!F99)</f>
        <v/>
      </c>
      <c r="F216">
        <f>IF(AES!I99="","",AES!I99)</f>
        <v/>
      </c>
      <c r="G216">
        <f>IF(AES!M99="","",AES!M99)</f>
        <v/>
      </c>
      <c r="H216">
        <f>IF(AES!N99="","",AES!N99)</f>
        <v/>
      </c>
      <c r="I216">
        <f>IF(AES!O99="","",AES!O99)</f>
        <v/>
      </c>
      <c r="J216">
        <f>IF(D216="","",IF(F216="","",G216+ROW()/100000))</f>
        <v/>
      </c>
    </row>
    <row r="217">
      <c r="A217">
        <f>IF(AES!D100="","","AES")</f>
        <v/>
      </c>
      <c r="B217">
        <f>IF(AES!C100="","",AES!C100)</f>
        <v/>
      </c>
      <c r="C217">
        <f>IF(AES!B100="","",AES!B100)</f>
        <v/>
      </c>
      <c r="D217">
        <f>IF(AES!D100="","",AES!D100)</f>
        <v/>
      </c>
      <c r="E217">
        <f>IF(AES!F100="","",AES!F100)</f>
        <v/>
      </c>
      <c r="F217">
        <f>IF(AES!I100="","",AES!I100)</f>
        <v/>
      </c>
      <c r="G217">
        <f>IF(AES!M100="","",AES!M100)</f>
        <v/>
      </c>
      <c r="H217">
        <f>IF(AES!N100="","",AES!N100)</f>
        <v/>
      </c>
      <c r="I217">
        <f>IF(AES!O100="","",AES!O100)</f>
        <v/>
      </c>
      <c r="J217">
        <f>IF(D217="","",IF(F217="","",G217+ROW()/100000))</f>
        <v/>
      </c>
    </row>
    <row r="218">
      <c r="A218">
        <f>IF(AES!D101="","","AES")</f>
        <v/>
      </c>
      <c r="B218">
        <f>IF(AES!C101="","",AES!C101)</f>
        <v/>
      </c>
      <c r="C218">
        <f>IF(AES!B101="","",AES!B101)</f>
        <v/>
      </c>
      <c r="D218">
        <f>IF(AES!D101="","",AES!D101)</f>
        <v/>
      </c>
      <c r="E218">
        <f>IF(AES!F101="","",AES!F101)</f>
        <v/>
      </c>
      <c r="F218">
        <f>IF(AES!I101="","",AES!I101)</f>
        <v/>
      </c>
      <c r="G218">
        <f>IF(AES!M101="","",AES!M101)</f>
        <v/>
      </c>
      <c r="H218">
        <f>IF(AES!N101="","",AES!N101)</f>
        <v/>
      </c>
      <c r="I218">
        <f>IF(AES!O101="","",AES!O101)</f>
        <v/>
      </c>
      <c r="J218">
        <f>IF(D218="","",IF(F218="","",G218+ROW()/100000))</f>
        <v/>
      </c>
    </row>
    <row r="219">
      <c r="A219">
        <f>IF(AES!D102="","","AES")</f>
        <v/>
      </c>
      <c r="B219">
        <f>IF(AES!C102="","",AES!C102)</f>
        <v/>
      </c>
      <c r="C219">
        <f>IF(AES!B102="","",AES!B102)</f>
        <v/>
      </c>
      <c r="D219">
        <f>IF(AES!D102="","",AES!D102)</f>
        <v/>
      </c>
      <c r="E219">
        <f>IF(AES!F102="","",AES!F102)</f>
        <v/>
      </c>
      <c r="F219">
        <f>IF(AES!I102="","",AES!I102)</f>
        <v/>
      </c>
      <c r="G219">
        <f>IF(AES!M102="","",AES!M102)</f>
        <v/>
      </c>
      <c r="H219">
        <f>IF(AES!N102="","",AES!N102)</f>
        <v/>
      </c>
      <c r="I219">
        <f>IF(AES!O102="","",AES!O102)</f>
        <v/>
      </c>
      <c r="J219">
        <f>IF(D219="","",IF(F219="","",G219+ROW()/100000))</f>
        <v/>
      </c>
    </row>
    <row r="220">
      <c r="A220">
        <f>IF(AES!D103="","","AES")</f>
        <v/>
      </c>
      <c r="B220">
        <f>IF(AES!C103="","",AES!C103)</f>
        <v/>
      </c>
      <c r="C220">
        <f>IF(AES!B103="","",AES!B103)</f>
        <v/>
      </c>
      <c r="D220">
        <f>IF(AES!D103="","",AES!D103)</f>
        <v/>
      </c>
      <c r="E220">
        <f>IF(AES!F103="","",AES!F103)</f>
        <v/>
      </c>
      <c r="F220">
        <f>IF(AES!I103="","",AES!I103)</f>
        <v/>
      </c>
      <c r="G220">
        <f>IF(AES!M103="","",AES!M103)</f>
        <v/>
      </c>
      <c r="H220">
        <f>IF(AES!N103="","",AES!N103)</f>
        <v/>
      </c>
      <c r="I220">
        <f>IF(AES!O103="","",AES!O103)</f>
        <v/>
      </c>
      <c r="J220">
        <f>IF(D220="","",IF(F220="","",G220+ROW()/100000))</f>
        <v/>
      </c>
    </row>
    <row r="221">
      <c r="A221">
        <f>IF(AES!D104="","","AES")</f>
        <v/>
      </c>
      <c r="B221">
        <f>IF(AES!C104="","",AES!C104)</f>
        <v/>
      </c>
      <c r="C221">
        <f>IF(AES!B104="","",AES!B104)</f>
        <v/>
      </c>
      <c r="D221">
        <f>IF(AES!D104="","",AES!D104)</f>
        <v/>
      </c>
      <c r="E221">
        <f>IF(AES!F104="","",AES!F104)</f>
        <v/>
      </c>
      <c r="F221">
        <f>IF(AES!I104="","",AES!I104)</f>
        <v/>
      </c>
      <c r="G221">
        <f>IF(AES!M104="","",AES!M104)</f>
        <v/>
      </c>
      <c r="H221">
        <f>IF(AES!N104="","",AES!N104)</f>
        <v/>
      </c>
      <c r="I221">
        <f>IF(AES!O104="","",AES!O104)</f>
        <v/>
      </c>
      <c r="J221">
        <f>IF(D221="","",IF(F221="","",G221+ROW()/100000))</f>
        <v/>
      </c>
    </row>
    <row r="222">
      <c r="A222">
        <f>IF(AES!D105="","","AES")</f>
        <v/>
      </c>
      <c r="B222">
        <f>IF(AES!C105="","",AES!C105)</f>
        <v/>
      </c>
      <c r="C222">
        <f>IF(AES!B105="","",AES!B105)</f>
        <v/>
      </c>
      <c r="D222">
        <f>IF(AES!D105="","",AES!D105)</f>
        <v/>
      </c>
      <c r="E222">
        <f>IF(AES!F105="","",AES!F105)</f>
        <v/>
      </c>
      <c r="F222">
        <f>IF(AES!I105="","",AES!I105)</f>
        <v/>
      </c>
      <c r="G222">
        <f>IF(AES!M105="","",AES!M105)</f>
        <v/>
      </c>
      <c r="H222">
        <f>IF(AES!N105="","",AES!N105)</f>
        <v/>
      </c>
      <c r="I222">
        <f>IF(AES!O105="","",AES!O105)</f>
        <v/>
      </c>
      <c r="J222">
        <f>IF(D222="","",IF(F222="","",G222+ROW()/100000))</f>
        <v/>
      </c>
    </row>
    <row r="223">
      <c r="A223">
        <f>IF(AES!D106="","","AES")</f>
        <v/>
      </c>
      <c r="B223">
        <f>IF(AES!C106="","",AES!C106)</f>
        <v/>
      </c>
      <c r="C223">
        <f>IF(AES!B106="","",AES!B106)</f>
        <v/>
      </c>
      <c r="D223">
        <f>IF(AES!D106="","",AES!D106)</f>
        <v/>
      </c>
      <c r="E223">
        <f>IF(AES!F106="","",AES!F106)</f>
        <v/>
      </c>
      <c r="F223">
        <f>IF(AES!I106="","",AES!I106)</f>
        <v/>
      </c>
      <c r="G223">
        <f>IF(AES!M106="","",AES!M106)</f>
        <v/>
      </c>
      <c r="H223">
        <f>IF(AES!N106="","",AES!N106)</f>
        <v/>
      </c>
      <c r="I223">
        <f>IF(AES!O106="","",AES!O106)</f>
        <v/>
      </c>
      <c r="J223">
        <f>IF(D223="","",IF(F223="","",G223+ROW()/100000))</f>
        <v/>
      </c>
    </row>
    <row r="224">
      <c r="A224">
        <f>IF(AES!D107="","","AES")</f>
        <v/>
      </c>
      <c r="B224">
        <f>IF(AES!C107="","",AES!C107)</f>
        <v/>
      </c>
      <c r="C224">
        <f>IF(AES!B107="","",AES!B107)</f>
        <v/>
      </c>
      <c r="D224">
        <f>IF(AES!D107="","",AES!D107)</f>
        <v/>
      </c>
      <c r="E224">
        <f>IF(AES!F107="","",AES!F107)</f>
        <v/>
      </c>
      <c r="F224">
        <f>IF(AES!I107="","",AES!I107)</f>
        <v/>
      </c>
      <c r="G224">
        <f>IF(AES!M107="","",AES!M107)</f>
        <v/>
      </c>
      <c r="H224">
        <f>IF(AES!N107="","",AES!N107)</f>
        <v/>
      </c>
      <c r="I224">
        <f>IF(AES!O107="","",AES!O107)</f>
        <v/>
      </c>
      <c r="J224">
        <f>IF(D224="","",IF(F224="","",G224+ROW()/100000))</f>
        <v/>
      </c>
    </row>
    <row r="225">
      <c r="A225">
        <f>IF(AES!D108="","","AES")</f>
        <v/>
      </c>
      <c r="B225">
        <f>IF(AES!C108="","",AES!C108)</f>
        <v/>
      </c>
      <c r="C225">
        <f>IF(AES!B108="","",AES!B108)</f>
        <v/>
      </c>
      <c r="D225">
        <f>IF(AES!D108="","",AES!D108)</f>
        <v/>
      </c>
      <c r="E225">
        <f>IF(AES!F108="","",AES!F108)</f>
        <v/>
      </c>
      <c r="F225">
        <f>IF(AES!I108="","",AES!I108)</f>
        <v/>
      </c>
      <c r="G225">
        <f>IF(AES!M108="","",AES!M108)</f>
        <v/>
      </c>
      <c r="H225">
        <f>IF(AES!N108="","",AES!N108)</f>
        <v/>
      </c>
      <c r="I225">
        <f>IF(AES!O108="","",AES!O108)</f>
        <v/>
      </c>
      <c r="J225">
        <f>IF(D225="","",IF(F225="","",G225+ROW()/100000))</f>
        <v/>
      </c>
    </row>
    <row r="226">
      <c r="A226">
        <f>IF(AES!D109="","","AES")</f>
        <v/>
      </c>
      <c r="B226">
        <f>IF(AES!C109="","",AES!C109)</f>
        <v/>
      </c>
      <c r="C226">
        <f>IF(AES!B109="","",AES!B109)</f>
        <v/>
      </c>
      <c r="D226">
        <f>IF(AES!D109="","",AES!D109)</f>
        <v/>
      </c>
      <c r="E226">
        <f>IF(AES!F109="","",AES!F109)</f>
        <v/>
      </c>
      <c r="F226">
        <f>IF(AES!I109="","",AES!I109)</f>
        <v/>
      </c>
      <c r="G226">
        <f>IF(AES!M109="","",AES!M109)</f>
        <v/>
      </c>
      <c r="H226">
        <f>IF(AES!N109="","",AES!N109)</f>
        <v/>
      </c>
      <c r="I226">
        <f>IF(AES!O109="","",AES!O109)</f>
        <v/>
      </c>
      <c r="J226">
        <f>IF(D226="","",IF(F226="","",G226+ROW()/100000))</f>
        <v/>
      </c>
    </row>
    <row r="227">
      <c r="A227">
        <f>IF(AES!D110="","","AES")</f>
        <v/>
      </c>
      <c r="B227">
        <f>IF(AES!C110="","",AES!C110)</f>
        <v/>
      </c>
      <c r="C227">
        <f>IF(AES!B110="","",AES!B110)</f>
        <v/>
      </c>
      <c r="D227">
        <f>IF(AES!D110="","",AES!D110)</f>
        <v/>
      </c>
      <c r="E227">
        <f>IF(AES!F110="","",AES!F110)</f>
        <v/>
      </c>
      <c r="F227">
        <f>IF(AES!I110="","",AES!I110)</f>
        <v/>
      </c>
      <c r="G227">
        <f>IF(AES!M110="","",AES!M110)</f>
        <v/>
      </c>
      <c r="H227">
        <f>IF(AES!N110="","",AES!N110)</f>
        <v/>
      </c>
      <c r="I227">
        <f>IF(AES!O110="","",AES!O110)</f>
        <v/>
      </c>
      <c r="J227">
        <f>IF(D227="","",IF(F227="","",G227+ROW()/100000))</f>
        <v/>
      </c>
    </row>
    <row r="228">
      <c r="A228">
        <f>IF(AES!D111="","","AES")</f>
        <v/>
      </c>
      <c r="B228">
        <f>IF(AES!C111="","",AES!C111)</f>
        <v/>
      </c>
      <c r="C228">
        <f>IF(AES!B111="","",AES!B111)</f>
        <v/>
      </c>
      <c r="D228">
        <f>IF(AES!D111="","",AES!D111)</f>
        <v/>
      </c>
      <c r="E228">
        <f>IF(AES!F111="","",AES!F111)</f>
        <v/>
      </c>
      <c r="F228">
        <f>IF(AES!I111="","",AES!I111)</f>
        <v/>
      </c>
      <c r="G228">
        <f>IF(AES!M111="","",AES!M111)</f>
        <v/>
      </c>
      <c r="H228">
        <f>IF(AES!N111="","",AES!N111)</f>
        <v/>
      </c>
      <c r="I228">
        <f>IF(AES!O111="","",AES!O111)</f>
        <v/>
      </c>
      <c r="J228">
        <f>IF(D228="","",IF(F228="","",G228+ROW()/100000))</f>
        <v/>
      </c>
    </row>
    <row r="229">
      <c r="A229">
        <f>IF(AES!D112="","","AES")</f>
        <v/>
      </c>
      <c r="B229">
        <f>IF(AES!C112="","",AES!C112)</f>
        <v/>
      </c>
      <c r="C229">
        <f>IF(AES!B112="","",AES!B112)</f>
        <v/>
      </c>
      <c r="D229">
        <f>IF(AES!D112="","",AES!D112)</f>
        <v/>
      </c>
      <c r="E229">
        <f>IF(AES!F112="","",AES!F112)</f>
        <v/>
      </c>
      <c r="F229">
        <f>IF(AES!I112="","",AES!I112)</f>
        <v/>
      </c>
      <c r="G229">
        <f>IF(AES!M112="","",AES!M112)</f>
        <v/>
      </c>
      <c r="H229">
        <f>IF(AES!N112="","",AES!N112)</f>
        <v/>
      </c>
      <c r="I229">
        <f>IF(AES!O112="","",AES!O112)</f>
        <v/>
      </c>
      <c r="J229">
        <f>IF(D229="","",IF(F229="","",G229+ROW()/100000))</f>
        <v/>
      </c>
    </row>
    <row r="230">
      <c r="A230">
        <f>IF(AES!D113="","","AES")</f>
        <v/>
      </c>
      <c r="B230">
        <f>IF(AES!C113="","",AES!C113)</f>
        <v/>
      </c>
      <c r="C230">
        <f>IF(AES!B113="","",AES!B113)</f>
        <v/>
      </c>
      <c r="D230">
        <f>IF(AES!D113="","",AES!D113)</f>
        <v/>
      </c>
      <c r="E230">
        <f>IF(AES!F113="","",AES!F113)</f>
        <v/>
      </c>
      <c r="F230">
        <f>IF(AES!I113="","",AES!I113)</f>
        <v/>
      </c>
      <c r="G230">
        <f>IF(AES!M113="","",AES!M113)</f>
        <v/>
      </c>
      <c r="H230">
        <f>IF(AES!N113="","",AES!N113)</f>
        <v/>
      </c>
      <c r="I230">
        <f>IF(AES!O113="","",AES!O113)</f>
        <v/>
      </c>
      <c r="J230">
        <f>IF(D230="","",IF(F230="","",G230+ROW()/100000))</f>
        <v/>
      </c>
    </row>
    <row r="231">
      <c r="A231">
        <f>IF(AES!D114="","","AES")</f>
        <v/>
      </c>
      <c r="B231">
        <f>IF(AES!C114="","",AES!C114)</f>
        <v/>
      </c>
      <c r="C231">
        <f>IF(AES!B114="","",AES!B114)</f>
        <v/>
      </c>
      <c r="D231">
        <f>IF(AES!D114="","",AES!D114)</f>
        <v/>
      </c>
      <c r="E231">
        <f>IF(AES!F114="","",AES!F114)</f>
        <v/>
      </c>
      <c r="F231">
        <f>IF(AES!I114="","",AES!I114)</f>
        <v/>
      </c>
      <c r="G231">
        <f>IF(AES!M114="","",AES!M114)</f>
        <v/>
      </c>
      <c r="H231">
        <f>IF(AES!N114="","",AES!N114)</f>
        <v/>
      </c>
      <c r="I231">
        <f>IF(AES!O114="","",AES!O114)</f>
        <v/>
      </c>
      <c r="J231">
        <f>IF(D231="","",IF(F231="","",G231+ROW()/100000))</f>
        <v/>
      </c>
    </row>
    <row r="232">
      <c r="A232">
        <f>IF(AES!D115="","","AES")</f>
        <v/>
      </c>
      <c r="B232">
        <f>IF(AES!C115="","",AES!C115)</f>
        <v/>
      </c>
      <c r="C232">
        <f>IF(AES!B115="","",AES!B115)</f>
        <v/>
      </c>
      <c r="D232">
        <f>IF(AES!D115="","",AES!D115)</f>
        <v/>
      </c>
      <c r="E232">
        <f>IF(AES!F115="","",AES!F115)</f>
        <v/>
      </c>
      <c r="F232">
        <f>IF(AES!I115="","",AES!I115)</f>
        <v/>
      </c>
      <c r="G232">
        <f>IF(AES!M115="","",AES!M115)</f>
        <v/>
      </c>
      <c r="H232">
        <f>IF(AES!N115="","",AES!N115)</f>
        <v/>
      </c>
      <c r="I232">
        <f>IF(AES!O115="","",AES!O115)</f>
        <v/>
      </c>
      <c r="J232">
        <f>IF(D232="","",IF(F232="","",G232+ROW()/100000))</f>
        <v/>
      </c>
    </row>
    <row r="233">
      <c r="A233">
        <f>IF(AES!D116="","","AES")</f>
        <v/>
      </c>
      <c r="B233">
        <f>IF(AES!C116="","",AES!C116)</f>
        <v/>
      </c>
      <c r="C233">
        <f>IF(AES!B116="","",AES!B116)</f>
        <v/>
      </c>
      <c r="D233">
        <f>IF(AES!D116="","",AES!D116)</f>
        <v/>
      </c>
      <c r="E233">
        <f>IF(AES!F116="","",AES!F116)</f>
        <v/>
      </c>
      <c r="F233">
        <f>IF(AES!I116="","",AES!I116)</f>
        <v/>
      </c>
      <c r="G233">
        <f>IF(AES!M116="","",AES!M116)</f>
        <v/>
      </c>
      <c r="H233">
        <f>IF(AES!N116="","",AES!N116)</f>
        <v/>
      </c>
      <c r="I233">
        <f>IF(AES!O116="","",AES!O116)</f>
        <v/>
      </c>
      <c r="J233">
        <f>IF(D233="","",IF(F233="","",G233+ROW()/100000))</f>
        <v/>
      </c>
    </row>
    <row r="234">
      <c r="A234">
        <f>IF(AES!D117="","","AES")</f>
        <v/>
      </c>
      <c r="B234">
        <f>IF(AES!C117="","",AES!C117)</f>
        <v/>
      </c>
      <c r="C234">
        <f>IF(AES!B117="","",AES!B117)</f>
        <v/>
      </c>
      <c r="D234">
        <f>IF(AES!D117="","",AES!D117)</f>
        <v/>
      </c>
      <c r="E234">
        <f>IF(AES!F117="","",AES!F117)</f>
        <v/>
      </c>
      <c r="F234">
        <f>IF(AES!I117="","",AES!I117)</f>
        <v/>
      </c>
      <c r="G234">
        <f>IF(AES!M117="","",AES!M117)</f>
        <v/>
      </c>
      <c r="H234">
        <f>IF(AES!N117="","",AES!N117)</f>
        <v/>
      </c>
      <c r="I234">
        <f>IF(AES!O117="","",AES!O117)</f>
        <v/>
      </c>
      <c r="J234">
        <f>IF(D234="","",IF(F234="","",G234+ROW()/100000))</f>
        <v/>
      </c>
    </row>
    <row r="235">
      <c r="A235">
        <f>IF(AES!D118="","","AES")</f>
        <v/>
      </c>
      <c r="B235">
        <f>IF(AES!C118="","",AES!C118)</f>
        <v/>
      </c>
      <c r="C235">
        <f>IF(AES!B118="","",AES!B118)</f>
        <v/>
      </c>
      <c r="D235">
        <f>IF(AES!D118="","",AES!D118)</f>
        <v/>
      </c>
      <c r="E235">
        <f>IF(AES!F118="","",AES!F118)</f>
        <v/>
      </c>
      <c r="F235">
        <f>IF(AES!I118="","",AES!I118)</f>
        <v/>
      </c>
      <c r="G235">
        <f>IF(AES!M118="","",AES!M118)</f>
        <v/>
      </c>
      <c r="H235">
        <f>IF(AES!N118="","",AES!N118)</f>
        <v/>
      </c>
      <c r="I235">
        <f>IF(AES!O118="","",AES!O118)</f>
        <v/>
      </c>
      <c r="J235">
        <f>IF(D235="","",IF(F235="","",G235+ROW()/100000))</f>
        <v/>
      </c>
    </row>
    <row r="236">
      <c r="A236">
        <f>IF(AES!D119="","","AES")</f>
        <v/>
      </c>
      <c r="B236">
        <f>IF(AES!C119="","",AES!C119)</f>
        <v/>
      </c>
      <c r="C236">
        <f>IF(AES!B119="","",AES!B119)</f>
        <v/>
      </c>
      <c r="D236">
        <f>IF(AES!D119="","",AES!D119)</f>
        <v/>
      </c>
      <c r="E236">
        <f>IF(AES!F119="","",AES!F119)</f>
        <v/>
      </c>
      <c r="F236">
        <f>IF(AES!I119="","",AES!I119)</f>
        <v/>
      </c>
      <c r="G236">
        <f>IF(AES!M119="","",AES!M119)</f>
        <v/>
      </c>
      <c r="H236">
        <f>IF(AES!N119="","",AES!N119)</f>
        <v/>
      </c>
      <c r="I236">
        <f>IF(AES!O119="","",AES!O119)</f>
        <v/>
      </c>
      <c r="J236">
        <f>IF(D236="","",IF(F236="","",G236+ROW()/100000))</f>
        <v/>
      </c>
    </row>
    <row r="237">
      <c r="A237">
        <f>IF(AES!D120="","","AES")</f>
        <v/>
      </c>
      <c r="B237">
        <f>IF(AES!C120="","",AES!C120)</f>
        <v/>
      </c>
      <c r="C237">
        <f>IF(AES!B120="","",AES!B120)</f>
        <v/>
      </c>
      <c r="D237">
        <f>IF(AES!D120="","",AES!D120)</f>
        <v/>
      </c>
      <c r="E237">
        <f>IF(AES!F120="","",AES!F120)</f>
        <v/>
      </c>
      <c r="F237">
        <f>IF(AES!I120="","",AES!I120)</f>
        <v/>
      </c>
      <c r="G237">
        <f>IF(AES!M120="","",AES!M120)</f>
        <v/>
      </c>
      <c r="H237">
        <f>IF(AES!N120="","",AES!N120)</f>
        <v/>
      </c>
      <c r="I237">
        <f>IF(AES!O120="","",AES!O120)</f>
        <v/>
      </c>
      <c r="J237">
        <f>IF(D237="","",IF(F237="","",G237+ROW()/100000))</f>
        <v/>
      </c>
    </row>
    <row r="238">
      <c r="A238">
        <f>IF(AES!D121="","","AES")</f>
        <v/>
      </c>
      <c r="B238">
        <f>IF(AES!C121="","",AES!C121)</f>
        <v/>
      </c>
      <c r="C238">
        <f>IF(AES!B121="","",AES!B121)</f>
        <v/>
      </c>
      <c r="D238">
        <f>IF(AES!D121="","",AES!D121)</f>
        <v/>
      </c>
      <c r="E238">
        <f>IF(AES!F121="","",AES!F121)</f>
        <v/>
      </c>
      <c r="F238">
        <f>IF(AES!I121="","",AES!I121)</f>
        <v/>
      </c>
      <c r="G238">
        <f>IF(AES!M121="","",AES!M121)</f>
        <v/>
      </c>
      <c r="H238">
        <f>IF(AES!N121="","",AES!N121)</f>
        <v/>
      </c>
      <c r="I238">
        <f>IF(AES!O121="","",AES!O121)</f>
        <v/>
      </c>
      <c r="J238">
        <f>IF(D238="","",IF(F238="","",G238+ROW()/100000))</f>
        <v/>
      </c>
    </row>
    <row r="239">
      <c r="A239">
        <f>IF(AES!D122="","","AES")</f>
        <v/>
      </c>
      <c r="B239">
        <f>IF(AES!C122="","",AES!C122)</f>
        <v/>
      </c>
      <c r="C239">
        <f>IF(AES!B122="","",AES!B122)</f>
        <v/>
      </c>
      <c r="D239">
        <f>IF(AES!D122="","",AES!D122)</f>
        <v/>
      </c>
      <c r="E239">
        <f>IF(AES!F122="","",AES!F122)</f>
        <v/>
      </c>
      <c r="F239">
        <f>IF(AES!I122="","",AES!I122)</f>
        <v/>
      </c>
      <c r="G239">
        <f>IF(AES!M122="","",AES!M122)</f>
        <v/>
      </c>
      <c r="H239">
        <f>IF(AES!N122="","",AES!N122)</f>
        <v/>
      </c>
      <c r="I239">
        <f>IF(AES!O122="","",AES!O122)</f>
        <v/>
      </c>
      <c r="J239">
        <f>IF(D239="","",IF(F239="","",G239+ROW()/100000))</f>
        <v/>
      </c>
    </row>
    <row r="240">
      <c r="A240">
        <f>IF(AES!D123="","","AES")</f>
        <v/>
      </c>
      <c r="B240">
        <f>IF(AES!C123="","",AES!C123)</f>
        <v/>
      </c>
      <c r="C240">
        <f>IF(AES!B123="","",AES!B123)</f>
        <v/>
      </c>
      <c r="D240">
        <f>IF(AES!D123="","",AES!D123)</f>
        <v/>
      </c>
      <c r="E240">
        <f>IF(AES!F123="","",AES!F123)</f>
        <v/>
      </c>
      <c r="F240">
        <f>IF(AES!I123="","",AES!I123)</f>
        <v/>
      </c>
      <c r="G240">
        <f>IF(AES!M123="","",AES!M123)</f>
        <v/>
      </c>
      <c r="H240">
        <f>IF(AES!N123="","",AES!N123)</f>
        <v/>
      </c>
      <c r="I240">
        <f>IF(AES!O123="","",AES!O123)</f>
        <v/>
      </c>
      <c r="J240">
        <f>IF(D240="","",IF(F240="","",G240+ROW()/100000))</f>
        <v/>
      </c>
    </row>
    <row r="241">
      <c r="A241">
        <f>IF(AES!D124="","","AES")</f>
        <v/>
      </c>
      <c r="B241">
        <f>IF(AES!C124="","",AES!C124)</f>
        <v/>
      </c>
      <c r="C241">
        <f>IF(AES!B124="","",AES!B124)</f>
        <v/>
      </c>
      <c r="D241">
        <f>IF(AES!D124="","",AES!D124)</f>
        <v/>
      </c>
      <c r="E241">
        <f>IF(AES!F124="","",AES!F124)</f>
        <v/>
      </c>
      <c r="F241">
        <f>IF(AES!I124="","",AES!I124)</f>
        <v/>
      </c>
      <c r="G241">
        <f>IF(AES!M124="","",AES!M124)</f>
        <v/>
      </c>
      <c r="H241">
        <f>IF(AES!N124="","",AES!N124)</f>
        <v/>
      </c>
      <c r="I241">
        <f>IF(AES!O124="","",AES!O124)</f>
        <v/>
      </c>
      <c r="J241">
        <f>IF(D241="","",IF(F241="","",G241+ROW()/100000))</f>
        <v/>
      </c>
    </row>
    <row r="242">
      <c r="A242">
        <f>IF(LYF!D5="","","LYF")</f>
        <v/>
      </c>
      <c r="B242">
        <f>IF(LYF!C5="","",LYF!C5)</f>
        <v/>
      </c>
      <c r="C242">
        <f>IF(LYF!B5="","",LYF!B5)</f>
        <v/>
      </c>
      <c r="D242">
        <f>IF(LYF!D5="","",LYF!D5)</f>
        <v/>
      </c>
      <c r="E242">
        <f>IF(LYF!F5="","",LYF!F5)</f>
        <v/>
      </c>
      <c r="F242">
        <f>IF(LYF!I5="","",LYF!I5)</f>
        <v/>
      </c>
      <c r="G242">
        <f>IF(LYF!M5="","",LYF!M5)</f>
        <v/>
      </c>
      <c r="H242">
        <f>IF(LYF!N5="","",LYF!N5)</f>
        <v/>
      </c>
      <c r="I242">
        <f>IF(LYF!O5="","",LYF!O5)</f>
        <v/>
      </c>
      <c r="J242">
        <f>IF(D242="","",IF(F242="","",G242+ROW()/100000))</f>
        <v/>
      </c>
    </row>
    <row r="243">
      <c r="A243">
        <f>IF(LYF!D6="","","LYF")</f>
        <v/>
      </c>
      <c r="B243">
        <f>IF(LYF!C6="","",LYF!C6)</f>
        <v/>
      </c>
      <c r="C243">
        <f>IF(LYF!B6="","",LYF!B6)</f>
        <v/>
      </c>
      <c r="D243">
        <f>IF(LYF!D6="","",LYF!D6)</f>
        <v/>
      </c>
      <c r="E243">
        <f>IF(LYF!F6="","",LYF!F6)</f>
        <v/>
      </c>
      <c r="F243">
        <f>IF(LYF!I6="","",LYF!I6)</f>
        <v/>
      </c>
      <c r="G243">
        <f>IF(LYF!M6="","",LYF!M6)</f>
        <v/>
      </c>
      <c r="H243">
        <f>IF(LYF!N6="","",LYF!N6)</f>
        <v/>
      </c>
      <c r="I243">
        <f>IF(LYF!O6="","",LYF!O6)</f>
        <v/>
      </c>
      <c r="J243">
        <f>IF(D243="","",IF(F243="","",G243+ROW()/100000))</f>
        <v/>
      </c>
    </row>
    <row r="244">
      <c r="A244">
        <f>IF(LYF!D7="","","LYF")</f>
        <v/>
      </c>
      <c r="B244">
        <f>IF(LYF!C7="","",LYF!C7)</f>
        <v/>
      </c>
      <c r="C244">
        <f>IF(LYF!B7="","",LYF!B7)</f>
        <v/>
      </c>
      <c r="D244">
        <f>IF(LYF!D7="","",LYF!D7)</f>
        <v/>
      </c>
      <c r="E244">
        <f>IF(LYF!F7="","",LYF!F7)</f>
        <v/>
      </c>
      <c r="F244">
        <f>IF(LYF!I7="","",LYF!I7)</f>
        <v/>
      </c>
      <c r="G244">
        <f>IF(LYF!M7="","",LYF!M7)</f>
        <v/>
      </c>
      <c r="H244">
        <f>IF(LYF!N7="","",LYF!N7)</f>
        <v/>
      </c>
      <c r="I244">
        <f>IF(LYF!O7="","",LYF!O7)</f>
        <v/>
      </c>
      <c r="J244">
        <f>IF(D244="","",IF(F244="","",G244+ROW()/100000))</f>
        <v/>
      </c>
    </row>
    <row r="245">
      <c r="A245">
        <f>IF(LYF!D8="","","LYF")</f>
        <v/>
      </c>
      <c r="B245">
        <f>IF(LYF!C8="","",LYF!C8)</f>
        <v/>
      </c>
      <c r="C245">
        <f>IF(LYF!B8="","",LYF!B8)</f>
        <v/>
      </c>
      <c r="D245">
        <f>IF(LYF!D8="","",LYF!D8)</f>
        <v/>
      </c>
      <c r="E245">
        <f>IF(LYF!F8="","",LYF!F8)</f>
        <v/>
      </c>
      <c r="F245">
        <f>IF(LYF!I8="","",LYF!I8)</f>
        <v/>
      </c>
      <c r="G245">
        <f>IF(LYF!M8="","",LYF!M8)</f>
        <v/>
      </c>
      <c r="H245">
        <f>IF(LYF!N8="","",LYF!N8)</f>
        <v/>
      </c>
      <c r="I245">
        <f>IF(LYF!O8="","",LYF!O8)</f>
        <v/>
      </c>
      <c r="J245">
        <f>IF(D245="","",IF(F245="","",G245+ROW()/100000))</f>
        <v/>
      </c>
    </row>
    <row r="246">
      <c r="A246">
        <f>IF(LYF!D9="","","LYF")</f>
        <v/>
      </c>
      <c r="B246">
        <f>IF(LYF!C9="","",LYF!C9)</f>
        <v/>
      </c>
      <c r="C246">
        <f>IF(LYF!B9="","",LYF!B9)</f>
        <v/>
      </c>
      <c r="D246">
        <f>IF(LYF!D9="","",LYF!D9)</f>
        <v/>
      </c>
      <c r="E246">
        <f>IF(LYF!F9="","",LYF!F9)</f>
        <v/>
      </c>
      <c r="F246">
        <f>IF(LYF!I9="","",LYF!I9)</f>
        <v/>
      </c>
      <c r="G246">
        <f>IF(LYF!M9="","",LYF!M9)</f>
        <v/>
      </c>
      <c r="H246">
        <f>IF(LYF!N9="","",LYF!N9)</f>
        <v/>
      </c>
      <c r="I246">
        <f>IF(LYF!O9="","",LYF!O9)</f>
        <v/>
      </c>
      <c r="J246">
        <f>IF(D246="","",IF(F246="","",G246+ROW()/100000))</f>
        <v/>
      </c>
    </row>
    <row r="247">
      <c r="A247">
        <f>IF(LYF!D10="","","LYF")</f>
        <v/>
      </c>
      <c r="B247">
        <f>IF(LYF!C10="","",LYF!C10)</f>
        <v/>
      </c>
      <c r="C247">
        <f>IF(LYF!B10="","",LYF!B10)</f>
        <v/>
      </c>
      <c r="D247">
        <f>IF(LYF!D10="","",LYF!D10)</f>
        <v/>
      </c>
      <c r="E247">
        <f>IF(LYF!F10="","",LYF!F10)</f>
        <v/>
      </c>
      <c r="F247">
        <f>IF(LYF!I10="","",LYF!I10)</f>
        <v/>
      </c>
      <c r="G247">
        <f>IF(LYF!M10="","",LYF!M10)</f>
        <v/>
      </c>
      <c r="H247">
        <f>IF(LYF!N10="","",LYF!N10)</f>
        <v/>
      </c>
      <c r="I247">
        <f>IF(LYF!O10="","",LYF!O10)</f>
        <v/>
      </c>
      <c r="J247">
        <f>IF(D247="","",IF(F247="","",G247+ROW()/100000))</f>
        <v/>
      </c>
    </row>
    <row r="248">
      <c r="A248">
        <f>IF(LYF!D11="","","LYF")</f>
        <v/>
      </c>
      <c r="B248">
        <f>IF(LYF!C11="","",LYF!C11)</f>
        <v/>
      </c>
      <c r="C248">
        <f>IF(LYF!B11="","",LYF!B11)</f>
        <v/>
      </c>
      <c r="D248">
        <f>IF(LYF!D11="","",LYF!D11)</f>
        <v/>
      </c>
      <c r="E248">
        <f>IF(LYF!F11="","",LYF!F11)</f>
        <v/>
      </c>
      <c r="F248">
        <f>IF(LYF!I11="","",LYF!I11)</f>
        <v/>
      </c>
      <c r="G248">
        <f>IF(LYF!M11="","",LYF!M11)</f>
        <v/>
      </c>
      <c r="H248">
        <f>IF(LYF!N11="","",LYF!N11)</f>
        <v/>
      </c>
      <c r="I248">
        <f>IF(LYF!O11="","",LYF!O11)</f>
        <v/>
      </c>
      <c r="J248">
        <f>IF(D248="","",IF(F248="","",G248+ROW()/100000))</f>
        <v/>
      </c>
    </row>
    <row r="249">
      <c r="A249">
        <f>IF(LYF!D12="","","LYF")</f>
        <v/>
      </c>
      <c r="B249">
        <f>IF(LYF!C12="","",LYF!C12)</f>
        <v/>
      </c>
      <c r="C249">
        <f>IF(LYF!B12="","",LYF!B12)</f>
        <v/>
      </c>
      <c r="D249">
        <f>IF(LYF!D12="","",LYF!D12)</f>
        <v/>
      </c>
      <c r="E249">
        <f>IF(LYF!F12="","",LYF!F12)</f>
        <v/>
      </c>
      <c r="F249">
        <f>IF(LYF!I12="","",LYF!I12)</f>
        <v/>
      </c>
      <c r="G249">
        <f>IF(LYF!M12="","",LYF!M12)</f>
        <v/>
      </c>
      <c r="H249">
        <f>IF(LYF!N12="","",LYF!N12)</f>
        <v/>
      </c>
      <c r="I249">
        <f>IF(LYF!O12="","",LYF!O12)</f>
        <v/>
      </c>
      <c r="J249">
        <f>IF(D249="","",IF(F249="","",G249+ROW()/100000))</f>
        <v/>
      </c>
    </row>
    <row r="250">
      <c r="A250">
        <f>IF(LYF!D13="","","LYF")</f>
        <v/>
      </c>
      <c r="B250">
        <f>IF(LYF!C13="","",LYF!C13)</f>
        <v/>
      </c>
      <c r="C250">
        <f>IF(LYF!B13="","",LYF!B13)</f>
        <v/>
      </c>
      <c r="D250">
        <f>IF(LYF!D13="","",LYF!D13)</f>
        <v/>
      </c>
      <c r="E250">
        <f>IF(LYF!F13="","",LYF!F13)</f>
        <v/>
      </c>
      <c r="F250">
        <f>IF(LYF!I13="","",LYF!I13)</f>
        <v/>
      </c>
      <c r="G250">
        <f>IF(LYF!M13="","",LYF!M13)</f>
        <v/>
      </c>
      <c r="H250">
        <f>IF(LYF!N13="","",LYF!N13)</f>
        <v/>
      </c>
      <c r="I250">
        <f>IF(LYF!O13="","",LYF!O13)</f>
        <v/>
      </c>
      <c r="J250">
        <f>IF(D250="","",IF(F250="","",G250+ROW()/100000))</f>
        <v/>
      </c>
    </row>
    <row r="251">
      <c r="A251">
        <f>IF(LYF!D14="","","LYF")</f>
        <v/>
      </c>
      <c r="B251">
        <f>IF(LYF!C14="","",LYF!C14)</f>
        <v/>
      </c>
      <c r="C251">
        <f>IF(LYF!B14="","",LYF!B14)</f>
        <v/>
      </c>
      <c r="D251">
        <f>IF(LYF!D14="","",LYF!D14)</f>
        <v/>
      </c>
      <c r="E251">
        <f>IF(LYF!F14="","",LYF!F14)</f>
        <v/>
      </c>
      <c r="F251">
        <f>IF(LYF!I14="","",LYF!I14)</f>
        <v/>
      </c>
      <c r="G251">
        <f>IF(LYF!M14="","",LYF!M14)</f>
        <v/>
      </c>
      <c r="H251">
        <f>IF(LYF!N14="","",LYF!N14)</f>
        <v/>
      </c>
      <c r="I251">
        <f>IF(LYF!O14="","",LYF!O14)</f>
        <v/>
      </c>
      <c r="J251">
        <f>IF(D251="","",IF(F251="","",G251+ROW()/100000))</f>
        <v/>
      </c>
    </row>
    <row r="252">
      <c r="A252">
        <f>IF(LYF!D15="","","LYF")</f>
        <v/>
      </c>
      <c r="B252">
        <f>IF(LYF!C15="","",LYF!C15)</f>
        <v/>
      </c>
      <c r="C252">
        <f>IF(LYF!B15="","",LYF!B15)</f>
        <v/>
      </c>
      <c r="D252">
        <f>IF(LYF!D15="","",LYF!D15)</f>
        <v/>
      </c>
      <c r="E252">
        <f>IF(LYF!F15="","",LYF!F15)</f>
        <v/>
      </c>
      <c r="F252">
        <f>IF(LYF!I15="","",LYF!I15)</f>
        <v/>
      </c>
      <c r="G252">
        <f>IF(LYF!M15="","",LYF!M15)</f>
        <v/>
      </c>
      <c r="H252">
        <f>IF(LYF!N15="","",LYF!N15)</f>
        <v/>
      </c>
      <c r="I252">
        <f>IF(LYF!O15="","",LYF!O15)</f>
        <v/>
      </c>
      <c r="J252">
        <f>IF(D252="","",IF(F252="","",G252+ROW()/100000))</f>
        <v/>
      </c>
    </row>
    <row r="253">
      <c r="A253">
        <f>IF(LYF!D16="","","LYF")</f>
        <v/>
      </c>
      <c r="B253">
        <f>IF(LYF!C16="","",LYF!C16)</f>
        <v/>
      </c>
      <c r="C253">
        <f>IF(LYF!B16="","",LYF!B16)</f>
        <v/>
      </c>
      <c r="D253">
        <f>IF(LYF!D16="","",LYF!D16)</f>
        <v/>
      </c>
      <c r="E253">
        <f>IF(LYF!F16="","",LYF!F16)</f>
        <v/>
      </c>
      <c r="F253">
        <f>IF(LYF!I16="","",LYF!I16)</f>
        <v/>
      </c>
      <c r="G253">
        <f>IF(LYF!M16="","",LYF!M16)</f>
        <v/>
      </c>
      <c r="H253">
        <f>IF(LYF!N16="","",LYF!N16)</f>
        <v/>
      </c>
      <c r="I253">
        <f>IF(LYF!O16="","",LYF!O16)</f>
        <v/>
      </c>
      <c r="J253">
        <f>IF(D253="","",IF(F253="","",G253+ROW()/100000))</f>
        <v/>
      </c>
    </row>
    <row r="254">
      <c r="A254">
        <f>IF(LYF!D17="","","LYF")</f>
        <v/>
      </c>
      <c r="B254">
        <f>IF(LYF!C17="","",LYF!C17)</f>
        <v/>
      </c>
      <c r="C254">
        <f>IF(LYF!B17="","",LYF!B17)</f>
        <v/>
      </c>
      <c r="D254">
        <f>IF(LYF!D17="","",LYF!D17)</f>
        <v/>
      </c>
      <c r="E254">
        <f>IF(LYF!F17="","",LYF!F17)</f>
        <v/>
      </c>
      <c r="F254">
        <f>IF(LYF!I17="","",LYF!I17)</f>
        <v/>
      </c>
      <c r="G254">
        <f>IF(LYF!M17="","",LYF!M17)</f>
        <v/>
      </c>
      <c r="H254">
        <f>IF(LYF!N17="","",LYF!N17)</f>
        <v/>
      </c>
      <c r="I254">
        <f>IF(LYF!O17="","",LYF!O17)</f>
        <v/>
      </c>
      <c r="J254">
        <f>IF(D254="","",IF(F254="","",G254+ROW()/100000))</f>
        <v/>
      </c>
    </row>
    <row r="255">
      <c r="A255">
        <f>IF(LYF!D18="","","LYF")</f>
        <v/>
      </c>
      <c r="B255">
        <f>IF(LYF!C18="","",LYF!C18)</f>
        <v/>
      </c>
      <c r="C255">
        <f>IF(LYF!B18="","",LYF!B18)</f>
        <v/>
      </c>
      <c r="D255">
        <f>IF(LYF!D18="","",LYF!D18)</f>
        <v/>
      </c>
      <c r="E255">
        <f>IF(LYF!F18="","",LYF!F18)</f>
        <v/>
      </c>
      <c r="F255">
        <f>IF(LYF!I18="","",LYF!I18)</f>
        <v/>
      </c>
      <c r="G255">
        <f>IF(LYF!M18="","",LYF!M18)</f>
        <v/>
      </c>
      <c r="H255">
        <f>IF(LYF!N18="","",LYF!N18)</f>
        <v/>
      </c>
      <c r="I255">
        <f>IF(LYF!O18="","",LYF!O18)</f>
        <v/>
      </c>
      <c r="J255">
        <f>IF(D255="","",IF(F255="","",G255+ROW()/100000))</f>
        <v/>
      </c>
    </row>
    <row r="256">
      <c r="A256">
        <f>IF(LYF!D19="","","LYF")</f>
        <v/>
      </c>
      <c r="B256">
        <f>IF(LYF!C19="","",LYF!C19)</f>
        <v/>
      </c>
      <c r="C256">
        <f>IF(LYF!B19="","",LYF!B19)</f>
        <v/>
      </c>
      <c r="D256">
        <f>IF(LYF!D19="","",LYF!D19)</f>
        <v/>
      </c>
      <c r="E256">
        <f>IF(LYF!F19="","",LYF!F19)</f>
        <v/>
      </c>
      <c r="F256">
        <f>IF(LYF!I19="","",LYF!I19)</f>
        <v/>
      </c>
      <c r="G256">
        <f>IF(LYF!M19="","",LYF!M19)</f>
        <v/>
      </c>
      <c r="H256">
        <f>IF(LYF!N19="","",LYF!N19)</f>
        <v/>
      </c>
      <c r="I256">
        <f>IF(LYF!O19="","",LYF!O19)</f>
        <v/>
      </c>
      <c r="J256">
        <f>IF(D256="","",IF(F256="","",G256+ROW()/100000))</f>
        <v/>
      </c>
    </row>
    <row r="257">
      <c r="A257">
        <f>IF(LYF!D20="","","LYF")</f>
        <v/>
      </c>
      <c r="B257">
        <f>IF(LYF!C20="","",LYF!C20)</f>
        <v/>
      </c>
      <c r="C257">
        <f>IF(LYF!B20="","",LYF!B20)</f>
        <v/>
      </c>
      <c r="D257">
        <f>IF(LYF!D20="","",LYF!D20)</f>
        <v/>
      </c>
      <c r="E257">
        <f>IF(LYF!F20="","",LYF!F20)</f>
        <v/>
      </c>
      <c r="F257">
        <f>IF(LYF!I20="","",LYF!I20)</f>
        <v/>
      </c>
      <c r="G257">
        <f>IF(LYF!M20="","",LYF!M20)</f>
        <v/>
      </c>
      <c r="H257">
        <f>IF(LYF!N20="","",LYF!N20)</f>
        <v/>
      </c>
      <c r="I257">
        <f>IF(LYF!O20="","",LYF!O20)</f>
        <v/>
      </c>
      <c r="J257">
        <f>IF(D257="","",IF(F257="","",G257+ROW()/100000))</f>
        <v/>
      </c>
    </row>
    <row r="258">
      <c r="A258">
        <f>IF(LYF!D21="","","LYF")</f>
        <v/>
      </c>
      <c r="B258">
        <f>IF(LYF!C21="","",LYF!C21)</f>
        <v/>
      </c>
      <c r="C258">
        <f>IF(LYF!B21="","",LYF!B21)</f>
        <v/>
      </c>
      <c r="D258">
        <f>IF(LYF!D21="","",LYF!D21)</f>
        <v/>
      </c>
      <c r="E258">
        <f>IF(LYF!F21="","",LYF!F21)</f>
        <v/>
      </c>
      <c r="F258">
        <f>IF(LYF!I21="","",LYF!I21)</f>
        <v/>
      </c>
      <c r="G258">
        <f>IF(LYF!M21="","",LYF!M21)</f>
        <v/>
      </c>
      <c r="H258">
        <f>IF(LYF!N21="","",LYF!N21)</f>
        <v/>
      </c>
      <c r="I258">
        <f>IF(LYF!O21="","",LYF!O21)</f>
        <v/>
      </c>
      <c r="J258">
        <f>IF(D258="","",IF(F258="","",G258+ROW()/100000))</f>
        <v/>
      </c>
    </row>
    <row r="259">
      <c r="A259">
        <f>IF(LYF!D22="","","LYF")</f>
        <v/>
      </c>
      <c r="B259">
        <f>IF(LYF!C22="","",LYF!C22)</f>
        <v/>
      </c>
      <c r="C259">
        <f>IF(LYF!B22="","",LYF!B22)</f>
        <v/>
      </c>
      <c r="D259">
        <f>IF(LYF!D22="","",LYF!D22)</f>
        <v/>
      </c>
      <c r="E259">
        <f>IF(LYF!F22="","",LYF!F22)</f>
        <v/>
      </c>
      <c r="F259">
        <f>IF(LYF!I22="","",LYF!I22)</f>
        <v/>
      </c>
      <c r="G259">
        <f>IF(LYF!M22="","",LYF!M22)</f>
        <v/>
      </c>
      <c r="H259">
        <f>IF(LYF!N22="","",LYF!N22)</f>
        <v/>
      </c>
      <c r="I259">
        <f>IF(LYF!O22="","",LYF!O22)</f>
        <v/>
      </c>
      <c r="J259">
        <f>IF(D259="","",IF(F259="","",G259+ROW()/100000))</f>
        <v/>
      </c>
    </row>
    <row r="260">
      <c r="A260">
        <f>IF(LYF!D23="","","LYF")</f>
        <v/>
      </c>
      <c r="B260">
        <f>IF(LYF!C23="","",LYF!C23)</f>
        <v/>
      </c>
      <c r="C260">
        <f>IF(LYF!B23="","",LYF!B23)</f>
        <v/>
      </c>
      <c r="D260">
        <f>IF(LYF!D23="","",LYF!D23)</f>
        <v/>
      </c>
      <c r="E260">
        <f>IF(LYF!F23="","",LYF!F23)</f>
        <v/>
      </c>
      <c r="F260">
        <f>IF(LYF!I23="","",LYF!I23)</f>
        <v/>
      </c>
      <c r="G260">
        <f>IF(LYF!M23="","",LYF!M23)</f>
        <v/>
      </c>
      <c r="H260">
        <f>IF(LYF!N23="","",LYF!N23)</f>
        <v/>
      </c>
      <c r="I260">
        <f>IF(LYF!O23="","",LYF!O23)</f>
        <v/>
      </c>
      <c r="J260">
        <f>IF(D260="","",IF(F260="","",G260+ROW()/100000))</f>
        <v/>
      </c>
    </row>
    <row r="261">
      <c r="A261">
        <f>IF(LYF!D24="","","LYF")</f>
        <v/>
      </c>
      <c r="B261">
        <f>IF(LYF!C24="","",LYF!C24)</f>
        <v/>
      </c>
      <c r="C261">
        <f>IF(LYF!B24="","",LYF!B24)</f>
        <v/>
      </c>
      <c r="D261">
        <f>IF(LYF!D24="","",LYF!D24)</f>
        <v/>
      </c>
      <c r="E261">
        <f>IF(LYF!F24="","",LYF!F24)</f>
        <v/>
      </c>
      <c r="F261">
        <f>IF(LYF!I24="","",LYF!I24)</f>
        <v/>
      </c>
      <c r="G261">
        <f>IF(LYF!M24="","",LYF!M24)</f>
        <v/>
      </c>
      <c r="H261">
        <f>IF(LYF!N24="","",LYF!N24)</f>
        <v/>
      </c>
      <c r="I261">
        <f>IF(LYF!O24="","",LYF!O24)</f>
        <v/>
      </c>
      <c r="J261">
        <f>IF(D261="","",IF(F261="","",G261+ROW()/100000))</f>
        <v/>
      </c>
    </row>
    <row r="262">
      <c r="A262">
        <f>IF(LYF!D25="","","LYF")</f>
        <v/>
      </c>
      <c r="B262">
        <f>IF(LYF!C25="","",LYF!C25)</f>
        <v/>
      </c>
      <c r="C262">
        <f>IF(LYF!B25="","",LYF!B25)</f>
        <v/>
      </c>
      <c r="D262">
        <f>IF(LYF!D25="","",LYF!D25)</f>
        <v/>
      </c>
      <c r="E262">
        <f>IF(LYF!F25="","",LYF!F25)</f>
        <v/>
      </c>
      <c r="F262">
        <f>IF(LYF!I25="","",LYF!I25)</f>
        <v/>
      </c>
      <c r="G262">
        <f>IF(LYF!M25="","",LYF!M25)</f>
        <v/>
      </c>
      <c r="H262">
        <f>IF(LYF!N25="","",LYF!N25)</f>
        <v/>
      </c>
      <c r="I262">
        <f>IF(LYF!O25="","",LYF!O25)</f>
        <v/>
      </c>
      <c r="J262">
        <f>IF(D262="","",IF(F262="","",G262+ROW()/100000))</f>
        <v/>
      </c>
    </row>
    <row r="263">
      <c r="A263">
        <f>IF(LYF!D26="","","LYF")</f>
        <v/>
      </c>
      <c r="B263">
        <f>IF(LYF!C26="","",LYF!C26)</f>
        <v/>
      </c>
      <c r="C263">
        <f>IF(LYF!B26="","",LYF!B26)</f>
        <v/>
      </c>
      <c r="D263">
        <f>IF(LYF!D26="","",LYF!D26)</f>
        <v/>
      </c>
      <c r="E263">
        <f>IF(LYF!F26="","",LYF!F26)</f>
        <v/>
      </c>
      <c r="F263">
        <f>IF(LYF!I26="","",LYF!I26)</f>
        <v/>
      </c>
      <c r="G263">
        <f>IF(LYF!M26="","",LYF!M26)</f>
        <v/>
      </c>
      <c r="H263">
        <f>IF(LYF!N26="","",LYF!N26)</f>
        <v/>
      </c>
      <c r="I263">
        <f>IF(LYF!O26="","",LYF!O26)</f>
        <v/>
      </c>
      <c r="J263">
        <f>IF(D263="","",IF(F263="","",G263+ROW()/100000))</f>
        <v/>
      </c>
    </row>
    <row r="264">
      <c r="A264">
        <f>IF(LYF!D27="","","LYF")</f>
        <v/>
      </c>
      <c r="B264">
        <f>IF(LYF!C27="","",LYF!C27)</f>
        <v/>
      </c>
      <c r="C264">
        <f>IF(LYF!B27="","",LYF!B27)</f>
        <v/>
      </c>
      <c r="D264">
        <f>IF(LYF!D27="","",LYF!D27)</f>
        <v/>
      </c>
      <c r="E264">
        <f>IF(LYF!F27="","",LYF!F27)</f>
        <v/>
      </c>
      <c r="F264">
        <f>IF(LYF!I27="","",LYF!I27)</f>
        <v/>
      </c>
      <c r="G264">
        <f>IF(LYF!M27="","",LYF!M27)</f>
        <v/>
      </c>
      <c r="H264">
        <f>IF(LYF!N27="","",LYF!N27)</f>
        <v/>
      </c>
      <c r="I264">
        <f>IF(LYF!O27="","",LYF!O27)</f>
        <v/>
      </c>
      <c r="J264">
        <f>IF(D264="","",IF(F264="","",G264+ROW()/100000))</f>
        <v/>
      </c>
    </row>
    <row r="265">
      <c r="A265">
        <f>IF(LYF!D28="","","LYF")</f>
        <v/>
      </c>
      <c r="B265">
        <f>IF(LYF!C28="","",LYF!C28)</f>
        <v/>
      </c>
      <c r="C265">
        <f>IF(LYF!B28="","",LYF!B28)</f>
        <v/>
      </c>
      <c r="D265">
        <f>IF(LYF!D28="","",LYF!D28)</f>
        <v/>
      </c>
      <c r="E265">
        <f>IF(LYF!F28="","",LYF!F28)</f>
        <v/>
      </c>
      <c r="F265">
        <f>IF(LYF!I28="","",LYF!I28)</f>
        <v/>
      </c>
      <c r="G265">
        <f>IF(LYF!M28="","",LYF!M28)</f>
        <v/>
      </c>
      <c r="H265">
        <f>IF(LYF!N28="","",LYF!N28)</f>
        <v/>
      </c>
      <c r="I265">
        <f>IF(LYF!O28="","",LYF!O28)</f>
        <v/>
      </c>
      <c r="J265">
        <f>IF(D265="","",IF(F265="","",G265+ROW()/100000))</f>
        <v/>
      </c>
    </row>
    <row r="266">
      <c r="A266">
        <f>IF(LYF!D29="","","LYF")</f>
        <v/>
      </c>
      <c r="B266">
        <f>IF(LYF!C29="","",LYF!C29)</f>
        <v/>
      </c>
      <c r="C266">
        <f>IF(LYF!B29="","",LYF!B29)</f>
        <v/>
      </c>
      <c r="D266">
        <f>IF(LYF!D29="","",LYF!D29)</f>
        <v/>
      </c>
      <c r="E266">
        <f>IF(LYF!F29="","",LYF!F29)</f>
        <v/>
      </c>
      <c r="F266">
        <f>IF(LYF!I29="","",LYF!I29)</f>
        <v/>
      </c>
      <c r="G266">
        <f>IF(LYF!M29="","",LYF!M29)</f>
        <v/>
      </c>
      <c r="H266">
        <f>IF(LYF!N29="","",LYF!N29)</f>
        <v/>
      </c>
      <c r="I266">
        <f>IF(LYF!O29="","",LYF!O29)</f>
        <v/>
      </c>
      <c r="J266">
        <f>IF(D266="","",IF(F266="","",G266+ROW()/100000))</f>
        <v/>
      </c>
    </row>
    <row r="267">
      <c r="A267">
        <f>IF(LYF!D30="","","LYF")</f>
        <v/>
      </c>
      <c r="B267">
        <f>IF(LYF!C30="","",LYF!C30)</f>
        <v/>
      </c>
      <c r="C267">
        <f>IF(LYF!B30="","",LYF!B30)</f>
        <v/>
      </c>
      <c r="D267">
        <f>IF(LYF!D30="","",LYF!D30)</f>
        <v/>
      </c>
      <c r="E267">
        <f>IF(LYF!F30="","",LYF!F30)</f>
        <v/>
      </c>
      <c r="F267">
        <f>IF(LYF!I30="","",LYF!I30)</f>
        <v/>
      </c>
      <c r="G267">
        <f>IF(LYF!M30="","",LYF!M30)</f>
        <v/>
      </c>
      <c r="H267">
        <f>IF(LYF!N30="","",LYF!N30)</f>
        <v/>
      </c>
      <c r="I267">
        <f>IF(LYF!O30="","",LYF!O30)</f>
        <v/>
      </c>
      <c r="J267">
        <f>IF(D267="","",IF(F267="","",G267+ROW()/100000))</f>
        <v/>
      </c>
    </row>
    <row r="268">
      <c r="A268">
        <f>IF(LYF!D31="","","LYF")</f>
        <v/>
      </c>
      <c r="B268">
        <f>IF(LYF!C31="","",LYF!C31)</f>
        <v/>
      </c>
      <c r="C268">
        <f>IF(LYF!B31="","",LYF!B31)</f>
        <v/>
      </c>
      <c r="D268">
        <f>IF(LYF!D31="","",LYF!D31)</f>
        <v/>
      </c>
      <c r="E268">
        <f>IF(LYF!F31="","",LYF!F31)</f>
        <v/>
      </c>
      <c r="F268">
        <f>IF(LYF!I31="","",LYF!I31)</f>
        <v/>
      </c>
      <c r="G268">
        <f>IF(LYF!M31="","",LYF!M31)</f>
        <v/>
      </c>
      <c r="H268">
        <f>IF(LYF!N31="","",LYF!N31)</f>
        <v/>
      </c>
      <c r="I268">
        <f>IF(LYF!O31="","",LYF!O31)</f>
        <v/>
      </c>
      <c r="J268">
        <f>IF(D268="","",IF(F268="","",G268+ROW()/100000))</f>
        <v/>
      </c>
    </row>
    <row r="269">
      <c r="A269">
        <f>IF(LYF!D32="","","LYF")</f>
        <v/>
      </c>
      <c r="B269">
        <f>IF(LYF!C32="","",LYF!C32)</f>
        <v/>
      </c>
      <c r="C269">
        <f>IF(LYF!B32="","",LYF!B32)</f>
        <v/>
      </c>
      <c r="D269">
        <f>IF(LYF!D32="","",LYF!D32)</f>
        <v/>
      </c>
      <c r="E269">
        <f>IF(LYF!F32="","",LYF!F32)</f>
        <v/>
      </c>
      <c r="F269">
        <f>IF(LYF!I32="","",LYF!I32)</f>
        <v/>
      </c>
      <c r="G269">
        <f>IF(LYF!M32="","",LYF!M32)</f>
        <v/>
      </c>
      <c r="H269">
        <f>IF(LYF!N32="","",LYF!N32)</f>
        <v/>
      </c>
      <c r="I269">
        <f>IF(LYF!O32="","",LYF!O32)</f>
        <v/>
      </c>
      <c r="J269">
        <f>IF(D269="","",IF(F269="","",G269+ROW()/100000))</f>
        <v/>
      </c>
    </row>
    <row r="270">
      <c r="A270">
        <f>IF(LYF!D33="","","LYF")</f>
        <v/>
      </c>
      <c r="B270">
        <f>IF(LYF!C33="","",LYF!C33)</f>
        <v/>
      </c>
      <c r="C270">
        <f>IF(LYF!B33="","",LYF!B33)</f>
        <v/>
      </c>
      <c r="D270">
        <f>IF(LYF!D33="","",LYF!D33)</f>
        <v/>
      </c>
      <c r="E270">
        <f>IF(LYF!F33="","",LYF!F33)</f>
        <v/>
      </c>
      <c r="F270">
        <f>IF(LYF!I33="","",LYF!I33)</f>
        <v/>
      </c>
      <c r="G270">
        <f>IF(LYF!M33="","",LYF!M33)</f>
        <v/>
      </c>
      <c r="H270">
        <f>IF(LYF!N33="","",LYF!N33)</f>
        <v/>
      </c>
      <c r="I270">
        <f>IF(LYF!O33="","",LYF!O33)</f>
        <v/>
      </c>
      <c r="J270">
        <f>IF(D270="","",IF(F270="","",G270+ROW()/100000))</f>
        <v/>
      </c>
    </row>
    <row r="271">
      <c r="A271">
        <f>IF(LYF!D34="","","LYF")</f>
        <v/>
      </c>
      <c r="B271">
        <f>IF(LYF!C34="","",LYF!C34)</f>
        <v/>
      </c>
      <c r="C271">
        <f>IF(LYF!B34="","",LYF!B34)</f>
        <v/>
      </c>
      <c r="D271">
        <f>IF(LYF!D34="","",LYF!D34)</f>
        <v/>
      </c>
      <c r="E271">
        <f>IF(LYF!F34="","",LYF!F34)</f>
        <v/>
      </c>
      <c r="F271">
        <f>IF(LYF!I34="","",LYF!I34)</f>
        <v/>
      </c>
      <c r="G271">
        <f>IF(LYF!M34="","",LYF!M34)</f>
        <v/>
      </c>
      <c r="H271">
        <f>IF(LYF!N34="","",LYF!N34)</f>
        <v/>
      </c>
      <c r="I271">
        <f>IF(LYF!O34="","",LYF!O34)</f>
        <v/>
      </c>
      <c r="J271">
        <f>IF(D271="","",IF(F271="","",G271+ROW()/100000))</f>
        <v/>
      </c>
    </row>
    <row r="272">
      <c r="A272">
        <f>IF(LYF!D35="","","LYF")</f>
        <v/>
      </c>
      <c r="B272">
        <f>IF(LYF!C35="","",LYF!C35)</f>
        <v/>
      </c>
      <c r="C272">
        <f>IF(LYF!B35="","",LYF!B35)</f>
        <v/>
      </c>
      <c r="D272">
        <f>IF(LYF!D35="","",LYF!D35)</f>
        <v/>
      </c>
      <c r="E272">
        <f>IF(LYF!F35="","",LYF!F35)</f>
        <v/>
      </c>
      <c r="F272">
        <f>IF(LYF!I35="","",LYF!I35)</f>
        <v/>
      </c>
      <c r="G272">
        <f>IF(LYF!M35="","",LYF!M35)</f>
        <v/>
      </c>
      <c r="H272">
        <f>IF(LYF!N35="","",LYF!N35)</f>
        <v/>
      </c>
      <c r="I272">
        <f>IF(LYF!O35="","",LYF!O35)</f>
        <v/>
      </c>
      <c r="J272">
        <f>IF(D272="","",IF(F272="","",G272+ROW()/100000))</f>
        <v/>
      </c>
    </row>
    <row r="273">
      <c r="A273">
        <f>IF(LYF!D36="","","LYF")</f>
        <v/>
      </c>
      <c r="B273">
        <f>IF(LYF!C36="","",LYF!C36)</f>
        <v/>
      </c>
      <c r="C273">
        <f>IF(LYF!B36="","",LYF!B36)</f>
        <v/>
      </c>
      <c r="D273">
        <f>IF(LYF!D36="","",LYF!D36)</f>
        <v/>
      </c>
      <c r="E273">
        <f>IF(LYF!F36="","",LYF!F36)</f>
        <v/>
      </c>
      <c r="F273">
        <f>IF(LYF!I36="","",LYF!I36)</f>
        <v/>
      </c>
      <c r="G273">
        <f>IF(LYF!M36="","",LYF!M36)</f>
        <v/>
      </c>
      <c r="H273">
        <f>IF(LYF!N36="","",LYF!N36)</f>
        <v/>
      </c>
      <c r="I273">
        <f>IF(LYF!O36="","",LYF!O36)</f>
        <v/>
      </c>
      <c r="J273">
        <f>IF(D273="","",IF(F273="","",G273+ROW()/100000))</f>
        <v/>
      </c>
    </row>
    <row r="274">
      <c r="A274">
        <f>IF(LYF!D37="","","LYF")</f>
        <v/>
      </c>
      <c r="B274">
        <f>IF(LYF!C37="","",LYF!C37)</f>
        <v/>
      </c>
      <c r="C274">
        <f>IF(LYF!B37="","",LYF!B37)</f>
        <v/>
      </c>
      <c r="D274">
        <f>IF(LYF!D37="","",LYF!D37)</f>
        <v/>
      </c>
      <c r="E274">
        <f>IF(LYF!F37="","",LYF!F37)</f>
        <v/>
      </c>
      <c r="F274">
        <f>IF(LYF!I37="","",LYF!I37)</f>
        <v/>
      </c>
      <c r="G274">
        <f>IF(LYF!M37="","",LYF!M37)</f>
        <v/>
      </c>
      <c r="H274">
        <f>IF(LYF!N37="","",LYF!N37)</f>
        <v/>
      </c>
      <c r="I274">
        <f>IF(LYF!O37="","",LYF!O37)</f>
        <v/>
      </c>
      <c r="J274">
        <f>IF(D274="","",IF(F274="","",G274+ROW()/100000))</f>
        <v/>
      </c>
    </row>
    <row r="275">
      <c r="A275">
        <f>IF(LYF!D38="","","LYF")</f>
        <v/>
      </c>
      <c r="B275">
        <f>IF(LYF!C38="","",LYF!C38)</f>
        <v/>
      </c>
      <c r="C275">
        <f>IF(LYF!B38="","",LYF!B38)</f>
        <v/>
      </c>
      <c r="D275">
        <f>IF(LYF!D38="","",LYF!D38)</f>
        <v/>
      </c>
      <c r="E275">
        <f>IF(LYF!F38="","",LYF!F38)</f>
        <v/>
      </c>
      <c r="F275">
        <f>IF(LYF!I38="","",LYF!I38)</f>
        <v/>
      </c>
      <c r="G275">
        <f>IF(LYF!M38="","",LYF!M38)</f>
        <v/>
      </c>
      <c r="H275">
        <f>IF(LYF!N38="","",LYF!N38)</f>
        <v/>
      </c>
      <c r="I275">
        <f>IF(LYF!O38="","",LYF!O38)</f>
        <v/>
      </c>
      <c r="J275">
        <f>IF(D275="","",IF(F275="","",G275+ROW()/100000))</f>
        <v/>
      </c>
    </row>
    <row r="276">
      <c r="A276">
        <f>IF(LYF!D39="","","LYF")</f>
        <v/>
      </c>
      <c r="B276">
        <f>IF(LYF!C39="","",LYF!C39)</f>
        <v/>
      </c>
      <c r="C276">
        <f>IF(LYF!B39="","",LYF!B39)</f>
        <v/>
      </c>
      <c r="D276">
        <f>IF(LYF!D39="","",LYF!D39)</f>
        <v/>
      </c>
      <c r="E276">
        <f>IF(LYF!F39="","",LYF!F39)</f>
        <v/>
      </c>
      <c r="F276">
        <f>IF(LYF!I39="","",LYF!I39)</f>
        <v/>
      </c>
      <c r="G276">
        <f>IF(LYF!M39="","",LYF!M39)</f>
        <v/>
      </c>
      <c r="H276">
        <f>IF(LYF!N39="","",LYF!N39)</f>
        <v/>
      </c>
      <c r="I276">
        <f>IF(LYF!O39="","",LYF!O39)</f>
        <v/>
      </c>
      <c r="J276">
        <f>IF(D276="","",IF(F276="","",G276+ROW()/100000))</f>
        <v/>
      </c>
    </row>
    <row r="277">
      <c r="A277">
        <f>IF(LYF!D40="","","LYF")</f>
        <v/>
      </c>
      <c r="B277">
        <f>IF(LYF!C40="","",LYF!C40)</f>
        <v/>
      </c>
      <c r="C277">
        <f>IF(LYF!B40="","",LYF!B40)</f>
        <v/>
      </c>
      <c r="D277">
        <f>IF(LYF!D40="","",LYF!D40)</f>
        <v/>
      </c>
      <c r="E277">
        <f>IF(LYF!F40="","",LYF!F40)</f>
        <v/>
      </c>
      <c r="F277">
        <f>IF(LYF!I40="","",LYF!I40)</f>
        <v/>
      </c>
      <c r="G277">
        <f>IF(LYF!M40="","",LYF!M40)</f>
        <v/>
      </c>
      <c r="H277">
        <f>IF(LYF!N40="","",LYF!N40)</f>
        <v/>
      </c>
      <c r="I277">
        <f>IF(LYF!O40="","",LYF!O40)</f>
        <v/>
      </c>
      <c r="J277">
        <f>IF(D277="","",IF(F277="","",G277+ROW()/100000))</f>
        <v/>
      </c>
    </row>
    <row r="278">
      <c r="A278">
        <f>IF(LYF!D41="","","LYF")</f>
        <v/>
      </c>
      <c r="B278">
        <f>IF(LYF!C41="","",LYF!C41)</f>
        <v/>
      </c>
      <c r="C278">
        <f>IF(LYF!B41="","",LYF!B41)</f>
        <v/>
      </c>
      <c r="D278">
        <f>IF(LYF!D41="","",LYF!D41)</f>
        <v/>
      </c>
      <c r="E278">
        <f>IF(LYF!F41="","",LYF!F41)</f>
        <v/>
      </c>
      <c r="F278">
        <f>IF(LYF!I41="","",LYF!I41)</f>
        <v/>
      </c>
      <c r="G278">
        <f>IF(LYF!M41="","",LYF!M41)</f>
        <v/>
      </c>
      <c r="H278">
        <f>IF(LYF!N41="","",LYF!N41)</f>
        <v/>
      </c>
      <c r="I278">
        <f>IF(LYF!O41="","",LYF!O41)</f>
        <v/>
      </c>
      <c r="J278">
        <f>IF(D278="","",IF(F278="","",G278+ROW()/100000))</f>
        <v/>
      </c>
    </row>
    <row r="279">
      <c r="A279">
        <f>IF(LYF!D42="","","LYF")</f>
        <v/>
      </c>
      <c r="B279">
        <f>IF(LYF!C42="","",LYF!C42)</f>
        <v/>
      </c>
      <c r="C279">
        <f>IF(LYF!B42="","",LYF!B42)</f>
        <v/>
      </c>
      <c r="D279">
        <f>IF(LYF!D42="","",LYF!D42)</f>
        <v/>
      </c>
      <c r="E279">
        <f>IF(LYF!F42="","",LYF!F42)</f>
        <v/>
      </c>
      <c r="F279">
        <f>IF(LYF!I42="","",LYF!I42)</f>
        <v/>
      </c>
      <c r="G279">
        <f>IF(LYF!M42="","",LYF!M42)</f>
        <v/>
      </c>
      <c r="H279">
        <f>IF(LYF!N42="","",LYF!N42)</f>
        <v/>
      </c>
      <c r="I279">
        <f>IF(LYF!O42="","",LYF!O42)</f>
        <v/>
      </c>
      <c r="J279">
        <f>IF(D279="","",IF(F279="","",G279+ROW()/100000))</f>
        <v/>
      </c>
    </row>
    <row r="280">
      <c r="A280">
        <f>IF(LYF!D43="","","LYF")</f>
        <v/>
      </c>
      <c r="B280">
        <f>IF(LYF!C43="","",LYF!C43)</f>
        <v/>
      </c>
      <c r="C280">
        <f>IF(LYF!B43="","",LYF!B43)</f>
        <v/>
      </c>
      <c r="D280">
        <f>IF(LYF!D43="","",LYF!D43)</f>
        <v/>
      </c>
      <c r="E280">
        <f>IF(LYF!F43="","",LYF!F43)</f>
        <v/>
      </c>
      <c r="F280">
        <f>IF(LYF!I43="","",LYF!I43)</f>
        <v/>
      </c>
      <c r="G280">
        <f>IF(LYF!M43="","",LYF!M43)</f>
        <v/>
      </c>
      <c r="H280">
        <f>IF(LYF!N43="","",LYF!N43)</f>
        <v/>
      </c>
      <c r="I280">
        <f>IF(LYF!O43="","",LYF!O43)</f>
        <v/>
      </c>
      <c r="J280">
        <f>IF(D280="","",IF(F280="","",G280+ROW()/100000))</f>
        <v/>
      </c>
    </row>
    <row r="281">
      <c r="A281">
        <f>IF(LYF!D44="","","LYF")</f>
        <v/>
      </c>
      <c r="B281">
        <f>IF(LYF!C44="","",LYF!C44)</f>
        <v/>
      </c>
      <c r="C281">
        <f>IF(LYF!B44="","",LYF!B44)</f>
        <v/>
      </c>
      <c r="D281">
        <f>IF(LYF!D44="","",LYF!D44)</f>
        <v/>
      </c>
      <c r="E281">
        <f>IF(LYF!F44="","",LYF!F44)</f>
        <v/>
      </c>
      <c r="F281">
        <f>IF(LYF!I44="","",LYF!I44)</f>
        <v/>
      </c>
      <c r="G281">
        <f>IF(LYF!M44="","",LYF!M44)</f>
        <v/>
      </c>
      <c r="H281">
        <f>IF(LYF!N44="","",LYF!N44)</f>
        <v/>
      </c>
      <c r="I281">
        <f>IF(LYF!O44="","",LYF!O44)</f>
        <v/>
      </c>
      <c r="J281">
        <f>IF(D281="","",IF(F281="","",G281+ROW()/100000))</f>
        <v/>
      </c>
    </row>
    <row r="282">
      <c r="A282">
        <f>IF(LYF!D45="","","LYF")</f>
        <v/>
      </c>
      <c r="B282">
        <f>IF(LYF!C45="","",LYF!C45)</f>
        <v/>
      </c>
      <c r="C282">
        <f>IF(LYF!B45="","",LYF!B45)</f>
        <v/>
      </c>
      <c r="D282">
        <f>IF(LYF!D45="","",LYF!D45)</f>
        <v/>
      </c>
      <c r="E282">
        <f>IF(LYF!F45="","",LYF!F45)</f>
        <v/>
      </c>
      <c r="F282">
        <f>IF(LYF!I45="","",LYF!I45)</f>
        <v/>
      </c>
      <c r="G282">
        <f>IF(LYF!M45="","",LYF!M45)</f>
        <v/>
      </c>
      <c r="H282">
        <f>IF(LYF!N45="","",LYF!N45)</f>
        <v/>
      </c>
      <c r="I282">
        <f>IF(LYF!O45="","",LYF!O45)</f>
        <v/>
      </c>
      <c r="J282">
        <f>IF(D282="","",IF(F282="","",G282+ROW()/100000))</f>
        <v/>
      </c>
    </row>
    <row r="283">
      <c r="A283">
        <f>IF(LYF!D46="","","LYF")</f>
        <v/>
      </c>
      <c r="B283">
        <f>IF(LYF!C46="","",LYF!C46)</f>
        <v/>
      </c>
      <c r="C283">
        <f>IF(LYF!B46="","",LYF!B46)</f>
        <v/>
      </c>
      <c r="D283">
        <f>IF(LYF!D46="","",LYF!D46)</f>
        <v/>
      </c>
      <c r="E283">
        <f>IF(LYF!F46="","",LYF!F46)</f>
        <v/>
      </c>
      <c r="F283">
        <f>IF(LYF!I46="","",LYF!I46)</f>
        <v/>
      </c>
      <c r="G283">
        <f>IF(LYF!M46="","",LYF!M46)</f>
        <v/>
      </c>
      <c r="H283">
        <f>IF(LYF!N46="","",LYF!N46)</f>
        <v/>
      </c>
      <c r="I283">
        <f>IF(LYF!O46="","",LYF!O46)</f>
        <v/>
      </c>
      <c r="J283">
        <f>IF(D283="","",IF(F283="","",G283+ROW()/100000))</f>
        <v/>
      </c>
    </row>
    <row r="284">
      <c r="A284">
        <f>IF(LYF!D47="","","LYF")</f>
        <v/>
      </c>
      <c r="B284">
        <f>IF(LYF!C47="","",LYF!C47)</f>
        <v/>
      </c>
      <c r="C284">
        <f>IF(LYF!B47="","",LYF!B47)</f>
        <v/>
      </c>
      <c r="D284">
        <f>IF(LYF!D47="","",LYF!D47)</f>
        <v/>
      </c>
      <c r="E284">
        <f>IF(LYF!F47="","",LYF!F47)</f>
        <v/>
      </c>
      <c r="F284">
        <f>IF(LYF!I47="","",LYF!I47)</f>
        <v/>
      </c>
      <c r="G284">
        <f>IF(LYF!M47="","",LYF!M47)</f>
        <v/>
      </c>
      <c r="H284">
        <f>IF(LYF!N47="","",LYF!N47)</f>
        <v/>
      </c>
      <c r="I284">
        <f>IF(LYF!O47="","",LYF!O47)</f>
        <v/>
      </c>
      <c r="J284">
        <f>IF(D284="","",IF(F284="","",G284+ROW()/100000))</f>
        <v/>
      </c>
    </row>
    <row r="285">
      <c r="A285">
        <f>IF(LYF!D48="","","LYF")</f>
        <v/>
      </c>
      <c r="B285">
        <f>IF(LYF!C48="","",LYF!C48)</f>
        <v/>
      </c>
      <c r="C285">
        <f>IF(LYF!B48="","",LYF!B48)</f>
        <v/>
      </c>
      <c r="D285">
        <f>IF(LYF!D48="","",LYF!D48)</f>
        <v/>
      </c>
      <c r="E285">
        <f>IF(LYF!F48="","",LYF!F48)</f>
        <v/>
      </c>
      <c r="F285">
        <f>IF(LYF!I48="","",LYF!I48)</f>
        <v/>
      </c>
      <c r="G285">
        <f>IF(LYF!M48="","",LYF!M48)</f>
        <v/>
      </c>
      <c r="H285">
        <f>IF(LYF!N48="","",LYF!N48)</f>
        <v/>
      </c>
      <c r="I285">
        <f>IF(LYF!O48="","",LYF!O48)</f>
        <v/>
      </c>
      <c r="J285">
        <f>IF(D285="","",IF(F285="","",G285+ROW()/100000))</f>
        <v/>
      </c>
    </row>
    <row r="286">
      <c r="A286">
        <f>IF(LYF!D49="","","LYF")</f>
        <v/>
      </c>
      <c r="B286">
        <f>IF(LYF!C49="","",LYF!C49)</f>
        <v/>
      </c>
      <c r="C286">
        <f>IF(LYF!B49="","",LYF!B49)</f>
        <v/>
      </c>
      <c r="D286">
        <f>IF(LYF!D49="","",LYF!D49)</f>
        <v/>
      </c>
      <c r="E286">
        <f>IF(LYF!F49="","",LYF!F49)</f>
        <v/>
      </c>
      <c r="F286">
        <f>IF(LYF!I49="","",LYF!I49)</f>
        <v/>
      </c>
      <c r="G286">
        <f>IF(LYF!M49="","",LYF!M49)</f>
        <v/>
      </c>
      <c r="H286">
        <f>IF(LYF!N49="","",LYF!N49)</f>
        <v/>
      </c>
      <c r="I286">
        <f>IF(LYF!O49="","",LYF!O49)</f>
        <v/>
      </c>
      <c r="J286">
        <f>IF(D286="","",IF(F286="","",G286+ROW()/100000))</f>
        <v/>
      </c>
    </row>
    <row r="287">
      <c r="A287">
        <f>IF(LYF!D50="","","LYF")</f>
        <v/>
      </c>
      <c r="B287">
        <f>IF(LYF!C50="","",LYF!C50)</f>
        <v/>
      </c>
      <c r="C287">
        <f>IF(LYF!B50="","",LYF!B50)</f>
        <v/>
      </c>
      <c r="D287">
        <f>IF(LYF!D50="","",LYF!D50)</f>
        <v/>
      </c>
      <c r="E287">
        <f>IF(LYF!F50="","",LYF!F50)</f>
        <v/>
      </c>
      <c r="F287">
        <f>IF(LYF!I50="","",LYF!I50)</f>
        <v/>
      </c>
      <c r="G287">
        <f>IF(LYF!M50="","",LYF!M50)</f>
        <v/>
      </c>
      <c r="H287">
        <f>IF(LYF!N50="","",LYF!N50)</f>
        <v/>
      </c>
      <c r="I287">
        <f>IF(LYF!O50="","",LYF!O50)</f>
        <v/>
      </c>
      <c r="J287">
        <f>IF(D287="","",IF(F287="","",G287+ROW()/100000))</f>
        <v/>
      </c>
    </row>
    <row r="288">
      <c r="A288">
        <f>IF(LYF!D51="","","LYF")</f>
        <v/>
      </c>
      <c r="B288">
        <f>IF(LYF!C51="","",LYF!C51)</f>
        <v/>
      </c>
      <c r="C288">
        <f>IF(LYF!B51="","",LYF!B51)</f>
        <v/>
      </c>
      <c r="D288">
        <f>IF(LYF!D51="","",LYF!D51)</f>
        <v/>
      </c>
      <c r="E288">
        <f>IF(LYF!F51="","",LYF!F51)</f>
        <v/>
      </c>
      <c r="F288">
        <f>IF(LYF!I51="","",LYF!I51)</f>
        <v/>
      </c>
      <c r="G288">
        <f>IF(LYF!M51="","",LYF!M51)</f>
        <v/>
      </c>
      <c r="H288">
        <f>IF(LYF!N51="","",LYF!N51)</f>
        <v/>
      </c>
      <c r="I288">
        <f>IF(LYF!O51="","",LYF!O51)</f>
        <v/>
      </c>
      <c r="J288">
        <f>IF(D288="","",IF(F288="","",G288+ROW()/100000))</f>
        <v/>
      </c>
    </row>
    <row r="289">
      <c r="A289">
        <f>IF(LYF!D52="","","LYF")</f>
        <v/>
      </c>
      <c r="B289">
        <f>IF(LYF!C52="","",LYF!C52)</f>
        <v/>
      </c>
      <c r="C289">
        <f>IF(LYF!B52="","",LYF!B52)</f>
        <v/>
      </c>
      <c r="D289">
        <f>IF(LYF!D52="","",LYF!D52)</f>
        <v/>
      </c>
      <c r="E289">
        <f>IF(LYF!F52="","",LYF!F52)</f>
        <v/>
      </c>
      <c r="F289">
        <f>IF(LYF!I52="","",LYF!I52)</f>
        <v/>
      </c>
      <c r="G289">
        <f>IF(LYF!M52="","",LYF!M52)</f>
        <v/>
      </c>
      <c r="H289">
        <f>IF(LYF!N52="","",LYF!N52)</f>
        <v/>
      </c>
      <c r="I289">
        <f>IF(LYF!O52="","",LYF!O52)</f>
        <v/>
      </c>
      <c r="J289">
        <f>IF(D289="","",IF(F289="","",G289+ROW()/100000))</f>
        <v/>
      </c>
    </row>
    <row r="290">
      <c r="A290">
        <f>IF(LYF!D53="","","LYF")</f>
        <v/>
      </c>
      <c r="B290">
        <f>IF(LYF!C53="","",LYF!C53)</f>
        <v/>
      </c>
      <c r="C290">
        <f>IF(LYF!B53="","",LYF!B53)</f>
        <v/>
      </c>
      <c r="D290">
        <f>IF(LYF!D53="","",LYF!D53)</f>
        <v/>
      </c>
      <c r="E290">
        <f>IF(LYF!F53="","",LYF!F53)</f>
        <v/>
      </c>
      <c r="F290">
        <f>IF(LYF!I53="","",LYF!I53)</f>
        <v/>
      </c>
      <c r="G290">
        <f>IF(LYF!M53="","",LYF!M53)</f>
        <v/>
      </c>
      <c r="H290">
        <f>IF(LYF!N53="","",LYF!N53)</f>
        <v/>
      </c>
      <c r="I290">
        <f>IF(LYF!O53="","",LYF!O53)</f>
        <v/>
      </c>
      <c r="J290">
        <f>IF(D290="","",IF(F290="","",G290+ROW()/100000))</f>
        <v/>
      </c>
    </row>
    <row r="291">
      <c r="A291">
        <f>IF(LYF!D54="","","LYF")</f>
        <v/>
      </c>
      <c r="B291">
        <f>IF(LYF!C54="","",LYF!C54)</f>
        <v/>
      </c>
      <c r="C291">
        <f>IF(LYF!B54="","",LYF!B54)</f>
        <v/>
      </c>
      <c r="D291">
        <f>IF(LYF!D54="","",LYF!D54)</f>
        <v/>
      </c>
      <c r="E291">
        <f>IF(LYF!F54="","",LYF!F54)</f>
        <v/>
      </c>
      <c r="F291">
        <f>IF(LYF!I54="","",LYF!I54)</f>
        <v/>
      </c>
      <c r="G291">
        <f>IF(LYF!M54="","",LYF!M54)</f>
        <v/>
      </c>
      <c r="H291">
        <f>IF(LYF!N54="","",LYF!N54)</f>
        <v/>
      </c>
      <c r="I291">
        <f>IF(LYF!O54="","",LYF!O54)</f>
        <v/>
      </c>
      <c r="J291">
        <f>IF(D291="","",IF(F291="","",G291+ROW()/100000))</f>
        <v/>
      </c>
    </row>
    <row r="292">
      <c r="A292">
        <f>IF(LYF!D55="","","LYF")</f>
        <v/>
      </c>
      <c r="B292">
        <f>IF(LYF!C55="","",LYF!C55)</f>
        <v/>
      </c>
      <c r="C292">
        <f>IF(LYF!B55="","",LYF!B55)</f>
        <v/>
      </c>
      <c r="D292">
        <f>IF(LYF!D55="","",LYF!D55)</f>
        <v/>
      </c>
      <c r="E292">
        <f>IF(LYF!F55="","",LYF!F55)</f>
        <v/>
      </c>
      <c r="F292">
        <f>IF(LYF!I55="","",LYF!I55)</f>
        <v/>
      </c>
      <c r="G292">
        <f>IF(LYF!M55="","",LYF!M55)</f>
        <v/>
      </c>
      <c r="H292">
        <f>IF(LYF!N55="","",LYF!N55)</f>
        <v/>
      </c>
      <c r="I292">
        <f>IF(LYF!O55="","",LYF!O55)</f>
        <v/>
      </c>
      <c r="J292">
        <f>IF(D292="","",IF(F292="","",G292+ROW()/100000))</f>
        <v/>
      </c>
    </row>
    <row r="293">
      <c r="A293">
        <f>IF(LYF!D56="","","LYF")</f>
        <v/>
      </c>
      <c r="B293">
        <f>IF(LYF!C56="","",LYF!C56)</f>
        <v/>
      </c>
      <c r="C293">
        <f>IF(LYF!B56="","",LYF!B56)</f>
        <v/>
      </c>
      <c r="D293">
        <f>IF(LYF!D56="","",LYF!D56)</f>
        <v/>
      </c>
      <c r="E293">
        <f>IF(LYF!F56="","",LYF!F56)</f>
        <v/>
      </c>
      <c r="F293">
        <f>IF(LYF!I56="","",LYF!I56)</f>
        <v/>
      </c>
      <c r="G293">
        <f>IF(LYF!M56="","",LYF!M56)</f>
        <v/>
      </c>
      <c r="H293">
        <f>IF(LYF!N56="","",LYF!N56)</f>
        <v/>
      </c>
      <c r="I293">
        <f>IF(LYF!O56="","",LYF!O56)</f>
        <v/>
      </c>
      <c r="J293">
        <f>IF(D293="","",IF(F293="","",G293+ROW()/100000))</f>
        <v/>
      </c>
    </row>
    <row r="294">
      <c r="A294">
        <f>IF(LYF!D57="","","LYF")</f>
        <v/>
      </c>
      <c r="B294">
        <f>IF(LYF!C57="","",LYF!C57)</f>
        <v/>
      </c>
      <c r="C294">
        <f>IF(LYF!B57="","",LYF!B57)</f>
        <v/>
      </c>
      <c r="D294">
        <f>IF(LYF!D57="","",LYF!D57)</f>
        <v/>
      </c>
      <c r="E294">
        <f>IF(LYF!F57="","",LYF!F57)</f>
        <v/>
      </c>
      <c r="F294">
        <f>IF(LYF!I57="","",LYF!I57)</f>
        <v/>
      </c>
      <c r="G294">
        <f>IF(LYF!M57="","",LYF!M57)</f>
        <v/>
      </c>
      <c r="H294">
        <f>IF(LYF!N57="","",LYF!N57)</f>
        <v/>
      </c>
      <c r="I294">
        <f>IF(LYF!O57="","",LYF!O57)</f>
        <v/>
      </c>
      <c r="J294">
        <f>IF(D294="","",IF(F294="","",G294+ROW()/100000))</f>
        <v/>
      </c>
    </row>
    <row r="295">
      <c r="A295">
        <f>IF(LYF!D58="","","LYF")</f>
        <v/>
      </c>
      <c r="B295">
        <f>IF(LYF!C58="","",LYF!C58)</f>
        <v/>
      </c>
      <c r="C295">
        <f>IF(LYF!B58="","",LYF!B58)</f>
        <v/>
      </c>
      <c r="D295">
        <f>IF(LYF!D58="","",LYF!D58)</f>
        <v/>
      </c>
      <c r="E295">
        <f>IF(LYF!F58="","",LYF!F58)</f>
        <v/>
      </c>
      <c r="F295">
        <f>IF(LYF!I58="","",LYF!I58)</f>
        <v/>
      </c>
      <c r="G295">
        <f>IF(LYF!M58="","",LYF!M58)</f>
        <v/>
      </c>
      <c r="H295">
        <f>IF(LYF!N58="","",LYF!N58)</f>
        <v/>
      </c>
      <c r="I295">
        <f>IF(LYF!O58="","",LYF!O58)</f>
        <v/>
      </c>
      <c r="J295">
        <f>IF(D295="","",IF(F295="","",G295+ROW()/100000))</f>
        <v/>
      </c>
    </row>
    <row r="296">
      <c r="A296">
        <f>IF(LYF!D59="","","LYF")</f>
        <v/>
      </c>
      <c r="B296">
        <f>IF(LYF!C59="","",LYF!C59)</f>
        <v/>
      </c>
      <c r="C296">
        <f>IF(LYF!B59="","",LYF!B59)</f>
        <v/>
      </c>
      <c r="D296">
        <f>IF(LYF!D59="","",LYF!D59)</f>
        <v/>
      </c>
      <c r="E296">
        <f>IF(LYF!F59="","",LYF!F59)</f>
        <v/>
      </c>
      <c r="F296">
        <f>IF(LYF!I59="","",LYF!I59)</f>
        <v/>
      </c>
      <c r="G296">
        <f>IF(LYF!M59="","",LYF!M59)</f>
        <v/>
      </c>
      <c r="H296">
        <f>IF(LYF!N59="","",LYF!N59)</f>
        <v/>
      </c>
      <c r="I296">
        <f>IF(LYF!O59="","",LYF!O59)</f>
        <v/>
      </c>
      <c r="J296">
        <f>IF(D296="","",IF(F296="","",G296+ROW()/100000))</f>
        <v/>
      </c>
    </row>
    <row r="297">
      <c r="A297">
        <f>IF(LYF!D60="","","LYF")</f>
        <v/>
      </c>
      <c r="B297">
        <f>IF(LYF!C60="","",LYF!C60)</f>
        <v/>
      </c>
      <c r="C297">
        <f>IF(LYF!B60="","",LYF!B60)</f>
        <v/>
      </c>
      <c r="D297">
        <f>IF(LYF!D60="","",LYF!D60)</f>
        <v/>
      </c>
      <c r="E297">
        <f>IF(LYF!F60="","",LYF!F60)</f>
        <v/>
      </c>
      <c r="F297">
        <f>IF(LYF!I60="","",LYF!I60)</f>
        <v/>
      </c>
      <c r="G297">
        <f>IF(LYF!M60="","",LYF!M60)</f>
        <v/>
      </c>
      <c r="H297">
        <f>IF(LYF!N60="","",LYF!N60)</f>
        <v/>
      </c>
      <c r="I297">
        <f>IF(LYF!O60="","",LYF!O60)</f>
        <v/>
      </c>
      <c r="J297">
        <f>IF(D297="","",IF(F297="","",G297+ROW()/100000))</f>
        <v/>
      </c>
    </row>
    <row r="298">
      <c r="A298">
        <f>IF(LYF!D61="","","LYF")</f>
        <v/>
      </c>
      <c r="B298">
        <f>IF(LYF!C61="","",LYF!C61)</f>
        <v/>
      </c>
      <c r="C298">
        <f>IF(LYF!B61="","",LYF!B61)</f>
        <v/>
      </c>
      <c r="D298">
        <f>IF(LYF!D61="","",LYF!D61)</f>
        <v/>
      </c>
      <c r="E298">
        <f>IF(LYF!F61="","",LYF!F61)</f>
        <v/>
      </c>
      <c r="F298">
        <f>IF(LYF!I61="","",LYF!I61)</f>
        <v/>
      </c>
      <c r="G298">
        <f>IF(LYF!M61="","",LYF!M61)</f>
        <v/>
      </c>
      <c r="H298">
        <f>IF(LYF!N61="","",LYF!N61)</f>
        <v/>
      </c>
      <c r="I298">
        <f>IF(LYF!O61="","",LYF!O61)</f>
        <v/>
      </c>
      <c r="J298">
        <f>IF(D298="","",IF(F298="","",G298+ROW()/100000))</f>
        <v/>
      </c>
    </row>
    <row r="299">
      <c r="A299">
        <f>IF(LYF!D62="","","LYF")</f>
        <v/>
      </c>
      <c r="B299">
        <f>IF(LYF!C62="","",LYF!C62)</f>
        <v/>
      </c>
      <c r="C299">
        <f>IF(LYF!B62="","",LYF!B62)</f>
        <v/>
      </c>
      <c r="D299">
        <f>IF(LYF!D62="","",LYF!D62)</f>
        <v/>
      </c>
      <c r="E299">
        <f>IF(LYF!F62="","",LYF!F62)</f>
        <v/>
      </c>
      <c r="F299">
        <f>IF(LYF!I62="","",LYF!I62)</f>
        <v/>
      </c>
      <c r="G299">
        <f>IF(LYF!M62="","",LYF!M62)</f>
        <v/>
      </c>
      <c r="H299">
        <f>IF(LYF!N62="","",LYF!N62)</f>
        <v/>
      </c>
      <c r="I299">
        <f>IF(LYF!O62="","",LYF!O62)</f>
        <v/>
      </c>
      <c r="J299">
        <f>IF(D299="","",IF(F299="","",G299+ROW()/100000))</f>
        <v/>
      </c>
    </row>
    <row r="300">
      <c r="A300">
        <f>IF(LYF!D63="","","LYF")</f>
        <v/>
      </c>
      <c r="B300">
        <f>IF(LYF!C63="","",LYF!C63)</f>
        <v/>
      </c>
      <c r="C300">
        <f>IF(LYF!B63="","",LYF!B63)</f>
        <v/>
      </c>
      <c r="D300">
        <f>IF(LYF!D63="","",LYF!D63)</f>
        <v/>
      </c>
      <c r="E300">
        <f>IF(LYF!F63="","",LYF!F63)</f>
        <v/>
      </c>
      <c r="F300">
        <f>IF(LYF!I63="","",LYF!I63)</f>
        <v/>
      </c>
      <c r="G300">
        <f>IF(LYF!M63="","",LYF!M63)</f>
        <v/>
      </c>
      <c r="H300">
        <f>IF(LYF!N63="","",LYF!N63)</f>
        <v/>
      </c>
      <c r="I300">
        <f>IF(LYF!O63="","",LYF!O63)</f>
        <v/>
      </c>
      <c r="J300">
        <f>IF(D300="","",IF(F300="","",G300+ROW()/100000))</f>
        <v/>
      </c>
    </row>
    <row r="301">
      <c r="A301">
        <f>IF(LYF!D64="","","LYF")</f>
        <v/>
      </c>
      <c r="B301">
        <f>IF(LYF!C64="","",LYF!C64)</f>
        <v/>
      </c>
      <c r="C301">
        <f>IF(LYF!B64="","",LYF!B64)</f>
        <v/>
      </c>
      <c r="D301">
        <f>IF(LYF!D64="","",LYF!D64)</f>
        <v/>
      </c>
      <c r="E301">
        <f>IF(LYF!F64="","",LYF!F64)</f>
        <v/>
      </c>
      <c r="F301">
        <f>IF(LYF!I64="","",LYF!I64)</f>
        <v/>
      </c>
      <c r="G301">
        <f>IF(LYF!M64="","",LYF!M64)</f>
        <v/>
      </c>
      <c r="H301">
        <f>IF(LYF!N64="","",LYF!N64)</f>
        <v/>
      </c>
      <c r="I301">
        <f>IF(LYF!O64="","",LYF!O64)</f>
        <v/>
      </c>
      <c r="J301">
        <f>IF(D301="","",IF(F301="","",G301+ROW()/100000))</f>
        <v/>
      </c>
    </row>
    <row r="302">
      <c r="A302">
        <f>IF(LYF!D65="","","LYF")</f>
        <v/>
      </c>
      <c r="B302">
        <f>IF(LYF!C65="","",LYF!C65)</f>
        <v/>
      </c>
      <c r="C302">
        <f>IF(LYF!B65="","",LYF!B65)</f>
        <v/>
      </c>
      <c r="D302">
        <f>IF(LYF!D65="","",LYF!D65)</f>
        <v/>
      </c>
      <c r="E302">
        <f>IF(LYF!F65="","",LYF!F65)</f>
        <v/>
      </c>
      <c r="F302">
        <f>IF(LYF!I65="","",LYF!I65)</f>
        <v/>
      </c>
      <c r="G302">
        <f>IF(LYF!M65="","",LYF!M65)</f>
        <v/>
      </c>
      <c r="H302">
        <f>IF(LYF!N65="","",LYF!N65)</f>
        <v/>
      </c>
      <c r="I302">
        <f>IF(LYF!O65="","",LYF!O65)</f>
        <v/>
      </c>
      <c r="J302">
        <f>IF(D302="","",IF(F302="","",G302+ROW()/100000))</f>
        <v/>
      </c>
    </row>
    <row r="303">
      <c r="A303">
        <f>IF(LYF!D66="","","LYF")</f>
        <v/>
      </c>
      <c r="B303">
        <f>IF(LYF!C66="","",LYF!C66)</f>
        <v/>
      </c>
      <c r="C303">
        <f>IF(LYF!B66="","",LYF!B66)</f>
        <v/>
      </c>
      <c r="D303">
        <f>IF(LYF!D66="","",LYF!D66)</f>
        <v/>
      </c>
      <c r="E303">
        <f>IF(LYF!F66="","",LYF!F66)</f>
        <v/>
      </c>
      <c r="F303">
        <f>IF(LYF!I66="","",LYF!I66)</f>
        <v/>
      </c>
      <c r="G303">
        <f>IF(LYF!M66="","",LYF!M66)</f>
        <v/>
      </c>
      <c r="H303">
        <f>IF(LYF!N66="","",LYF!N66)</f>
        <v/>
      </c>
      <c r="I303">
        <f>IF(LYF!O66="","",LYF!O66)</f>
        <v/>
      </c>
      <c r="J303">
        <f>IF(D303="","",IF(F303="","",G303+ROW()/100000))</f>
        <v/>
      </c>
    </row>
    <row r="304">
      <c r="A304">
        <f>IF(LYF!D67="","","LYF")</f>
        <v/>
      </c>
      <c r="B304">
        <f>IF(LYF!C67="","",LYF!C67)</f>
        <v/>
      </c>
      <c r="C304">
        <f>IF(LYF!B67="","",LYF!B67)</f>
        <v/>
      </c>
      <c r="D304">
        <f>IF(LYF!D67="","",LYF!D67)</f>
        <v/>
      </c>
      <c r="E304">
        <f>IF(LYF!F67="","",LYF!F67)</f>
        <v/>
      </c>
      <c r="F304">
        <f>IF(LYF!I67="","",LYF!I67)</f>
        <v/>
      </c>
      <c r="G304">
        <f>IF(LYF!M67="","",LYF!M67)</f>
        <v/>
      </c>
      <c r="H304">
        <f>IF(LYF!N67="","",LYF!N67)</f>
        <v/>
      </c>
      <c r="I304">
        <f>IF(LYF!O67="","",LYF!O67)</f>
        <v/>
      </c>
      <c r="J304">
        <f>IF(D304="","",IF(F304="","",G304+ROW()/100000))</f>
        <v/>
      </c>
    </row>
    <row r="305">
      <c r="A305">
        <f>IF(LYF!D68="","","LYF")</f>
        <v/>
      </c>
      <c r="B305">
        <f>IF(LYF!C68="","",LYF!C68)</f>
        <v/>
      </c>
      <c r="C305">
        <f>IF(LYF!B68="","",LYF!B68)</f>
        <v/>
      </c>
      <c r="D305">
        <f>IF(LYF!D68="","",LYF!D68)</f>
        <v/>
      </c>
      <c r="E305">
        <f>IF(LYF!F68="","",LYF!F68)</f>
        <v/>
      </c>
      <c r="F305">
        <f>IF(LYF!I68="","",LYF!I68)</f>
        <v/>
      </c>
      <c r="G305">
        <f>IF(LYF!M68="","",LYF!M68)</f>
        <v/>
      </c>
      <c r="H305">
        <f>IF(LYF!N68="","",LYF!N68)</f>
        <v/>
      </c>
      <c r="I305">
        <f>IF(LYF!O68="","",LYF!O68)</f>
        <v/>
      </c>
      <c r="J305">
        <f>IF(D305="","",IF(F305="","",G305+ROW()/100000))</f>
        <v/>
      </c>
    </row>
    <row r="306">
      <c r="A306">
        <f>IF(LYF!D69="","","LYF")</f>
        <v/>
      </c>
      <c r="B306">
        <f>IF(LYF!C69="","",LYF!C69)</f>
        <v/>
      </c>
      <c r="C306">
        <f>IF(LYF!B69="","",LYF!B69)</f>
        <v/>
      </c>
      <c r="D306">
        <f>IF(LYF!D69="","",LYF!D69)</f>
        <v/>
      </c>
      <c r="E306">
        <f>IF(LYF!F69="","",LYF!F69)</f>
        <v/>
      </c>
      <c r="F306">
        <f>IF(LYF!I69="","",LYF!I69)</f>
        <v/>
      </c>
      <c r="G306">
        <f>IF(LYF!M69="","",LYF!M69)</f>
        <v/>
      </c>
      <c r="H306">
        <f>IF(LYF!N69="","",LYF!N69)</f>
        <v/>
      </c>
      <c r="I306">
        <f>IF(LYF!O69="","",LYF!O69)</f>
        <v/>
      </c>
      <c r="J306">
        <f>IF(D306="","",IF(F306="","",G306+ROW()/100000))</f>
        <v/>
      </c>
    </row>
    <row r="307">
      <c r="A307">
        <f>IF(LYF!D70="","","LYF")</f>
        <v/>
      </c>
      <c r="B307">
        <f>IF(LYF!C70="","",LYF!C70)</f>
        <v/>
      </c>
      <c r="C307">
        <f>IF(LYF!B70="","",LYF!B70)</f>
        <v/>
      </c>
      <c r="D307">
        <f>IF(LYF!D70="","",LYF!D70)</f>
        <v/>
      </c>
      <c r="E307">
        <f>IF(LYF!F70="","",LYF!F70)</f>
        <v/>
      </c>
      <c r="F307">
        <f>IF(LYF!I70="","",LYF!I70)</f>
        <v/>
      </c>
      <c r="G307">
        <f>IF(LYF!M70="","",LYF!M70)</f>
        <v/>
      </c>
      <c r="H307">
        <f>IF(LYF!N70="","",LYF!N70)</f>
        <v/>
      </c>
      <c r="I307">
        <f>IF(LYF!O70="","",LYF!O70)</f>
        <v/>
      </c>
      <c r="J307">
        <f>IF(D307="","",IF(F307="","",G307+ROW()/100000))</f>
        <v/>
      </c>
    </row>
    <row r="308">
      <c r="A308">
        <f>IF(LYF!D71="","","LYF")</f>
        <v/>
      </c>
      <c r="B308">
        <f>IF(LYF!C71="","",LYF!C71)</f>
        <v/>
      </c>
      <c r="C308">
        <f>IF(LYF!B71="","",LYF!B71)</f>
        <v/>
      </c>
      <c r="D308">
        <f>IF(LYF!D71="","",LYF!D71)</f>
        <v/>
      </c>
      <c r="E308">
        <f>IF(LYF!F71="","",LYF!F71)</f>
        <v/>
      </c>
      <c r="F308">
        <f>IF(LYF!I71="","",LYF!I71)</f>
        <v/>
      </c>
      <c r="G308">
        <f>IF(LYF!M71="","",LYF!M71)</f>
        <v/>
      </c>
      <c r="H308">
        <f>IF(LYF!N71="","",LYF!N71)</f>
        <v/>
      </c>
      <c r="I308">
        <f>IF(LYF!O71="","",LYF!O71)</f>
        <v/>
      </c>
      <c r="J308">
        <f>IF(D308="","",IF(F308="","",G308+ROW()/100000))</f>
        <v/>
      </c>
    </row>
    <row r="309">
      <c r="A309">
        <f>IF(LYF!D72="","","LYF")</f>
        <v/>
      </c>
      <c r="B309">
        <f>IF(LYF!C72="","",LYF!C72)</f>
        <v/>
      </c>
      <c r="C309">
        <f>IF(LYF!B72="","",LYF!B72)</f>
        <v/>
      </c>
      <c r="D309">
        <f>IF(LYF!D72="","",LYF!D72)</f>
        <v/>
      </c>
      <c r="E309">
        <f>IF(LYF!F72="","",LYF!F72)</f>
        <v/>
      </c>
      <c r="F309">
        <f>IF(LYF!I72="","",LYF!I72)</f>
        <v/>
      </c>
      <c r="G309">
        <f>IF(LYF!M72="","",LYF!M72)</f>
        <v/>
      </c>
      <c r="H309">
        <f>IF(LYF!N72="","",LYF!N72)</f>
        <v/>
      </c>
      <c r="I309">
        <f>IF(LYF!O72="","",LYF!O72)</f>
        <v/>
      </c>
      <c r="J309">
        <f>IF(D309="","",IF(F309="","",G309+ROW()/100000))</f>
        <v/>
      </c>
    </row>
    <row r="310">
      <c r="A310">
        <f>IF(LYF!D73="","","LYF")</f>
        <v/>
      </c>
      <c r="B310">
        <f>IF(LYF!C73="","",LYF!C73)</f>
        <v/>
      </c>
      <c r="C310">
        <f>IF(LYF!B73="","",LYF!B73)</f>
        <v/>
      </c>
      <c r="D310">
        <f>IF(LYF!D73="","",LYF!D73)</f>
        <v/>
      </c>
      <c r="E310">
        <f>IF(LYF!F73="","",LYF!F73)</f>
        <v/>
      </c>
      <c r="F310">
        <f>IF(LYF!I73="","",LYF!I73)</f>
        <v/>
      </c>
      <c r="G310">
        <f>IF(LYF!M73="","",LYF!M73)</f>
        <v/>
      </c>
      <c r="H310">
        <f>IF(LYF!N73="","",LYF!N73)</f>
        <v/>
      </c>
      <c r="I310">
        <f>IF(LYF!O73="","",LYF!O73)</f>
        <v/>
      </c>
      <c r="J310">
        <f>IF(D310="","",IF(F310="","",G310+ROW()/100000))</f>
        <v/>
      </c>
    </row>
    <row r="311">
      <c r="A311">
        <f>IF(LYF!D74="","","LYF")</f>
        <v/>
      </c>
      <c r="B311">
        <f>IF(LYF!C74="","",LYF!C74)</f>
        <v/>
      </c>
      <c r="C311">
        <f>IF(LYF!B74="","",LYF!B74)</f>
        <v/>
      </c>
      <c r="D311">
        <f>IF(LYF!D74="","",LYF!D74)</f>
        <v/>
      </c>
      <c r="E311">
        <f>IF(LYF!F74="","",LYF!F74)</f>
        <v/>
      </c>
      <c r="F311">
        <f>IF(LYF!I74="","",LYF!I74)</f>
        <v/>
      </c>
      <c r="G311">
        <f>IF(LYF!M74="","",LYF!M74)</f>
        <v/>
      </c>
      <c r="H311">
        <f>IF(LYF!N74="","",LYF!N74)</f>
        <v/>
      </c>
      <c r="I311">
        <f>IF(LYF!O74="","",LYF!O74)</f>
        <v/>
      </c>
      <c r="J311">
        <f>IF(D311="","",IF(F311="","",G311+ROW()/100000))</f>
        <v/>
      </c>
    </row>
    <row r="312">
      <c r="A312">
        <f>IF(LYF!D75="","","LYF")</f>
        <v/>
      </c>
      <c r="B312">
        <f>IF(LYF!C75="","",LYF!C75)</f>
        <v/>
      </c>
      <c r="C312">
        <f>IF(LYF!B75="","",LYF!B75)</f>
        <v/>
      </c>
      <c r="D312">
        <f>IF(LYF!D75="","",LYF!D75)</f>
        <v/>
      </c>
      <c r="E312">
        <f>IF(LYF!F75="","",LYF!F75)</f>
        <v/>
      </c>
      <c r="F312">
        <f>IF(LYF!I75="","",LYF!I75)</f>
        <v/>
      </c>
      <c r="G312">
        <f>IF(LYF!M75="","",LYF!M75)</f>
        <v/>
      </c>
      <c r="H312">
        <f>IF(LYF!N75="","",LYF!N75)</f>
        <v/>
      </c>
      <c r="I312">
        <f>IF(LYF!O75="","",LYF!O75)</f>
        <v/>
      </c>
      <c r="J312">
        <f>IF(D312="","",IF(F312="","",G312+ROW()/100000))</f>
        <v/>
      </c>
    </row>
    <row r="313">
      <c r="A313">
        <f>IF(LYF!D76="","","LYF")</f>
        <v/>
      </c>
      <c r="B313">
        <f>IF(LYF!C76="","",LYF!C76)</f>
        <v/>
      </c>
      <c r="C313">
        <f>IF(LYF!B76="","",LYF!B76)</f>
        <v/>
      </c>
      <c r="D313">
        <f>IF(LYF!D76="","",LYF!D76)</f>
        <v/>
      </c>
      <c r="E313">
        <f>IF(LYF!F76="","",LYF!F76)</f>
        <v/>
      </c>
      <c r="F313">
        <f>IF(LYF!I76="","",LYF!I76)</f>
        <v/>
      </c>
      <c r="G313">
        <f>IF(LYF!M76="","",LYF!M76)</f>
        <v/>
      </c>
      <c r="H313">
        <f>IF(LYF!N76="","",LYF!N76)</f>
        <v/>
      </c>
      <c r="I313">
        <f>IF(LYF!O76="","",LYF!O76)</f>
        <v/>
      </c>
      <c r="J313">
        <f>IF(D313="","",IF(F313="","",G313+ROW()/100000))</f>
        <v/>
      </c>
    </row>
    <row r="314">
      <c r="A314">
        <f>IF(LYF!D77="","","LYF")</f>
        <v/>
      </c>
      <c r="B314">
        <f>IF(LYF!C77="","",LYF!C77)</f>
        <v/>
      </c>
      <c r="C314">
        <f>IF(LYF!B77="","",LYF!B77)</f>
        <v/>
      </c>
      <c r="D314">
        <f>IF(LYF!D77="","",LYF!D77)</f>
        <v/>
      </c>
      <c r="E314">
        <f>IF(LYF!F77="","",LYF!F77)</f>
        <v/>
      </c>
      <c r="F314">
        <f>IF(LYF!I77="","",LYF!I77)</f>
        <v/>
      </c>
      <c r="G314">
        <f>IF(LYF!M77="","",LYF!M77)</f>
        <v/>
      </c>
      <c r="H314">
        <f>IF(LYF!N77="","",LYF!N77)</f>
        <v/>
      </c>
      <c r="I314">
        <f>IF(LYF!O77="","",LYF!O77)</f>
        <v/>
      </c>
      <c r="J314">
        <f>IF(D314="","",IF(F314="","",G314+ROW()/100000))</f>
        <v/>
      </c>
    </row>
    <row r="315">
      <c r="A315">
        <f>IF(LYF!D78="","","LYF")</f>
        <v/>
      </c>
      <c r="B315">
        <f>IF(LYF!C78="","",LYF!C78)</f>
        <v/>
      </c>
      <c r="C315">
        <f>IF(LYF!B78="","",LYF!B78)</f>
        <v/>
      </c>
      <c r="D315">
        <f>IF(LYF!D78="","",LYF!D78)</f>
        <v/>
      </c>
      <c r="E315">
        <f>IF(LYF!F78="","",LYF!F78)</f>
        <v/>
      </c>
      <c r="F315">
        <f>IF(LYF!I78="","",LYF!I78)</f>
        <v/>
      </c>
      <c r="G315">
        <f>IF(LYF!M78="","",LYF!M78)</f>
        <v/>
      </c>
      <c r="H315">
        <f>IF(LYF!N78="","",LYF!N78)</f>
        <v/>
      </c>
      <c r="I315">
        <f>IF(LYF!O78="","",LYF!O78)</f>
        <v/>
      </c>
      <c r="J315">
        <f>IF(D315="","",IF(F315="","",G315+ROW()/100000))</f>
        <v/>
      </c>
    </row>
    <row r="316">
      <c r="A316">
        <f>IF(LYF!D79="","","LYF")</f>
        <v/>
      </c>
      <c r="B316">
        <f>IF(LYF!C79="","",LYF!C79)</f>
        <v/>
      </c>
      <c r="C316">
        <f>IF(LYF!B79="","",LYF!B79)</f>
        <v/>
      </c>
      <c r="D316">
        <f>IF(LYF!D79="","",LYF!D79)</f>
        <v/>
      </c>
      <c r="E316">
        <f>IF(LYF!F79="","",LYF!F79)</f>
        <v/>
      </c>
      <c r="F316">
        <f>IF(LYF!I79="","",LYF!I79)</f>
        <v/>
      </c>
      <c r="G316">
        <f>IF(LYF!M79="","",LYF!M79)</f>
        <v/>
      </c>
      <c r="H316">
        <f>IF(LYF!N79="","",LYF!N79)</f>
        <v/>
      </c>
      <c r="I316">
        <f>IF(LYF!O79="","",LYF!O79)</f>
        <v/>
      </c>
      <c r="J316">
        <f>IF(D316="","",IF(F316="","",G316+ROW()/100000))</f>
        <v/>
      </c>
    </row>
    <row r="317">
      <c r="A317">
        <f>IF(LYF!D80="","","LYF")</f>
        <v/>
      </c>
      <c r="B317">
        <f>IF(LYF!C80="","",LYF!C80)</f>
        <v/>
      </c>
      <c r="C317">
        <f>IF(LYF!B80="","",LYF!B80)</f>
        <v/>
      </c>
      <c r="D317">
        <f>IF(LYF!D80="","",LYF!D80)</f>
        <v/>
      </c>
      <c r="E317">
        <f>IF(LYF!F80="","",LYF!F80)</f>
        <v/>
      </c>
      <c r="F317">
        <f>IF(LYF!I80="","",LYF!I80)</f>
        <v/>
      </c>
      <c r="G317">
        <f>IF(LYF!M80="","",LYF!M80)</f>
        <v/>
      </c>
      <c r="H317">
        <f>IF(LYF!N80="","",LYF!N80)</f>
        <v/>
      </c>
      <c r="I317">
        <f>IF(LYF!O80="","",LYF!O80)</f>
        <v/>
      </c>
      <c r="J317">
        <f>IF(D317="","",IF(F317="","",G317+ROW()/100000))</f>
        <v/>
      </c>
    </row>
    <row r="318">
      <c r="A318">
        <f>IF(LYF!D81="","","LYF")</f>
        <v/>
      </c>
      <c r="B318">
        <f>IF(LYF!C81="","",LYF!C81)</f>
        <v/>
      </c>
      <c r="C318">
        <f>IF(LYF!B81="","",LYF!B81)</f>
        <v/>
      </c>
      <c r="D318">
        <f>IF(LYF!D81="","",LYF!D81)</f>
        <v/>
      </c>
      <c r="E318">
        <f>IF(LYF!F81="","",LYF!F81)</f>
        <v/>
      </c>
      <c r="F318">
        <f>IF(LYF!I81="","",LYF!I81)</f>
        <v/>
      </c>
      <c r="G318">
        <f>IF(LYF!M81="","",LYF!M81)</f>
        <v/>
      </c>
      <c r="H318">
        <f>IF(LYF!N81="","",LYF!N81)</f>
        <v/>
      </c>
      <c r="I318">
        <f>IF(LYF!O81="","",LYF!O81)</f>
        <v/>
      </c>
      <c r="J318">
        <f>IF(D318="","",IF(F318="","",G318+ROW()/100000))</f>
        <v/>
      </c>
    </row>
    <row r="319">
      <c r="A319">
        <f>IF(LYF!D82="","","LYF")</f>
        <v/>
      </c>
      <c r="B319">
        <f>IF(LYF!C82="","",LYF!C82)</f>
        <v/>
      </c>
      <c r="C319">
        <f>IF(LYF!B82="","",LYF!B82)</f>
        <v/>
      </c>
      <c r="D319">
        <f>IF(LYF!D82="","",LYF!D82)</f>
        <v/>
      </c>
      <c r="E319">
        <f>IF(LYF!F82="","",LYF!F82)</f>
        <v/>
      </c>
      <c r="F319">
        <f>IF(LYF!I82="","",LYF!I82)</f>
        <v/>
      </c>
      <c r="G319">
        <f>IF(LYF!M82="","",LYF!M82)</f>
        <v/>
      </c>
      <c r="H319">
        <f>IF(LYF!N82="","",LYF!N82)</f>
        <v/>
      </c>
      <c r="I319">
        <f>IF(LYF!O82="","",LYF!O82)</f>
        <v/>
      </c>
      <c r="J319">
        <f>IF(D319="","",IF(F319="","",G319+ROW()/100000))</f>
        <v/>
      </c>
    </row>
    <row r="320">
      <c r="A320">
        <f>IF(LYF!D83="","","LYF")</f>
        <v/>
      </c>
      <c r="B320">
        <f>IF(LYF!C83="","",LYF!C83)</f>
        <v/>
      </c>
      <c r="C320">
        <f>IF(LYF!B83="","",LYF!B83)</f>
        <v/>
      </c>
      <c r="D320">
        <f>IF(LYF!D83="","",LYF!D83)</f>
        <v/>
      </c>
      <c r="E320">
        <f>IF(LYF!F83="","",LYF!F83)</f>
        <v/>
      </c>
      <c r="F320">
        <f>IF(LYF!I83="","",LYF!I83)</f>
        <v/>
      </c>
      <c r="G320">
        <f>IF(LYF!M83="","",LYF!M83)</f>
        <v/>
      </c>
      <c r="H320">
        <f>IF(LYF!N83="","",LYF!N83)</f>
        <v/>
      </c>
      <c r="I320">
        <f>IF(LYF!O83="","",LYF!O83)</f>
        <v/>
      </c>
      <c r="J320">
        <f>IF(D320="","",IF(F320="","",G320+ROW()/100000))</f>
        <v/>
      </c>
    </row>
    <row r="321">
      <c r="A321">
        <f>IF(LYF!D84="","","LYF")</f>
        <v/>
      </c>
      <c r="B321">
        <f>IF(LYF!C84="","",LYF!C84)</f>
        <v/>
      </c>
      <c r="C321">
        <f>IF(LYF!B84="","",LYF!B84)</f>
        <v/>
      </c>
      <c r="D321">
        <f>IF(LYF!D84="","",LYF!D84)</f>
        <v/>
      </c>
      <c r="E321">
        <f>IF(LYF!F84="","",LYF!F84)</f>
        <v/>
      </c>
      <c r="F321">
        <f>IF(LYF!I84="","",LYF!I84)</f>
        <v/>
      </c>
      <c r="G321">
        <f>IF(LYF!M84="","",LYF!M84)</f>
        <v/>
      </c>
      <c r="H321">
        <f>IF(LYF!N84="","",LYF!N84)</f>
        <v/>
      </c>
      <c r="I321">
        <f>IF(LYF!O84="","",LYF!O84)</f>
        <v/>
      </c>
      <c r="J321">
        <f>IF(D321="","",IF(F321="","",G321+ROW()/100000))</f>
        <v/>
      </c>
    </row>
    <row r="322">
      <c r="A322">
        <f>IF(LYF!D85="","","LYF")</f>
        <v/>
      </c>
      <c r="B322">
        <f>IF(LYF!C85="","",LYF!C85)</f>
        <v/>
      </c>
      <c r="C322">
        <f>IF(LYF!B85="","",LYF!B85)</f>
        <v/>
      </c>
      <c r="D322">
        <f>IF(LYF!D85="","",LYF!D85)</f>
        <v/>
      </c>
      <c r="E322">
        <f>IF(LYF!F85="","",LYF!F85)</f>
        <v/>
      </c>
      <c r="F322">
        <f>IF(LYF!I85="","",LYF!I85)</f>
        <v/>
      </c>
      <c r="G322">
        <f>IF(LYF!M85="","",LYF!M85)</f>
        <v/>
      </c>
      <c r="H322">
        <f>IF(LYF!N85="","",LYF!N85)</f>
        <v/>
      </c>
      <c r="I322">
        <f>IF(LYF!O85="","",LYF!O85)</f>
        <v/>
      </c>
      <c r="J322">
        <f>IF(D322="","",IF(F322="","",G322+ROW()/100000))</f>
        <v/>
      </c>
    </row>
    <row r="323">
      <c r="A323">
        <f>IF(LYF!D86="","","LYF")</f>
        <v/>
      </c>
      <c r="B323">
        <f>IF(LYF!C86="","",LYF!C86)</f>
        <v/>
      </c>
      <c r="C323">
        <f>IF(LYF!B86="","",LYF!B86)</f>
        <v/>
      </c>
      <c r="D323">
        <f>IF(LYF!D86="","",LYF!D86)</f>
        <v/>
      </c>
      <c r="E323">
        <f>IF(LYF!F86="","",LYF!F86)</f>
        <v/>
      </c>
      <c r="F323">
        <f>IF(LYF!I86="","",LYF!I86)</f>
        <v/>
      </c>
      <c r="G323">
        <f>IF(LYF!M86="","",LYF!M86)</f>
        <v/>
      </c>
      <c r="H323">
        <f>IF(LYF!N86="","",LYF!N86)</f>
        <v/>
      </c>
      <c r="I323">
        <f>IF(LYF!O86="","",LYF!O86)</f>
        <v/>
      </c>
      <c r="J323">
        <f>IF(D323="","",IF(F323="","",G323+ROW()/100000))</f>
        <v/>
      </c>
    </row>
    <row r="324">
      <c r="A324">
        <f>IF(LYF!D87="","","LYF")</f>
        <v/>
      </c>
      <c r="B324">
        <f>IF(LYF!C87="","",LYF!C87)</f>
        <v/>
      </c>
      <c r="C324">
        <f>IF(LYF!B87="","",LYF!B87)</f>
        <v/>
      </c>
      <c r="D324">
        <f>IF(LYF!D87="","",LYF!D87)</f>
        <v/>
      </c>
      <c r="E324">
        <f>IF(LYF!F87="","",LYF!F87)</f>
        <v/>
      </c>
      <c r="F324">
        <f>IF(LYF!I87="","",LYF!I87)</f>
        <v/>
      </c>
      <c r="G324">
        <f>IF(LYF!M87="","",LYF!M87)</f>
        <v/>
      </c>
      <c r="H324">
        <f>IF(LYF!N87="","",LYF!N87)</f>
        <v/>
      </c>
      <c r="I324">
        <f>IF(LYF!O87="","",LYF!O87)</f>
        <v/>
      </c>
      <c r="J324">
        <f>IF(D324="","",IF(F324="","",G324+ROW()/100000))</f>
        <v/>
      </c>
    </row>
    <row r="325">
      <c r="A325">
        <f>IF(LYF!D88="","","LYF")</f>
        <v/>
      </c>
      <c r="B325">
        <f>IF(LYF!C88="","",LYF!C88)</f>
        <v/>
      </c>
      <c r="C325">
        <f>IF(LYF!B88="","",LYF!B88)</f>
        <v/>
      </c>
      <c r="D325">
        <f>IF(LYF!D88="","",LYF!D88)</f>
        <v/>
      </c>
      <c r="E325">
        <f>IF(LYF!F88="","",LYF!F88)</f>
        <v/>
      </c>
      <c r="F325">
        <f>IF(LYF!I88="","",LYF!I88)</f>
        <v/>
      </c>
      <c r="G325">
        <f>IF(LYF!M88="","",LYF!M88)</f>
        <v/>
      </c>
      <c r="H325">
        <f>IF(LYF!N88="","",LYF!N88)</f>
        <v/>
      </c>
      <c r="I325">
        <f>IF(LYF!O88="","",LYF!O88)</f>
        <v/>
      </c>
      <c r="J325">
        <f>IF(D325="","",IF(F325="","",G325+ROW()/100000))</f>
        <v/>
      </c>
    </row>
    <row r="326">
      <c r="A326">
        <f>IF(LYF!D89="","","LYF")</f>
        <v/>
      </c>
      <c r="B326">
        <f>IF(LYF!C89="","",LYF!C89)</f>
        <v/>
      </c>
      <c r="C326">
        <f>IF(LYF!B89="","",LYF!B89)</f>
        <v/>
      </c>
      <c r="D326">
        <f>IF(LYF!D89="","",LYF!D89)</f>
        <v/>
      </c>
      <c r="E326">
        <f>IF(LYF!F89="","",LYF!F89)</f>
        <v/>
      </c>
      <c r="F326">
        <f>IF(LYF!I89="","",LYF!I89)</f>
        <v/>
      </c>
      <c r="G326">
        <f>IF(LYF!M89="","",LYF!M89)</f>
        <v/>
      </c>
      <c r="H326">
        <f>IF(LYF!N89="","",LYF!N89)</f>
        <v/>
      </c>
      <c r="I326">
        <f>IF(LYF!O89="","",LYF!O89)</f>
        <v/>
      </c>
      <c r="J326">
        <f>IF(D326="","",IF(F326="","",G326+ROW()/100000))</f>
        <v/>
      </c>
    </row>
    <row r="327">
      <c r="A327">
        <f>IF(LYF!D90="","","LYF")</f>
        <v/>
      </c>
      <c r="B327">
        <f>IF(LYF!C90="","",LYF!C90)</f>
        <v/>
      </c>
      <c r="C327">
        <f>IF(LYF!B90="","",LYF!B90)</f>
        <v/>
      </c>
      <c r="D327">
        <f>IF(LYF!D90="","",LYF!D90)</f>
        <v/>
      </c>
      <c r="E327">
        <f>IF(LYF!F90="","",LYF!F90)</f>
        <v/>
      </c>
      <c r="F327">
        <f>IF(LYF!I90="","",LYF!I90)</f>
        <v/>
      </c>
      <c r="G327">
        <f>IF(LYF!M90="","",LYF!M90)</f>
        <v/>
      </c>
      <c r="H327">
        <f>IF(LYF!N90="","",LYF!N90)</f>
        <v/>
      </c>
      <c r="I327">
        <f>IF(LYF!O90="","",LYF!O90)</f>
        <v/>
      </c>
      <c r="J327">
        <f>IF(D327="","",IF(F327="","",G327+ROW()/100000))</f>
        <v/>
      </c>
    </row>
    <row r="328">
      <c r="A328">
        <f>IF(LYF!D91="","","LYF")</f>
        <v/>
      </c>
      <c r="B328">
        <f>IF(LYF!C91="","",LYF!C91)</f>
        <v/>
      </c>
      <c r="C328">
        <f>IF(LYF!B91="","",LYF!B91)</f>
        <v/>
      </c>
      <c r="D328">
        <f>IF(LYF!D91="","",LYF!D91)</f>
        <v/>
      </c>
      <c r="E328">
        <f>IF(LYF!F91="","",LYF!F91)</f>
        <v/>
      </c>
      <c r="F328">
        <f>IF(LYF!I91="","",LYF!I91)</f>
        <v/>
      </c>
      <c r="G328">
        <f>IF(LYF!M91="","",LYF!M91)</f>
        <v/>
      </c>
      <c r="H328">
        <f>IF(LYF!N91="","",LYF!N91)</f>
        <v/>
      </c>
      <c r="I328">
        <f>IF(LYF!O91="","",LYF!O91)</f>
        <v/>
      </c>
      <c r="J328">
        <f>IF(D328="","",IF(F328="","",G328+ROW()/100000))</f>
        <v/>
      </c>
    </row>
    <row r="329">
      <c r="A329">
        <f>IF(LYF!D92="","","LYF")</f>
        <v/>
      </c>
      <c r="B329">
        <f>IF(LYF!C92="","",LYF!C92)</f>
        <v/>
      </c>
      <c r="C329">
        <f>IF(LYF!B92="","",LYF!B92)</f>
        <v/>
      </c>
      <c r="D329">
        <f>IF(LYF!D92="","",LYF!D92)</f>
        <v/>
      </c>
      <c r="E329">
        <f>IF(LYF!F92="","",LYF!F92)</f>
        <v/>
      </c>
      <c r="F329">
        <f>IF(LYF!I92="","",LYF!I92)</f>
        <v/>
      </c>
      <c r="G329">
        <f>IF(LYF!M92="","",LYF!M92)</f>
        <v/>
      </c>
      <c r="H329">
        <f>IF(LYF!N92="","",LYF!N92)</f>
        <v/>
      </c>
      <c r="I329">
        <f>IF(LYF!O92="","",LYF!O92)</f>
        <v/>
      </c>
      <c r="J329">
        <f>IF(D329="","",IF(F329="","",G329+ROW()/100000))</f>
        <v/>
      </c>
    </row>
    <row r="330">
      <c r="A330">
        <f>IF(LYF!D93="","","LYF")</f>
        <v/>
      </c>
      <c r="B330">
        <f>IF(LYF!C93="","",LYF!C93)</f>
        <v/>
      </c>
      <c r="C330">
        <f>IF(LYF!B93="","",LYF!B93)</f>
        <v/>
      </c>
      <c r="D330">
        <f>IF(LYF!D93="","",LYF!D93)</f>
        <v/>
      </c>
      <c r="E330">
        <f>IF(LYF!F93="","",LYF!F93)</f>
        <v/>
      </c>
      <c r="F330">
        <f>IF(LYF!I93="","",LYF!I93)</f>
        <v/>
      </c>
      <c r="G330">
        <f>IF(LYF!M93="","",LYF!M93)</f>
        <v/>
      </c>
      <c r="H330">
        <f>IF(LYF!N93="","",LYF!N93)</f>
        <v/>
      </c>
      <c r="I330">
        <f>IF(LYF!O93="","",LYF!O93)</f>
        <v/>
      </c>
      <c r="J330">
        <f>IF(D330="","",IF(F330="","",G330+ROW()/100000))</f>
        <v/>
      </c>
    </row>
    <row r="331">
      <c r="A331">
        <f>IF(LYF!D94="","","LYF")</f>
        <v/>
      </c>
      <c r="B331">
        <f>IF(LYF!C94="","",LYF!C94)</f>
        <v/>
      </c>
      <c r="C331">
        <f>IF(LYF!B94="","",LYF!B94)</f>
        <v/>
      </c>
      <c r="D331">
        <f>IF(LYF!D94="","",LYF!D94)</f>
        <v/>
      </c>
      <c r="E331">
        <f>IF(LYF!F94="","",LYF!F94)</f>
        <v/>
      </c>
      <c r="F331">
        <f>IF(LYF!I94="","",LYF!I94)</f>
        <v/>
      </c>
      <c r="G331">
        <f>IF(LYF!M94="","",LYF!M94)</f>
        <v/>
      </c>
      <c r="H331">
        <f>IF(LYF!N94="","",LYF!N94)</f>
        <v/>
      </c>
      <c r="I331">
        <f>IF(LYF!O94="","",LYF!O94)</f>
        <v/>
      </c>
      <c r="J331">
        <f>IF(D331="","",IF(F331="","",G331+ROW()/100000))</f>
        <v/>
      </c>
    </row>
    <row r="332">
      <c r="A332">
        <f>IF(LYF!D95="","","LYF")</f>
        <v/>
      </c>
      <c r="B332">
        <f>IF(LYF!C95="","",LYF!C95)</f>
        <v/>
      </c>
      <c r="C332">
        <f>IF(LYF!B95="","",LYF!B95)</f>
        <v/>
      </c>
      <c r="D332">
        <f>IF(LYF!D95="","",LYF!D95)</f>
        <v/>
      </c>
      <c r="E332">
        <f>IF(LYF!F95="","",LYF!F95)</f>
        <v/>
      </c>
      <c r="F332">
        <f>IF(LYF!I95="","",LYF!I95)</f>
        <v/>
      </c>
      <c r="G332">
        <f>IF(LYF!M95="","",LYF!M95)</f>
        <v/>
      </c>
      <c r="H332">
        <f>IF(LYF!N95="","",LYF!N95)</f>
        <v/>
      </c>
      <c r="I332">
        <f>IF(LYF!O95="","",LYF!O95)</f>
        <v/>
      </c>
      <c r="J332">
        <f>IF(D332="","",IF(F332="","",G332+ROW()/100000))</f>
        <v/>
      </c>
    </row>
    <row r="333">
      <c r="A333">
        <f>IF(LYF!D96="","","LYF")</f>
        <v/>
      </c>
      <c r="B333">
        <f>IF(LYF!C96="","",LYF!C96)</f>
        <v/>
      </c>
      <c r="C333">
        <f>IF(LYF!B96="","",LYF!B96)</f>
        <v/>
      </c>
      <c r="D333">
        <f>IF(LYF!D96="","",LYF!D96)</f>
        <v/>
      </c>
      <c r="E333">
        <f>IF(LYF!F96="","",LYF!F96)</f>
        <v/>
      </c>
      <c r="F333">
        <f>IF(LYF!I96="","",LYF!I96)</f>
        <v/>
      </c>
      <c r="G333">
        <f>IF(LYF!M96="","",LYF!M96)</f>
        <v/>
      </c>
      <c r="H333">
        <f>IF(LYF!N96="","",LYF!N96)</f>
        <v/>
      </c>
      <c r="I333">
        <f>IF(LYF!O96="","",LYF!O96)</f>
        <v/>
      </c>
      <c r="J333">
        <f>IF(D333="","",IF(F333="","",G333+ROW()/100000))</f>
        <v/>
      </c>
    </row>
    <row r="334">
      <c r="A334">
        <f>IF(LYF!D97="","","LYF")</f>
        <v/>
      </c>
      <c r="B334">
        <f>IF(LYF!C97="","",LYF!C97)</f>
        <v/>
      </c>
      <c r="C334">
        <f>IF(LYF!B97="","",LYF!B97)</f>
        <v/>
      </c>
      <c r="D334">
        <f>IF(LYF!D97="","",LYF!D97)</f>
        <v/>
      </c>
      <c r="E334">
        <f>IF(LYF!F97="","",LYF!F97)</f>
        <v/>
      </c>
      <c r="F334">
        <f>IF(LYF!I97="","",LYF!I97)</f>
        <v/>
      </c>
      <c r="G334">
        <f>IF(LYF!M97="","",LYF!M97)</f>
        <v/>
      </c>
      <c r="H334">
        <f>IF(LYF!N97="","",LYF!N97)</f>
        <v/>
      </c>
      <c r="I334">
        <f>IF(LYF!O97="","",LYF!O97)</f>
        <v/>
      </c>
      <c r="J334">
        <f>IF(D334="","",IF(F334="","",G334+ROW()/100000))</f>
        <v/>
      </c>
    </row>
    <row r="335">
      <c r="A335">
        <f>IF(LYF!D98="","","LYF")</f>
        <v/>
      </c>
      <c r="B335">
        <f>IF(LYF!C98="","",LYF!C98)</f>
        <v/>
      </c>
      <c r="C335">
        <f>IF(LYF!B98="","",LYF!B98)</f>
        <v/>
      </c>
      <c r="D335">
        <f>IF(LYF!D98="","",LYF!D98)</f>
        <v/>
      </c>
      <c r="E335">
        <f>IF(LYF!F98="","",LYF!F98)</f>
        <v/>
      </c>
      <c r="F335">
        <f>IF(LYF!I98="","",LYF!I98)</f>
        <v/>
      </c>
      <c r="G335">
        <f>IF(LYF!M98="","",LYF!M98)</f>
        <v/>
      </c>
      <c r="H335">
        <f>IF(LYF!N98="","",LYF!N98)</f>
        <v/>
      </c>
      <c r="I335">
        <f>IF(LYF!O98="","",LYF!O98)</f>
        <v/>
      </c>
      <c r="J335">
        <f>IF(D335="","",IF(F335="","",G335+ROW()/100000))</f>
        <v/>
      </c>
    </row>
    <row r="336">
      <c r="A336">
        <f>IF(LYF!D99="","","LYF")</f>
        <v/>
      </c>
      <c r="B336">
        <f>IF(LYF!C99="","",LYF!C99)</f>
        <v/>
      </c>
      <c r="C336">
        <f>IF(LYF!B99="","",LYF!B99)</f>
        <v/>
      </c>
      <c r="D336">
        <f>IF(LYF!D99="","",LYF!D99)</f>
        <v/>
      </c>
      <c r="E336">
        <f>IF(LYF!F99="","",LYF!F99)</f>
        <v/>
      </c>
      <c r="F336">
        <f>IF(LYF!I99="","",LYF!I99)</f>
        <v/>
      </c>
      <c r="G336">
        <f>IF(LYF!M99="","",LYF!M99)</f>
        <v/>
      </c>
      <c r="H336">
        <f>IF(LYF!N99="","",LYF!N99)</f>
        <v/>
      </c>
      <c r="I336">
        <f>IF(LYF!O99="","",LYF!O99)</f>
        <v/>
      </c>
      <c r="J336">
        <f>IF(D336="","",IF(F336="","",G336+ROW()/100000))</f>
        <v/>
      </c>
    </row>
    <row r="337">
      <c r="A337">
        <f>IF(LYF!D100="","","LYF")</f>
        <v/>
      </c>
      <c r="B337">
        <f>IF(LYF!C100="","",LYF!C100)</f>
        <v/>
      </c>
      <c r="C337">
        <f>IF(LYF!B100="","",LYF!B100)</f>
        <v/>
      </c>
      <c r="D337">
        <f>IF(LYF!D100="","",LYF!D100)</f>
        <v/>
      </c>
      <c r="E337">
        <f>IF(LYF!F100="","",LYF!F100)</f>
        <v/>
      </c>
      <c r="F337">
        <f>IF(LYF!I100="","",LYF!I100)</f>
        <v/>
      </c>
      <c r="G337">
        <f>IF(LYF!M100="","",LYF!M100)</f>
        <v/>
      </c>
      <c r="H337">
        <f>IF(LYF!N100="","",LYF!N100)</f>
        <v/>
      </c>
      <c r="I337">
        <f>IF(LYF!O100="","",LYF!O100)</f>
        <v/>
      </c>
      <c r="J337">
        <f>IF(D337="","",IF(F337="","",G337+ROW()/100000))</f>
        <v/>
      </c>
    </row>
    <row r="338">
      <c r="A338">
        <f>IF(LYF!D101="","","LYF")</f>
        <v/>
      </c>
      <c r="B338">
        <f>IF(LYF!C101="","",LYF!C101)</f>
        <v/>
      </c>
      <c r="C338">
        <f>IF(LYF!B101="","",LYF!B101)</f>
        <v/>
      </c>
      <c r="D338">
        <f>IF(LYF!D101="","",LYF!D101)</f>
        <v/>
      </c>
      <c r="E338">
        <f>IF(LYF!F101="","",LYF!F101)</f>
        <v/>
      </c>
      <c r="F338">
        <f>IF(LYF!I101="","",LYF!I101)</f>
        <v/>
      </c>
      <c r="G338">
        <f>IF(LYF!M101="","",LYF!M101)</f>
        <v/>
      </c>
      <c r="H338">
        <f>IF(LYF!N101="","",LYF!N101)</f>
        <v/>
      </c>
      <c r="I338">
        <f>IF(LYF!O101="","",LYF!O101)</f>
        <v/>
      </c>
      <c r="J338">
        <f>IF(D338="","",IF(F338="","",G338+ROW()/100000))</f>
        <v/>
      </c>
    </row>
    <row r="339">
      <c r="A339">
        <f>IF(LYF!D102="","","LYF")</f>
        <v/>
      </c>
      <c r="B339">
        <f>IF(LYF!C102="","",LYF!C102)</f>
        <v/>
      </c>
      <c r="C339">
        <f>IF(LYF!B102="","",LYF!B102)</f>
        <v/>
      </c>
      <c r="D339">
        <f>IF(LYF!D102="","",LYF!D102)</f>
        <v/>
      </c>
      <c r="E339">
        <f>IF(LYF!F102="","",LYF!F102)</f>
        <v/>
      </c>
      <c r="F339">
        <f>IF(LYF!I102="","",LYF!I102)</f>
        <v/>
      </c>
      <c r="G339">
        <f>IF(LYF!M102="","",LYF!M102)</f>
        <v/>
      </c>
      <c r="H339">
        <f>IF(LYF!N102="","",LYF!N102)</f>
        <v/>
      </c>
      <c r="I339">
        <f>IF(LYF!O102="","",LYF!O102)</f>
        <v/>
      </c>
      <c r="J339">
        <f>IF(D339="","",IF(F339="","",G339+ROW()/100000))</f>
        <v/>
      </c>
    </row>
    <row r="340">
      <c r="A340">
        <f>IF(LYF!D103="","","LYF")</f>
        <v/>
      </c>
      <c r="B340">
        <f>IF(LYF!C103="","",LYF!C103)</f>
        <v/>
      </c>
      <c r="C340">
        <f>IF(LYF!B103="","",LYF!B103)</f>
        <v/>
      </c>
      <c r="D340">
        <f>IF(LYF!D103="","",LYF!D103)</f>
        <v/>
      </c>
      <c r="E340">
        <f>IF(LYF!F103="","",LYF!F103)</f>
        <v/>
      </c>
      <c r="F340">
        <f>IF(LYF!I103="","",LYF!I103)</f>
        <v/>
      </c>
      <c r="G340">
        <f>IF(LYF!M103="","",LYF!M103)</f>
        <v/>
      </c>
      <c r="H340">
        <f>IF(LYF!N103="","",LYF!N103)</f>
        <v/>
      </c>
      <c r="I340">
        <f>IF(LYF!O103="","",LYF!O103)</f>
        <v/>
      </c>
      <c r="J340">
        <f>IF(D340="","",IF(F340="","",G340+ROW()/100000))</f>
        <v/>
      </c>
    </row>
    <row r="341">
      <c r="A341">
        <f>IF(LYF!D104="","","LYF")</f>
        <v/>
      </c>
      <c r="B341">
        <f>IF(LYF!C104="","",LYF!C104)</f>
        <v/>
      </c>
      <c r="C341">
        <f>IF(LYF!B104="","",LYF!B104)</f>
        <v/>
      </c>
      <c r="D341">
        <f>IF(LYF!D104="","",LYF!D104)</f>
        <v/>
      </c>
      <c r="E341">
        <f>IF(LYF!F104="","",LYF!F104)</f>
        <v/>
      </c>
      <c r="F341">
        <f>IF(LYF!I104="","",LYF!I104)</f>
        <v/>
      </c>
      <c r="G341">
        <f>IF(LYF!M104="","",LYF!M104)</f>
        <v/>
      </c>
      <c r="H341">
        <f>IF(LYF!N104="","",LYF!N104)</f>
        <v/>
      </c>
      <c r="I341">
        <f>IF(LYF!O104="","",LYF!O104)</f>
        <v/>
      </c>
      <c r="J341">
        <f>IF(D341="","",IF(F341="","",G341+ROW()/100000))</f>
        <v/>
      </c>
    </row>
    <row r="342">
      <c r="A342">
        <f>IF(LYF!D105="","","LYF")</f>
        <v/>
      </c>
      <c r="B342">
        <f>IF(LYF!C105="","",LYF!C105)</f>
        <v/>
      </c>
      <c r="C342">
        <f>IF(LYF!B105="","",LYF!B105)</f>
        <v/>
      </c>
      <c r="D342">
        <f>IF(LYF!D105="","",LYF!D105)</f>
        <v/>
      </c>
      <c r="E342">
        <f>IF(LYF!F105="","",LYF!F105)</f>
        <v/>
      </c>
      <c r="F342">
        <f>IF(LYF!I105="","",LYF!I105)</f>
        <v/>
      </c>
      <c r="G342">
        <f>IF(LYF!M105="","",LYF!M105)</f>
        <v/>
      </c>
      <c r="H342">
        <f>IF(LYF!N105="","",LYF!N105)</f>
        <v/>
      </c>
      <c r="I342">
        <f>IF(LYF!O105="","",LYF!O105)</f>
        <v/>
      </c>
      <c r="J342">
        <f>IF(D342="","",IF(F342="","",G342+ROW()/100000))</f>
        <v/>
      </c>
    </row>
    <row r="343">
      <c r="A343">
        <f>IF(LYF!D106="","","LYF")</f>
        <v/>
      </c>
      <c r="B343">
        <f>IF(LYF!C106="","",LYF!C106)</f>
        <v/>
      </c>
      <c r="C343">
        <f>IF(LYF!B106="","",LYF!B106)</f>
        <v/>
      </c>
      <c r="D343">
        <f>IF(LYF!D106="","",LYF!D106)</f>
        <v/>
      </c>
      <c r="E343">
        <f>IF(LYF!F106="","",LYF!F106)</f>
        <v/>
      </c>
      <c r="F343">
        <f>IF(LYF!I106="","",LYF!I106)</f>
        <v/>
      </c>
      <c r="G343">
        <f>IF(LYF!M106="","",LYF!M106)</f>
        <v/>
      </c>
      <c r="H343">
        <f>IF(LYF!N106="","",LYF!N106)</f>
        <v/>
      </c>
      <c r="I343">
        <f>IF(LYF!O106="","",LYF!O106)</f>
        <v/>
      </c>
      <c r="J343">
        <f>IF(D343="","",IF(F343="","",G343+ROW()/100000))</f>
        <v/>
      </c>
    </row>
    <row r="344">
      <c r="A344">
        <f>IF(LYF!D107="","","LYF")</f>
        <v/>
      </c>
      <c r="B344">
        <f>IF(LYF!C107="","",LYF!C107)</f>
        <v/>
      </c>
      <c r="C344">
        <f>IF(LYF!B107="","",LYF!B107)</f>
        <v/>
      </c>
      <c r="D344">
        <f>IF(LYF!D107="","",LYF!D107)</f>
        <v/>
      </c>
      <c r="E344">
        <f>IF(LYF!F107="","",LYF!F107)</f>
        <v/>
      </c>
      <c r="F344">
        <f>IF(LYF!I107="","",LYF!I107)</f>
        <v/>
      </c>
      <c r="G344">
        <f>IF(LYF!M107="","",LYF!M107)</f>
        <v/>
      </c>
      <c r="H344">
        <f>IF(LYF!N107="","",LYF!N107)</f>
        <v/>
      </c>
      <c r="I344">
        <f>IF(LYF!O107="","",LYF!O107)</f>
        <v/>
      </c>
      <c r="J344">
        <f>IF(D344="","",IF(F344="","",G344+ROW()/100000))</f>
        <v/>
      </c>
    </row>
    <row r="345">
      <c r="A345">
        <f>IF(LYF!D108="","","LYF")</f>
        <v/>
      </c>
      <c r="B345">
        <f>IF(LYF!C108="","",LYF!C108)</f>
        <v/>
      </c>
      <c r="C345">
        <f>IF(LYF!B108="","",LYF!B108)</f>
        <v/>
      </c>
      <c r="D345">
        <f>IF(LYF!D108="","",LYF!D108)</f>
        <v/>
      </c>
      <c r="E345">
        <f>IF(LYF!F108="","",LYF!F108)</f>
        <v/>
      </c>
      <c r="F345">
        <f>IF(LYF!I108="","",LYF!I108)</f>
        <v/>
      </c>
      <c r="G345">
        <f>IF(LYF!M108="","",LYF!M108)</f>
        <v/>
      </c>
      <c r="H345">
        <f>IF(LYF!N108="","",LYF!N108)</f>
        <v/>
      </c>
      <c r="I345">
        <f>IF(LYF!O108="","",LYF!O108)</f>
        <v/>
      </c>
      <c r="J345">
        <f>IF(D345="","",IF(F345="","",G345+ROW()/100000))</f>
        <v/>
      </c>
    </row>
    <row r="346">
      <c r="A346">
        <f>IF(LYF!D109="","","LYF")</f>
        <v/>
      </c>
      <c r="B346">
        <f>IF(LYF!C109="","",LYF!C109)</f>
        <v/>
      </c>
      <c r="C346">
        <f>IF(LYF!B109="","",LYF!B109)</f>
        <v/>
      </c>
      <c r="D346">
        <f>IF(LYF!D109="","",LYF!D109)</f>
        <v/>
      </c>
      <c r="E346">
        <f>IF(LYF!F109="","",LYF!F109)</f>
        <v/>
      </c>
      <c r="F346">
        <f>IF(LYF!I109="","",LYF!I109)</f>
        <v/>
      </c>
      <c r="G346">
        <f>IF(LYF!M109="","",LYF!M109)</f>
        <v/>
      </c>
      <c r="H346">
        <f>IF(LYF!N109="","",LYF!N109)</f>
        <v/>
      </c>
      <c r="I346">
        <f>IF(LYF!O109="","",LYF!O109)</f>
        <v/>
      </c>
      <c r="J346">
        <f>IF(D346="","",IF(F346="","",G346+ROW()/100000))</f>
        <v/>
      </c>
    </row>
    <row r="347">
      <c r="A347">
        <f>IF(LYF!D110="","","LYF")</f>
        <v/>
      </c>
      <c r="B347">
        <f>IF(LYF!C110="","",LYF!C110)</f>
        <v/>
      </c>
      <c r="C347">
        <f>IF(LYF!B110="","",LYF!B110)</f>
        <v/>
      </c>
      <c r="D347">
        <f>IF(LYF!D110="","",LYF!D110)</f>
        <v/>
      </c>
      <c r="E347">
        <f>IF(LYF!F110="","",LYF!F110)</f>
        <v/>
      </c>
      <c r="F347">
        <f>IF(LYF!I110="","",LYF!I110)</f>
        <v/>
      </c>
      <c r="G347">
        <f>IF(LYF!M110="","",LYF!M110)</f>
        <v/>
      </c>
      <c r="H347">
        <f>IF(LYF!N110="","",LYF!N110)</f>
        <v/>
      </c>
      <c r="I347">
        <f>IF(LYF!O110="","",LYF!O110)</f>
        <v/>
      </c>
      <c r="J347">
        <f>IF(D347="","",IF(F347="","",G347+ROW()/100000))</f>
        <v/>
      </c>
    </row>
    <row r="348">
      <c r="A348">
        <f>IF(LYF!D111="","","LYF")</f>
        <v/>
      </c>
      <c r="B348">
        <f>IF(LYF!C111="","",LYF!C111)</f>
        <v/>
      </c>
      <c r="C348">
        <f>IF(LYF!B111="","",LYF!B111)</f>
        <v/>
      </c>
      <c r="D348">
        <f>IF(LYF!D111="","",LYF!D111)</f>
        <v/>
      </c>
      <c r="E348">
        <f>IF(LYF!F111="","",LYF!F111)</f>
        <v/>
      </c>
      <c r="F348">
        <f>IF(LYF!I111="","",LYF!I111)</f>
        <v/>
      </c>
      <c r="G348">
        <f>IF(LYF!M111="","",LYF!M111)</f>
        <v/>
      </c>
      <c r="H348">
        <f>IF(LYF!N111="","",LYF!N111)</f>
        <v/>
      </c>
      <c r="I348">
        <f>IF(LYF!O111="","",LYF!O111)</f>
        <v/>
      </c>
      <c r="J348">
        <f>IF(D348="","",IF(F348="","",G348+ROW()/100000))</f>
        <v/>
      </c>
    </row>
    <row r="349">
      <c r="A349">
        <f>IF(LYF!D112="","","LYF")</f>
        <v/>
      </c>
      <c r="B349">
        <f>IF(LYF!C112="","",LYF!C112)</f>
        <v/>
      </c>
      <c r="C349">
        <f>IF(LYF!B112="","",LYF!B112)</f>
        <v/>
      </c>
      <c r="D349">
        <f>IF(LYF!D112="","",LYF!D112)</f>
        <v/>
      </c>
      <c r="E349">
        <f>IF(LYF!F112="","",LYF!F112)</f>
        <v/>
      </c>
      <c r="F349">
        <f>IF(LYF!I112="","",LYF!I112)</f>
        <v/>
      </c>
      <c r="G349">
        <f>IF(LYF!M112="","",LYF!M112)</f>
        <v/>
      </c>
      <c r="H349">
        <f>IF(LYF!N112="","",LYF!N112)</f>
        <v/>
      </c>
      <c r="I349">
        <f>IF(LYF!O112="","",LYF!O112)</f>
        <v/>
      </c>
      <c r="J349">
        <f>IF(D349="","",IF(F349="","",G349+ROW()/100000))</f>
        <v/>
      </c>
    </row>
    <row r="350">
      <c r="A350">
        <f>IF(LYF!D113="","","LYF")</f>
        <v/>
      </c>
      <c r="B350">
        <f>IF(LYF!C113="","",LYF!C113)</f>
        <v/>
      </c>
      <c r="C350">
        <f>IF(LYF!B113="","",LYF!B113)</f>
        <v/>
      </c>
      <c r="D350">
        <f>IF(LYF!D113="","",LYF!D113)</f>
        <v/>
      </c>
      <c r="E350">
        <f>IF(LYF!F113="","",LYF!F113)</f>
        <v/>
      </c>
      <c r="F350">
        <f>IF(LYF!I113="","",LYF!I113)</f>
        <v/>
      </c>
      <c r="G350">
        <f>IF(LYF!M113="","",LYF!M113)</f>
        <v/>
      </c>
      <c r="H350">
        <f>IF(LYF!N113="","",LYF!N113)</f>
        <v/>
      </c>
      <c r="I350">
        <f>IF(LYF!O113="","",LYF!O113)</f>
        <v/>
      </c>
      <c r="J350">
        <f>IF(D350="","",IF(F350="","",G350+ROW()/100000))</f>
        <v/>
      </c>
    </row>
    <row r="351">
      <c r="A351">
        <f>IF(LYF!D114="","","LYF")</f>
        <v/>
      </c>
      <c r="B351">
        <f>IF(LYF!C114="","",LYF!C114)</f>
        <v/>
      </c>
      <c r="C351">
        <f>IF(LYF!B114="","",LYF!B114)</f>
        <v/>
      </c>
      <c r="D351">
        <f>IF(LYF!D114="","",LYF!D114)</f>
        <v/>
      </c>
      <c r="E351">
        <f>IF(LYF!F114="","",LYF!F114)</f>
        <v/>
      </c>
      <c r="F351">
        <f>IF(LYF!I114="","",LYF!I114)</f>
        <v/>
      </c>
      <c r="G351">
        <f>IF(LYF!M114="","",LYF!M114)</f>
        <v/>
      </c>
      <c r="H351">
        <f>IF(LYF!N114="","",LYF!N114)</f>
        <v/>
      </c>
      <c r="I351">
        <f>IF(LYF!O114="","",LYF!O114)</f>
        <v/>
      </c>
      <c r="J351">
        <f>IF(D351="","",IF(F351="","",G351+ROW()/100000))</f>
        <v/>
      </c>
    </row>
    <row r="352">
      <c r="A352">
        <f>IF(LYF!D115="","","LYF")</f>
        <v/>
      </c>
      <c r="B352">
        <f>IF(LYF!C115="","",LYF!C115)</f>
        <v/>
      </c>
      <c r="C352">
        <f>IF(LYF!B115="","",LYF!B115)</f>
        <v/>
      </c>
      <c r="D352">
        <f>IF(LYF!D115="","",LYF!D115)</f>
        <v/>
      </c>
      <c r="E352">
        <f>IF(LYF!F115="","",LYF!F115)</f>
        <v/>
      </c>
      <c r="F352">
        <f>IF(LYF!I115="","",LYF!I115)</f>
        <v/>
      </c>
      <c r="G352">
        <f>IF(LYF!M115="","",LYF!M115)</f>
        <v/>
      </c>
      <c r="H352">
        <f>IF(LYF!N115="","",LYF!N115)</f>
        <v/>
      </c>
      <c r="I352">
        <f>IF(LYF!O115="","",LYF!O115)</f>
        <v/>
      </c>
      <c r="J352">
        <f>IF(D352="","",IF(F352="","",G352+ROW()/100000))</f>
        <v/>
      </c>
    </row>
    <row r="353">
      <c r="A353">
        <f>IF(LYF!D116="","","LYF")</f>
        <v/>
      </c>
      <c r="B353">
        <f>IF(LYF!C116="","",LYF!C116)</f>
        <v/>
      </c>
      <c r="C353">
        <f>IF(LYF!B116="","",LYF!B116)</f>
        <v/>
      </c>
      <c r="D353">
        <f>IF(LYF!D116="","",LYF!D116)</f>
        <v/>
      </c>
      <c r="E353">
        <f>IF(LYF!F116="","",LYF!F116)</f>
        <v/>
      </c>
      <c r="F353">
        <f>IF(LYF!I116="","",LYF!I116)</f>
        <v/>
      </c>
      <c r="G353">
        <f>IF(LYF!M116="","",LYF!M116)</f>
        <v/>
      </c>
      <c r="H353">
        <f>IF(LYF!N116="","",LYF!N116)</f>
        <v/>
      </c>
      <c r="I353">
        <f>IF(LYF!O116="","",LYF!O116)</f>
        <v/>
      </c>
      <c r="J353">
        <f>IF(D353="","",IF(F353="","",G353+ROW()/100000))</f>
        <v/>
      </c>
    </row>
    <row r="354">
      <c r="A354">
        <f>IF(LYF!D117="","","LYF")</f>
        <v/>
      </c>
      <c r="B354">
        <f>IF(LYF!C117="","",LYF!C117)</f>
        <v/>
      </c>
      <c r="C354">
        <f>IF(LYF!B117="","",LYF!B117)</f>
        <v/>
      </c>
      <c r="D354">
        <f>IF(LYF!D117="","",LYF!D117)</f>
        <v/>
      </c>
      <c r="E354">
        <f>IF(LYF!F117="","",LYF!F117)</f>
        <v/>
      </c>
      <c r="F354">
        <f>IF(LYF!I117="","",LYF!I117)</f>
        <v/>
      </c>
      <c r="G354">
        <f>IF(LYF!M117="","",LYF!M117)</f>
        <v/>
      </c>
      <c r="H354">
        <f>IF(LYF!N117="","",LYF!N117)</f>
        <v/>
      </c>
      <c r="I354">
        <f>IF(LYF!O117="","",LYF!O117)</f>
        <v/>
      </c>
      <c r="J354">
        <f>IF(D354="","",IF(F354="","",G354+ROW()/100000))</f>
        <v/>
      </c>
    </row>
    <row r="355">
      <c r="A355">
        <f>IF(LYF!D118="","","LYF")</f>
        <v/>
      </c>
      <c r="B355">
        <f>IF(LYF!C118="","",LYF!C118)</f>
        <v/>
      </c>
      <c r="C355">
        <f>IF(LYF!B118="","",LYF!B118)</f>
        <v/>
      </c>
      <c r="D355">
        <f>IF(LYF!D118="","",LYF!D118)</f>
        <v/>
      </c>
      <c r="E355">
        <f>IF(LYF!F118="","",LYF!F118)</f>
        <v/>
      </c>
      <c r="F355">
        <f>IF(LYF!I118="","",LYF!I118)</f>
        <v/>
      </c>
      <c r="G355">
        <f>IF(LYF!M118="","",LYF!M118)</f>
        <v/>
      </c>
      <c r="H355">
        <f>IF(LYF!N118="","",LYF!N118)</f>
        <v/>
      </c>
      <c r="I355">
        <f>IF(LYF!O118="","",LYF!O118)</f>
        <v/>
      </c>
      <c r="J355">
        <f>IF(D355="","",IF(F355="","",G355+ROW()/100000))</f>
        <v/>
      </c>
    </row>
    <row r="356">
      <c r="A356">
        <f>IF(LYF!D119="","","LYF")</f>
        <v/>
      </c>
      <c r="B356">
        <f>IF(LYF!C119="","",LYF!C119)</f>
        <v/>
      </c>
      <c r="C356">
        <f>IF(LYF!B119="","",LYF!B119)</f>
        <v/>
      </c>
      <c r="D356">
        <f>IF(LYF!D119="","",LYF!D119)</f>
        <v/>
      </c>
      <c r="E356">
        <f>IF(LYF!F119="","",LYF!F119)</f>
        <v/>
      </c>
      <c r="F356">
        <f>IF(LYF!I119="","",LYF!I119)</f>
        <v/>
      </c>
      <c r="G356">
        <f>IF(LYF!M119="","",LYF!M119)</f>
        <v/>
      </c>
      <c r="H356">
        <f>IF(LYF!N119="","",LYF!N119)</f>
        <v/>
      </c>
      <c r="I356">
        <f>IF(LYF!O119="","",LYF!O119)</f>
        <v/>
      </c>
      <c r="J356">
        <f>IF(D356="","",IF(F356="","",G356+ROW()/100000))</f>
        <v/>
      </c>
    </row>
    <row r="357">
      <c r="A357">
        <f>IF(LYF!D120="","","LYF")</f>
        <v/>
      </c>
      <c r="B357">
        <f>IF(LYF!C120="","",LYF!C120)</f>
        <v/>
      </c>
      <c r="C357">
        <f>IF(LYF!B120="","",LYF!B120)</f>
        <v/>
      </c>
      <c r="D357">
        <f>IF(LYF!D120="","",LYF!D120)</f>
        <v/>
      </c>
      <c r="E357">
        <f>IF(LYF!F120="","",LYF!F120)</f>
        <v/>
      </c>
      <c r="F357">
        <f>IF(LYF!I120="","",LYF!I120)</f>
        <v/>
      </c>
      <c r="G357">
        <f>IF(LYF!M120="","",LYF!M120)</f>
        <v/>
      </c>
      <c r="H357">
        <f>IF(LYF!N120="","",LYF!N120)</f>
        <v/>
      </c>
      <c r="I357">
        <f>IF(LYF!O120="","",LYF!O120)</f>
        <v/>
      </c>
      <c r="J357">
        <f>IF(D357="","",IF(F357="","",G357+ROW()/100000))</f>
        <v/>
      </c>
    </row>
    <row r="358">
      <c r="A358">
        <f>IF(LYF!D121="","","LYF")</f>
        <v/>
      </c>
      <c r="B358">
        <f>IF(LYF!C121="","",LYF!C121)</f>
        <v/>
      </c>
      <c r="C358">
        <f>IF(LYF!B121="","",LYF!B121)</f>
        <v/>
      </c>
      <c r="D358">
        <f>IF(LYF!D121="","",LYF!D121)</f>
        <v/>
      </c>
      <c r="E358">
        <f>IF(LYF!F121="","",LYF!F121)</f>
        <v/>
      </c>
      <c r="F358">
        <f>IF(LYF!I121="","",LYF!I121)</f>
        <v/>
      </c>
      <c r="G358">
        <f>IF(LYF!M121="","",LYF!M121)</f>
        <v/>
      </c>
      <c r="H358">
        <f>IF(LYF!N121="","",LYF!N121)</f>
        <v/>
      </c>
      <c r="I358">
        <f>IF(LYF!O121="","",LYF!O121)</f>
        <v/>
      </c>
      <c r="J358">
        <f>IF(D358="","",IF(F358="","",G358+ROW()/100000))</f>
        <v/>
      </c>
    </row>
    <row r="359">
      <c r="A359">
        <f>IF(LYF!D122="","","LYF")</f>
        <v/>
      </c>
      <c r="B359">
        <f>IF(LYF!C122="","",LYF!C122)</f>
        <v/>
      </c>
      <c r="C359">
        <f>IF(LYF!B122="","",LYF!B122)</f>
        <v/>
      </c>
      <c r="D359">
        <f>IF(LYF!D122="","",LYF!D122)</f>
        <v/>
      </c>
      <c r="E359">
        <f>IF(LYF!F122="","",LYF!F122)</f>
        <v/>
      </c>
      <c r="F359">
        <f>IF(LYF!I122="","",LYF!I122)</f>
        <v/>
      </c>
      <c r="G359">
        <f>IF(LYF!M122="","",LYF!M122)</f>
        <v/>
      </c>
      <c r="H359">
        <f>IF(LYF!N122="","",LYF!N122)</f>
        <v/>
      </c>
      <c r="I359">
        <f>IF(LYF!O122="","",LYF!O122)</f>
        <v/>
      </c>
      <c r="J359">
        <f>IF(D359="","",IF(F359="","",G359+ROW()/100000))</f>
        <v/>
      </c>
    </row>
    <row r="360">
      <c r="A360">
        <f>IF(LYF!D123="","","LYF")</f>
        <v/>
      </c>
      <c r="B360">
        <f>IF(LYF!C123="","",LYF!C123)</f>
        <v/>
      </c>
      <c r="C360">
        <f>IF(LYF!B123="","",LYF!B123)</f>
        <v/>
      </c>
      <c r="D360">
        <f>IF(LYF!D123="","",LYF!D123)</f>
        <v/>
      </c>
      <c r="E360">
        <f>IF(LYF!F123="","",LYF!F123)</f>
        <v/>
      </c>
      <c r="F360">
        <f>IF(LYF!I123="","",LYF!I123)</f>
        <v/>
      </c>
      <c r="G360">
        <f>IF(LYF!M123="","",LYF!M123)</f>
        <v/>
      </c>
      <c r="H360">
        <f>IF(LYF!N123="","",LYF!N123)</f>
        <v/>
      </c>
      <c r="I360">
        <f>IF(LYF!O123="","",LYF!O123)</f>
        <v/>
      </c>
      <c r="J360">
        <f>IF(D360="","",IF(F360="","",G360+ROW()/100000))</f>
        <v/>
      </c>
    </row>
    <row r="361">
      <c r="A361">
        <f>IF(LYF!D124="","","LYF")</f>
        <v/>
      </c>
      <c r="B361">
        <f>IF(LYF!C124="","",LYF!C124)</f>
        <v/>
      </c>
      <c r="C361">
        <f>IF(LYF!B124="","",LYF!B124)</f>
        <v/>
      </c>
      <c r="D361">
        <f>IF(LYF!D124="","",LYF!D124)</f>
        <v/>
      </c>
      <c r="E361">
        <f>IF(LYF!F124="","",LYF!F124)</f>
        <v/>
      </c>
      <c r="F361">
        <f>IF(LYF!I124="","",LYF!I124)</f>
        <v/>
      </c>
      <c r="G361">
        <f>IF(LYF!M124="","",LYF!M124)</f>
        <v/>
      </c>
      <c r="H361">
        <f>IF(LYF!N124="","",LYF!N124)</f>
        <v/>
      </c>
      <c r="I361">
        <f>IF(LYF!O124="","",LYF!O124)</f>
        <v/>
      </c>
      <c r="J361">
        <f>IF(D361="","",IF(F361="","",G361+ROW()/100000))</f>
        <v/>
      </c>
    </row>
    <row r="362">
      <c r="A362">
        <f>IF(SP!D5="","","SP")</f>
        <v/>
      </c>
      <c r="B362">
        <f>IF(SP!C5="","",SP!C5)</f>
        <v/>
      </c>
      <c r="C362">
        <f>IF(SP!B5="","",SP!B5)</f>
        <v/>
      </c>
      <c r="D362">
        <f>IF(SP!D5="","",SP!D5)</f>
        <v/>
      </c>
      <c r="E362">
        <f>IF(SP!F5="","",SP!F5)</f>
        <v/>
      </c>
      <c r="F362">
        <f>IF(SP!I5="","",SP!I5)</f>
        <v/>
      </c>
      <c r="G362">
        <f>IF(SP!M5="","",SP!M5)</f>
        <v/>
      </c>
      <c r="H362">
        <f>IF(SP!N5="","",SP!N5)</f>
        <v/>
      </c>
      <c r="I362">
        <f>IF(SP!O5="","",SP!O5)</f>
        <v/>
      </c>
      <c r="J362">
        <f>IF(D362="","",IF(F362="","",G362+ROW()/100000))</f>
        <v/>
      </c>
    </row>
    <row r="363">
      <c r="A363">
        <f>IF(SP!D6="","","SP")</f>
        <v/>
      </c>
      <c r="B363">
        <f>IF(SP!C6="","",SP!C6)</f>
        <v/>
      </c>
      <c r="C363">
        <f>IF(SP!B6="","",SP!B6)</f>
        <v/>
      </c>
      <c r="D363">
        <f>IF(SP!D6="","",SP!D6)</f>
        <v/>
      </c>
      <c r="E363">
        <f>IF(SP!F6="","",SP!F6)</f>
        <v/>
      </c>
      <c r="F363">
        <f>IF(SP!I6="","",SP!I6)</f>
        <v/>
      </c>
      <c r="G363">
        <f>IF(SP!M6="","",SP!M6)</f>
        <v/>
      </c>
      <c r="H363">
        <f>IF(SP!N6="","",SP!N6)</f>
        <v/>
      </c>
      <c r="I363">
        <f>IF(SP!O6="","",SP!O6)</f>
        <v/>
      </c>
      <c r="J363">
        <f>IF(D363="","",IF(F363="","",G363+ROW()/100000))</f>
        <v/>
      </c>
    </row>
    <row r="364">
      <c r="A364">
        <f>IF(SP!D7="","","SP")</f>
        <v/>
      </c>
      <c r="B364">
        <f>IF(SP!C7="","",SP!C7)</f>
        <v/>
      </c>
      <c r="C364">
        <f>IF(SP!B7="","",SP!B7)</f>
        <v/>
      </c>
      <c r="D364">
        <f>IF(SP!D7="","",SP!D7)</f>
        <v/>
      </c>
      <c r="E364">
        <f>IF(SP!F7="","",SP!F7)</f>
        <v/>
      </c>
      <c r="F364">
        <f>IF(SP!I7="","",SP!I7)</f>
        <v/>
      </c>
      <c r="G364">
        <f>IF(SP!M7="","",SP!M7)</f>
        <v/>
      </c>
      <c r="H364">
        <f>IF(SP!N7="","",SP!N7)</f>
        <v/>
      </c>
      <c r="I364">
        <f>IF(SP!O7="","",SP!O7)</f>
        <v/>
      </c>
      <c r="J364">
        <f>IF(D364="","",IF(F364="","",G364+ROW()/100000))</f>
        <v/>
      </c>
    </row>
    <row r="365">
      <c r="A365">
        <f>IF(SP!D8="","","SP")</f>
        <v/>
      </c>
      <c r="B365">
        <f>IF(SP!C8="","",SP!C8)</f>
        <v/>
      </c>
      <c r="C365">
        <f>IF(SP!B8="","",SP!B8)</f>
        <v/>
      </c>
      <c r="D365">
        <f>IF(SP!D8="","",SP!D8)</f>
        <v/>
      </c>
      <c r="E365">
        <f>IF(SP!F8="","",SP!F8)</f>
        <v/>
      </c>
      <c r="F365">
        <f>IF(SP!I8="","",SP!I8)</f>
        <v/>
      </c>
      <c r="G365">
        <f>IF(SP!M8="","",SP!M8)</f>
        <v/>
      </c>
      <c r="H365">
        <f>IF(SP!N8="","",SP!N8)</f>
        <v/>
      </c>
      <c r="I365">
        <f>IF(SP!O8="","",SP!O8)</f>
        <v/>
      </c>
      <c r="J365">
        <f>IF(D365="","",IF(F365="","",G365+ROW()/100000))</f>
        <v/>
      </c>
    </row>
    <row r="366">
      <c r="A366">
        <f>IF(SP!D9="","","SP")</f>
        <v/>
      </c>
      <c r="B366">
        <f>IF(SP!C9="","",SP!C9)</f>
        <v/>
      </c>
      <c r="C366">
        <f>IF(SP!B9="","",SP!B9)</f>
        <v/>
      </c>
      <c r="D366">
        <f>IF(SP!D9="","",SP!D9)</f>
        <v/>
      </c>
      <c r="E366">
        <f>IF(SP!F9="","",SP!F9)</f>
        <v/>
      </c>
      <c r="F366">
        <f>IF(SP!I9="","",SP!I9)</f>
        <v/>
      </c>
      <c r="G366">
        <f>IF(SP!M9="","",SP!M9)</f>
        <v/>
      </c>
      <c r="H366">
        <f>IF(SP!N9="","",SP!N9)</f>
        <v/>
      </c>
      <c r="I366">
        <f>IF(SP!O9="","",SP!O9)</f>
        <v/>
      </c>
      <c r="J366">
        <f>IF(D366="","",IF(F366="","",G366+ROW()/100000))</f>
        <v/>
      </c>
    </row>
    <row r="367">
      <c r="A367">
        <f>IF(SP!D10="","","SP")</f>
        <v/>
      </c>
      <c r="B367">
        <f>IF(SP!C10="","",SP!C10)</f>
        <v/>
      </c>
      <c r="C367">
        <f>IF(SP!B10="","",SP!B10)</f>
        <v/>
      </c>
      <c r="D367">
        <f>IF(SP!D10="","",SP!D10)</f>
        <v/>
      </c>
      <c r="E367">
        <f>IF(SP!F10="","",SP!F10)</f>
        <v/>
      </c>
      <c r="F367">
        <f>IF(SP!I10="","",SP!I10)</f>
        <v/>
      </c>
      <c r="G367">
        <f>IF(SP!M10="","",SP!M10)</f>
        <v/>
      </c>
      <c r="H367">
        <f>IF(SP!N10="","",SP!N10)</f>
        <v/>
      </c>
      <c r="I367">
        <f>IF(SP!O10="","",SP!O10)</f>
        <v/>
      </c>
      <c r="J367">
        <f>IF(D367="","",IF(F367="","",G367+ROW()/100000))</f>
        <v/>
      </c>
    </row>
    <row r="368">
      <c r="A368">
        <f>IF(SP!D11="","","SP")</f>
        <v/>
      </c>
      <c r="B368">
        <f>IF(SP!C11="","",SP!C11)</f>
        <v/>
      </c>
      <c r="C368">
        <f>IF(SP!B11="","",SP!B11)</f>
        <v/>
      </c>
      <c r="D368">
        <f>IF(SP!D11="","",SP!D11)</f>
        <v/>
      </c>
      <c r="E368">
        <f>IF(SP!F11="","",SP!F11)</f>
        <v/>
      </c>
      <c r="F368">
        <f>IF(SP!I11="","",SP!I11)</f>
        <v/>
      </c>
      <c r="G368">
        <f>IF(SP!M11="","",SP!M11)</f>
        <v/>
      </c>
      <c r="H368">
        <f>IF(SP!N11="","",SP!N11)</f>
        <v/>
      </c>
      <c r="I368">
        <f>IF(SP!O11="","",SP!O11)</f>
        <v/>
      </c>
      <c r="J368">
        <f>IF(D368="","",IF(F368="","",G368+ROW()/100000))</f>
        <v/>
      </c>
    </row>
    <row r="369">
      <c r="A369">
        <f>IF(SP!D12="","","SP")</f>
        <v/>
      </c>
      <c r="B369">
        <f>IF(SP!C12="","",SP!C12)</f>
        <v/>
      </c>
      <c r="C369">
        <f>IF(SP!B12="","",SP!B12)</f>
        <v/>
      </c>
      <c r="D369">
        <f>IF(SP!D12="","",SP!D12)</f>
        <v/>
      </c>
      <c r="E369">
        <f>IF(SP!F12="","",SP!F12)</f>
        <v/>
      </c>
      <c r="F369">
        <f>IF(SP!I12="","",SP!I12)</f>
        <v/>
      </c>
      <c r="G369">
        <f>IF(SP!M12="","",SP!M12)</f>
        <v/>
      </c>
      <c r="H369">
        <f>IF(SP!N12="","",SP!N12)</f>
        <v/>
      </c>
      <c r="I369">
        <f>IF(SP!O12="","",SP!O12)</f>
        <v/>
      </c>
      <c r="J369">
        <f>IF(D369="","",IF(F369="","",G369+ROW()/100000))</f>
        <v/>
      </c>
    </row>
    <row r="370">
      <c r="A370">
        <f>IF(SP!D13="","","SP")</f>
        <v/>
      </c>
      <c r="B370">
        <f>IF(SP!C13="","",SP!C13)</f>
        <v/>
      </c>
      <c r="C370">
        <f>IF(SP!B13="","",SP!B13)</f>
        <v/>
      </c>
      <c r="D370">
        <f>IF(SP!D13="","",SP!D13)</f>
        <v/>
      </c>
      <c r="E370">
        <f>IF(SP!F13="","",SP!F13)</f>
        <v/>
      </c>
      <c r="F370">
        <f>IF(SP!I13="","",SP!I13)</f>
        <v/>
      </c>
      <c r="G370">
        <f>IF(SP!M13="","",SP!M13)</f>
        <v/>
      </c>
      <c r="H370">
        <f>IF(SP!N13="","",SP!N13)</f>
        <v/>
      </c>
      <c r="I370">
        <f>IF(SP!O13="","",SP!O13)</f>
        <v/>
      </c>
      <c r="J370">
        <f>IF(D370="","",IF(F370="","",G370+ROW()/100000))</f>
        <v/>
      </c>
    </row>
    <row r="371">
      <c r="A371">
        <f>IF(SP!D14="","","SP")</f>
        <v/>
      </c>
      <c r="B371">
        <f>IF(SP!C14="","",SP!C14)</f>
        <v/>
      </c>
      <c r="C371">
        <f>IF(SP!B14="","",SP!B14)</f>
        <v/>
      </c>
      <c r="D371">
        <f>IF(SP!D14="","",SP!D14)</f>
        <v/>
      </c>
      <c r="E371">
        <f>IF(SP!F14="","",SP!F14)</f>
        <v/>
      </c>
      <c r="F371">
        <f>IF(SP!I14="","",SP!I14)</f>
        <v/>
      </c>
      <c r="G371">
        <f>IF(SP!M14="","",SP!M14)</f>
        <v/>
      </c>
      <c r="H371">
        <f>IF(SP!N14="","",SP!N14)</f>
        <v/>
      </c>
      <c r="I371">
        <f>IF(SP!O14="","",SP!O14)</f>
        <v/>
      </c>
      <c r="J371">
        <f>IF(D371="","",IF(F371="","",G371+ROW()/100000))</f>
        <v/>
      </c>
    </row>
    <row r="372">
      <c r="A372">
        <f>IF(SP!D15="","","SP")</f>
        <v/>
      </c>
      <c r="B372">
        <f>IF(SP!C15="","",SP!C15)</f>
        <v/>
      </c>
      <c r="C372">
        <f>IF(SP!B15="","",SP!B15)</f>
        <v/>
      </c>
      <c r="D372">
        <f>IF(SP!D15="","",SP!D15)</f>
        <v/>
      </c>
      <c r="E372">
        <f>IF(SP!F15="","",SP!F15)</f>
        <v/>
      </c>
      <c r="F372">
        <f>IF(SP!I15="","",SP!I15)</f>
        <v/>
      </c>
      <c r="G372">
        <f>IF(SP!M15="","",SP!M15)</f>
        <v/>
      </c>
      <c r="H372">
        <f>IF(SP!N15="","",SP!N15)</f>
        <v/>
      </c>
      <c r="I372">
        <f>IF(SP!O15="","",SP!O15)</f>
        <v/>
      </c>
      <c r="J372">
        <f>IF(D372="","",IF(F372="","",G372+ROW()/100000))</f>
        <v/>
      </c>
    </row>
    <row r="373">
      <c r="A373">
        <f>IF(SP!D16="","","SP")</f>
        <v/>
      </c>
      <c r="B373">
        <f>IF(SP!C16="","",SP!C16)</f>
        <v/>
      </c>
      <c r="C373">
        <f>IF(SP!B16="","",SP!B16)</f>
        <v/>
      </c>
      <c r="D373">
        <f>IF(SP!D16="","",SP!D16)</f>
        <v/>
      </c>
      <c r="E373">
        <f>IF(SP!F16="","",SP!F16)</f>
        <v/>
      </c>
      <c r="F373">
        <f>IF(SP!I16="","",SP!I16)</f>
        <v/>
      </c>
      <c r="G373">
        <f>IF(SP!M16="","",SP!M16)</f>
        <v/>
      </c>
      <c r="H373">
        <f>IF(SP!N16="","",SP!N16)</f>
        <v/>
      </c>
      <c r="I373">
        <f>IF(SP!O16="","",SP!O16)</f>
        <v/>
      </c>
      <c r="J373">
        <f>IF(D373="","",IF(F373="","",G373+ROW()/100000))</f>
        <v/>
      </c>
    </row>
    <row r="374">
      <c r="A374">
        <f>IF(SP!D17="","","SP")</f>
        <v/>
      </c>
      <c r="B374">
        <f>IF(SP!C17="","",SP!C17)</f>
        <v/>
      </c>
      <c r="C374">
        <f>IF(SP!B17="","",SP!B17)</f>
        <v/>
      </c>
      <c r="D374">
        <f>IF(SP!D17="","",SP!D17)</f>
        <v/>
      </c>
      <c r="E374">
        <f>IF(SP!F17="","",SP!F17)</f>
        <v/>
      </c>
      <c r="F374">
        <f>IF(SP!I17="","",SP!I17)</f>
        <v/>
      </c>
      <c r="G374">
        <f>IF(SP!M17="","",SP!M17)</f>
        <v/>
      </c>
      <c r="H374">
        <f>IF(SP!N17="","",SP!N17)</f>
        <v/>
      </c>
      <c r="I374">
        <f>IF(SP!O17="","",SP!O17)</f>
        <v/>
      </c>
      <c r="J374">
        <f>IF(D374="","",IF(F374="","",G374+ROW()/100000))</f>
        <v/>
      </c>
    </row>
    <row r="375">
      <c r="A375">
        <f>IF(SP!D18="","","SP")</f>
        <v/>
      </c>
      <c r="B375">
        <f>IF(SP!C18="","",SP!C18)</f>
        <v/>
      </c>
      <c r="C375">
        <f>IF(SP!B18="","",SP!B18)</f>
        <v/>
      </c>
      <c r="D375">
        <f>IF(SP!D18="","",SP!D18)</f>
        <v/>
      </c>
      <c r="E375">
        <f>IF(SP!F18="","",SP!F18)</f>
        <v/>
      </c>
      <c r="F375">
        <f>IF(SP!I18="","",SP!I18)</f>
        <v/>
      </c>
      <c r="G375">
        <f>IF(SP!M18="","",SP!M18)</f>
        <v/>
      </c>
      <c r="H375">
        <f>IF(SP!N18="","",SP!N18)</f>
        <v/>
      </c>
      <c r="I375">
        <f>IF(SP!O18="","",SP!O18)</f>
        <v/>
      </c>
      <c r="J375">
        <f>IF(D375="","",IF(F375="","",G375+ROW()/100000))</f>
        <v/>
      </c>
    </row>
    <row r="376">
      <c r="A376">
        <f>IF(SP!D19="","","SP")</f>
        <v/>
      </c>
      <c r="B376">
        <f>IF(SP!C19="","",SP!C19)</f>
        <v/>
      </c>
      <c r="C376">
        <f>IF(SP!B19="","",SP!B19)</f>
        <v/>
      </c>
      <c r="D376">
        <f>IF(SP!D19="","",SP!D19)</f>
        <v/>
      </c>
      <c r="E376">
        <f>IF(SP!F19="","",SP!F19)</f>
        <v/>
      </c>
      <c r="F376">
        <f>IF(SP!I19="","",SP!I19)</f>
        <v/>
      </c>
      <c r="G376">
        <f>IF(SP!M19="","",SP!M19)</f>
        <v/>
      </c>
      <c r="H376">
        <f>IF(SP!N19="","",SP!N19)</f>
        <v/>
      </c>
      <c r="I376">
        <f>IF(SP!O19="","",SP!O19)</f>
        <v/>
      </c>
      <c r="J376">
        <f>IF(D376="","",IF(F376="","",G376+ROW()/100000))</f>
        <v/>
      </c>
    </row>
    <row r="377">
      <c r="A377">
        <f>IF(SP!D20="","","SP")</f>
        <v/>
      </c>
      <c r="B377">
        <f>IF(SP!C20="","",SP!C20)</f>
        <v/>
      </c>
      <c r="C377">
        <f>IF(SP!B20="","",SP!B20)</f>
        <v/>
      </c>
      <c r="D377">
        <f>IF(SP!D20="","",SP!D20)</f>
        <v/>
      </c>
      <c r="E377">
        <f>IF(SP!F20="","",SP!F20)</f>
        <v/>
      </c>
      <c r="F377">
        <f>IF(SP!I20="","",SP!I20)</f>
        <v/>
      </c>
      <c r="G377">
        <f>IF(SP!M20="","",SP!M20)</f>
        <v/>
      </c>
      <c r="H377">
        <f>IF(SP!N20="","",SP!N20)</f>
        <v/>
      </c>
      <c r="I377">
        <f>IF(SP!O20="","",SP!O20)</f>
        <v/>
      </c>
      <c r="J377">
        <f>IF(D377="","",IF(F377="","",G377+ROW()/100000))</f>
        <v/>
      </c>
    </row>
    <row r="378">
      <c r="A378">
        <f>IF(SP!D21="","","SP")</f>
        <v/>
      </c>
      <c r="B378">
        <f>IF(SP!C21="","",SP!C21)</f>
        <v/>
      </c>
      <c r="C378">
        <f>IF(SP!B21="","",SP!B21)</f>
        <v/>
      </c>
      <c r="D378">
        <f>IF(SP!D21="","",SP!D21)</f>
        <v/>
      </c>
      <c r="E378">
        <f>IF(SP!F21="","",SP!F21)</f>
        <v/>
      </c>
      <c r="F378">
        <f>IF(SP!I21="","",SP!I21)</f>
        <v/>
      </c>
      <c r="G378">
        <f>IF(SP!M21="","",SP!M21)</f>
        <v/>
      </c>
      <c r="H378">
        <f>IF(SP!N21="","",SP!N21)</f>
        <v/>
      </c>
      <c r="I378">
        <f>IF(SP!O21="","",SP!O21)</f>
        <v/>
      </c>
      <c r="J378">
        <f>IF(D378="","",IF(F378="","",G378+ROW()/100000))</f>
        <v/>
      </c>
    </row>
    <row r="379">
      <c r="A379">
        <f>IF(SP!D22="","","SP")</f>
        <v/>
      </c>
      <c r="B379">
        <f>IF(SP!C22="","",SP!C22)</f>
        <v/>
      </c>
      <c r="C379">
        <f>IF(SP!B22="","",SP!B22)</f>
        <v/>
      </c>
      <c r="D379">
        <f>IF(SP!D22="","",SP!D22)</f>
        <v/>
      </c>
      <c r="E379">
        <f>IF(SP!F22="","",SP!F22)</f>
        <v/>
      </c>
      <c r="F379">
        <f>IF(SP!I22="","",SP!I22)</f>
        <v/>
      </c>
      <c r="G379">
        <f>IF(SP!M22="","",SP!M22)</f>
        <v/>
      </c>
      <c r="H379">
        <f>IF(SP!N22="","",SP!N22)</f>
        <v/>
      </c>
      <c r="I379">
        <f>IF(SP!O22="","",SP!O22)</f>
        <v/>
      </c>
      <c r="J379">
        <f>IF(D379="","",IF(F379="","",G379+ROW()/100000))</f>
        <v/>
      </c>
    </row>
    <row r="380">
      <c r="A380">
        <f>IF(SP!D23="","","SP")</f>
        <v/>
      </c>
      <c r="B380">
        <f>IF(SP!C23="","",SP!C23)</f>
        <v/>
      </c>
      <c r="C380">
        <f>IF(SP!B23="","",SP!B23)</f>
        <v/>
      </c>
      <c r="D380">
        <f>IF(SP!D23="","",SP!D23)</f>
        <v/>
      </c>
      <c r="E380">
        <f>IF(SP!F23="","",SP!F23)</f>
        <v/>
      </c>
      <c r="F380">
        <f>IF(SP!I23="","",SP!I23)</f>
        <v/>
      </c>
      <c r="G380">
        <f>IF(SP!M23="","",SP!M23)</f>
        <v/>
      </c>
      <c r="H380">
        <f>IF(SP!N23="","",SP!N23)</f>
        <v/>
      </c>
      <c r="I380">
        <f>IF(SP!O23="","",SP!O23)</f>
        <v/>
      </c>
      <c r="J380">
        <f>IF(D380="","",IF(F380="","",G380+ROW()/100000))</f>
        <v/>
      </c>
    </row>
    <row r="381">
      <c r="A381">
        <f>IF(SP!D24="","","SP")</f>
        <v/>
      </c>
      <c r="B381">
        <f>IF(SP!C24="","",SP!C24)</f>
        <v/>
      </c>
      <c r="C381">
        <f>IF(SP!B24="","",SP!B24)</f>
        <v/>
      </c>
      <c r="D381">
        <f>IF(SP!D24="","",SP!D24)</f>
        <v/>
      </c>
      <c r="E381">
        <f>IF(SP!F24="","",SP!F24)</f>
        <v/>
      </c>
      <c r="F381">
        <f>IF(SP!I24="","",SP!I24)</f>
        <v/>
      </c>
      <c r="G381">
        <f>IF(SP!M24="","",SP!M24)</f>
        <v/>
      </c>
      <c r="H381">
        <f>IF(SP!N24="","",SP!N24)</f>
        <v/>
      </c>
      <c r="I381">
        <f>IF(SP!O24="","",SP!O24)</f>
        <v/>
      </c>
      <c r="J381">
        <f>IF(D381="","",IF(F381="","",G381+ROW()/100000))</f>
        <v/>
      </c>
    </row>
    <row r="382">
      <c r="A382">
        <f>IF(SP!D25="","","SP")</f>
        <v/>
      </c>
      <c r="B382">
        <f>IF(SP!C25="","",SP!C25)</f>
        <v/>
      </c>
      <c r="C382">
        <f>IF(SP!B25="","",SP!B25)</f>
        <v/>
      </c>
      <c r="D382">
        <f>IF(SP!D25="","",SP!D25)</f>
        <v/>
      </c>
      <c r="E382">
        <f>IF(SP!F25="","",SP!F25)</f>
        <v/>
      </c>
      <c r="F382">
        <f>IF(SP!I25="","",SP!I25)</f>
        <v/>
      </c>
      <c r="G382">
        <f>IF(SP!M25="","",SP!M25)</f>
        <v/>
      </c>
      <c r="H382">
        <f>IF(SP!N25="","",SP!N25)</f>
        <v/>
      </c>
      <c r="I382">
        <f>IF(SP!O25="","",SP!O25)</f>
        <v/>
      </c>
      <c r="J382">
        <f>IF(D382="","",IF(F382="","",G382+ROW()/100000))</f>
        <v/>
      </c>
    </row>
    <row r="383">
      <c r="A383">
        <f>IF(SP!D26="","","SP")</f>
        <v/>
      </c>
      <c r="B383">
        <f>IF(SP!C26="","",SP!C26)</f>
        <v/>
      </c>
      <c r="C383">
        <f>IF(SP!B26="","",SP!B26)</f>
        <v/>
      </c>
      <c r="D383">
        <f>IF(SP!D26="","",SP!D26)</f>
        <v/>
      </c>
      <c r="E383">
        <f>IF(SP!F26="","",SP!F26)</f>
        <v/>
      </c>
      <c r="F383">
        <f>IF(SP!I26="","",SP!I26)</f>
        <v/>
      </c>
      <c r="G383">
        <f>IF(SP!M26="","",SP!M26)</f>
        <v/>
      </c>
      <c r="H383">
        <f>IF(SP!N26="","",SP!N26)</f>
        <v/>
      </c>
      <c r="I383">
        <f>IF(SP!O26="","",SP!O26)</f>
        <v/>
      </c>
      <c r="J383">
        <f>IF(D383="","",IF(F383="","",G383+ROW()/100000))</f>
        <v/>
      </c>
    </row>
    <row r="384">
      <c r="A384">
        <f>IF(SP!D27="","","SP")</f>
        <v/>
      </c>
      <c r="B384">
        <f>IF(SP!C27="","",SP!C27)</f>
        <v/>
      </c>
      <c r="C384">
        <f>IF(SP!B27="","",SP!B27)</f>
        <v/>
      </c>
      <c r="D384">
        <f>IF(SP!D27="","",SP!D27)</f>
        <v/>
      </c>
      <c r="E384">
        <f>IF(SP!F27="","",SP!F27)</f>
        <v/>
      </c>
      <c r="F384">
        <f>IF(SP!I27="","",SP!I27)</f>
        <v/>
      </c>
      <c r="G384">
        <f>IF(SP!M27="","",SP!M27)</f>
        <v/>
      </c>
      <c r="H384">
        <f>IF(SP!N27="","",SP!N27)</f>
        <v/>
      </c>
      <c r="I384">
        <f>IF(SP!O27="","",SP!O27)</f>
        <v/>
      </c>
      <c r="J384">
        <f>IF(D384="","",IF(F384="","",G384+ROW()/100000))</f>
        <v/>
      </c>
    </row>
    <row r="385">
      <c r="A385">
        <f>IF(SP!D28="","","SP")</f>
        <v/>
      </c>
      <c r="B385">
        <f>IF(SP!C28="","",SP!C28)</f>
        <v/>
      </c>
      <c r="C385">
        <f>IF(SP!B28="","",SP!B28)</f>
        <v/>
      </c>
      <c r="D385">
        <f>IF(SP!D28="","",SP!D28)</f>
        <v/>
      </c>
      <c r="E385">
        <f>IF(SP!F28="","",SP!F28)</f>
        <v/>
      </c>
      <c r="F385">
        <f>IF(SP!I28="","",SP!I28)</f>
        <v/>
      </c>
      <c r="G385">
        <f>IF(SP!M28="","",SP!M28)</f>
        <v/>
      </c>
      <c r="H385">
        <f>IF(SP!N28="","",SP!N28)</f>
        <v/>
      </c>
      <c r="I385">
        <f>IF(SP!O28="","",SP!O28)</f>
        <v/>
      </c>
      <c r="J385">
        <f>IF(D385="","",IF(F385="","",G385+ROW()/100000))</f>
        <v/>
      </c>
    </row>
    <row r="386">
      <c r="A386">
        <f>IF(SP!D29="","","SP")</f>
        <v/>
      </c>
      <c r="B386">
        <f>IF(SP!C29="","",SP!C29)</f>
        <v/>
      </c>
      <c r="C386">
        <f>IF(SP!B29="","",SP!B29)</f>
        <v/>
      </c>
      <c r="D386">
        <f>IF(SP!D29="","",SP!D29)</f>
        <v/>
      </c>
      <c r="E386">
        <f>IF(SP!F29="","",SP!F29)</f>
        <v/>
      </c>
      <c r="F386">
        <f>IF(SP!I29="","",SP!I29)</f>
        <v/>
      </c>
      <c r="G386">
        <f>IF(SP!M29="","",SP!M29)</f>
        <v/>
      </c>
      <c r="H386">
        <f>IF(SP!N29="","",SP!N29)</f>
        <v/>
      </c>
      <c r="I386">
        <f>IF(SP!O29="","",SP!O29)</f>
        <v/>
      </c>
      <c r="J386">
        <f>IF(D386="","",IF(F386="","",G386+ROW()/100000))</f>
        <v/>
      </c>
    </row>
    <row r="387">
      <c r="A387">
        <f>IF(SP!D30="","","SP")</f>
        <v/>
      </c>
      <c r="B387">
        <f>IF(SP!C30="","",SP!C30)</f>
        <v/>
      </c>
      <c r="C387">
        <f>IF(SP!B30="","",SP!B30)</f>
        <v/>
      </c>
      <c r="D387">
        <f>IF(SP!D30="","",SP!D30)</f>
        <v/>
      </c>
      <c r="E387">
        <f>IF(SP!F30="","",SP!F30)</f>
        <v/>
      </c>
      <c r="F387">
        <f>IF(SP!I30="","",SP!I30)</f>
        <v/>
      </c>
      <c r="G387">
        <f>IF(SP!M30="","",SP!M30)</f>
        <v/>
      </c>
      <c r="H387">
        <f>IF(SP!N30="","",SP!N30)</f>
        <v/>
      </c>
      <c r="I387">
        <f>IF(SP!O30="","",SP!O30)</f>
        <v/>
      </c>
      <c r="J387">
        <f>IF(D387="","",IF(F387="","",G387+ROW()/100000))</f>
        <v/>
      </c>
    </row>
    <row r="388">
      <c r="A388">
        <f>IF(SP!D31="","","SP")</f>
        <v/>
      </c>
      <c r="B388">
        <f>IF(SP!C31="","",SP!C31)</f>
        <v/>
      </c>
      <c r="C388">
        <f>IF(SP!B31="","",SP!B31)</f>
        <v/>
      </c>
      <c r="D388">
        <f>IF(SP!D31="","",SP!D31)</f>
        <v/>
      </c>
      <c r="E388">
        <f>IF(SP!F31="","",SP!F31)</f>
        <v/>
      </c>
      <c r="F388">
        <f>IF(SP!I31="","",SP!I31)</f>
        <v/>
      </c>
      <c r="G388">
        <f>IF(SP!M31="","",SP!M31)</f>
        <v/>
      </c>
      <c r="H388">
        <f>IF(SP!N31="","",SP!N31)</f>
        <v/>
      </c>
      <c r="I388">
        <f>IF(SP!O31="","",SP!O31)</f>
        <v/>
      </c>
      <c r="J388">
        <f>IF(D388="","",IF(F388="","",G388+ROW()/100000))</f>
        <v/>
      </c>
    </row>
    <row r="389">
      <c r="A389">
        <f>IF(SP!D32="","","SP")</f>
        <v/>
      </c>
      <c r="B389">
        <f>IF(SP!C32="","",SP!C32)</f>
        <v/>
      </c>
      <c r="C389">
        <f>IF(SP!B32="","",SP!B32)</f>
        <v/>
      </c>
      <c r="D389">
        <f>IF(SP!D32="","",SP!D32)</f>
        <v/>
      </c>
      <c r="E389">
        <f>IF(SP!F32="","",SP!F32)</f>
        <v/>
      </c>
      <c r="F389">
        <f>IF(SP!I32="","",SP!I32)</f>
        <v/>
      </c>
      <c r="G389">
        <f>IF(SP!M32="","",SP!M32)</f>
        <v/>
      </c>
      <c r="H389">
        <f>IF(SP!N32="","",SP!N32)</f>
        <v/>
      </c>
      <c r="I389">
        <f>IF(SP!O32="","",SP!O32)</f>
        <v/>
      </c>
      <c r="J389">
        <f>IF(D389="","",IF(F389="","",G389+ROW()/100000))</f>
        <v/>
      </c>
    </row>
    <row r="390">
      <c r="A390">
        <f>IF(SP!D33="","","SP")</f>
        <v/>
      </c>
      <c r="B390">
        <f>IF(SP!C33="","",SP!C33)</f>
        <v/>
      </c>
      <c r="C390">
        <f>IF(SP!B33="","",SP!B33)</f>
        <v/>
      </c>
      <c r="D390">
        <f>IF(SP!D33="","",SP!D33)</f>
        <v/>
      </c>
      <c r="E390">
        <f>IF(SP!F33="","",SP!F33)</f>
        <v/>
      </c>
      <c r="F390">
        <f>IF(SP!I33="","",SP!I33)</f>
        <v/>
      </c>
      <c r="G390">
        <f>IF(SP!M33="","",SP!M33)</f>
        <v/>
      </c>
      <c r="H390">
        <f>IF(SP!N33="","",SP!N33)</f>
        <v/>
      </c>
      <c r="I390">
        <f>IF(SP!O33="","",SP!O33)</f>
        <v/>
      </c>
      <c r="J390">
        <f>IF(D390="","",IF(F390="","",G390+ROW()/100000))</f>
        <v/>
      </c>
    </row>
    <row r="391">
      <c r="A391">
        <f>IF(SP!D34="","","SP")</f>
        <v/>
      </c>
      <c r="B391">
        <f>IF(SP!C34="","",SP!C34)</f>
        <v/>
      </c>
      <c r="C391">
        <f>IF(SP!B34="","",SP!B34)</f>
        <v/>
      </c>
      <c r="D391">
        <f>IF(SP!D34="","",SP!D34)</f>
        <v/>
      </c>
      <c r="E391">
        <f>IF(SP!F34="","",SP!F34)</f>
        <v/>
      </c>
      <c r="F391">
        <f>IF(SP!I34="","",SP!I34)</f>
        <v/>
      </c>
      <c r="G391">
        <f>IF(SP!M34="","",SP!M34)</f>
        <v/>
      </c>
      <c r="H391">
        <f>IF(SP!N34="","",SP!N34)</f>
        <v/>
      </c>
      <c r="I391">
        <f>IF(SP!O34="","",SP!O34)</f>
        <v/>
      </c>
      <c r="J391">
        <f>IF(D391="","",IF(F391="","",G391+ROW()/100000))</f>
        <v/>
      </c>
    </row>
    <row r="392">
      <c r="A392">
        <f>IF(SP!D35="","","SP")</f>
        <v/>
      </c>
      <c r="B392">
        <f>IF(SP!C35="","",SP!C35)</f>
        <v/>
      </c>
      <c r="C392">
        <f>IF(SP!B35="","",SP!B35)</f>
        <v/>
      </c>
      <c r="D392">
        <f>IF(SP!D35="","",SP!D35)</f>
        <v/>
      </c>
      <c r="E392">
        <f>IF(SP!F35="","",SP!F35)</f>
        <v/>
      </c>
      <c r="F392">
        <f>IF(SP!I35="","",SP!I35)</f>
        <v/>
      </c>
      <c r="G392">
        <f>IF(SP!M35="","",SP!M35)</f>
        <v/>
      </c>
      <c r="H392">
        <f>IF(SP!N35="","",SP!N35)</f>
        <v/>
      </c>
      <c r="I392">
        <f>IF(SP!O35="","",SP!O35)</f>
        <v/>
      </c>
      <c r="J392">
        <f>IF(D392="","",IF(F392="","",G392+ROW()/100000))</f>
        <v/>
      </c>
    </row>
    <row r="393">
      <c r="A393">
        <f>IF(SP!D36="","","SP")</f>
        <v/>
      </c>
      <c r="B393">
        <f>IF(SP!C36="","",SP!C36)</f>
        <v/>
      </c>
      <c r="C393">
        <f>IF(SP!B36="","",SP!B36)</f>
        <v/>
      </c>
      <c r="D393">
        <f>IF(SP!D36="","",SP!D36)</f>
        <v/>
      </c>
      <c r="E393">
        <f>IF(SP!F36="","",SP!F36)</f>
        <v/>
      </c>
      <c r="F393">
        <f>IF(SP!I36="","",SP!I36)</f>
        <v/>
      </c>
      <c r="G393">
        <f>IF(SP!M36="","",SP!M36)</f>
        <v/>
      </c>
      <c r="H393">
        <f>IF(SP!N36="","",SP!N36)</f>
        <v/>
      </c>
      <c r="I393">
        <f>IF(SP!O36="","",SP!O36)</f>
        <v/>
      </c>
      <c r="J393">
        <f>IF(D393="","",IF(F393="","",G393+ROW()/100000))</f>
        <v/>
      </c>
    </row>
    <row r="394">
      <c r="A394">
        <f>IF(SP!D37="","","SP")</f>
        <v/>
      </c>
      <c r="B394">
        <f>IF(SP!C37="","",SP!C37)</f>
        <v/>
      </c>
      <c r="C394">
        <f>IF(SP!B37="","",SP!B37)</f>
        <v/>
      </c>
      <c r="D394">
        <f>IF(SP!D37="","",SP!D37)</f>
        <v/>
      </c>
      <c r="E394">
        <f>IF(SP!F37="","",SP!F37)</f>
        <v/>
      </c>
      <c r="F394">
        <f>IF(SP!I37="","",SP!I37)</f>
        <v/>
      </c>
      <c r="G394">
        <f>IF(SP!M37="","",SP!M37)</f>
        <v/>
      </c>
      <c r="H394">
        <f>IF(SP!N37="","",SP!N37)</f>
        <v/>
      </c>
      <c r="I394">
        <f>IF(SP!O37="","",SP!O37)</f>
        <v/>
      </c>
      <c r="J394">
        <f>IF(D394="","",IF(F394="","",G394+ROW()/100000))</f>
        <v/>
      </c>
    </row>
    <row r="395">
      <c r="A395">
        <f>IF(SP!D38="","","SP")</f>
        <v/>
      </c>
      <c r="B395">
        <f>IF(SP!C38="","",SP!C38)</f>
        <v/>
      </c>
      <c r="C395">
        <f>IF(SP!B38="","",SP!B38)</f>
        <v/>
      </c>
      <c r="D395">
        <f>IF(SP!D38="","",SP!D38)</f>
        <v/>
      </c>
      <c r="E395">
        <f>IF(SP!F38="","",SP!F38)</f>
        <v/>
      </c>
      <c r="F395">
        <f>IF(SP!I38="","",SP!I38)</f>
        <v/>
      </c>
      <c r="G395">
        <f>IF(SP!M38="","",SP!M38)</f>
        <v/>
      </c>
      <c r="H395">
        <f>IF(SP!N38="","",SP!N38)</f>
        <v/>
      </c>
      <c r="I395">
        <f>IF(SP!O38="","",SP!O38)</f>
        <v/>
      </c>
      <c r="J395">
        <f>IF(D395="","",IF(F395="","",G395+ROW()/100000))</f>
        <v/>
      </c>
    </row>
    <row r="396">
      <c r="A396">
        <f>IF(SP!D39="","","SP")</f>
        <v/>
      </c>
      <c r="B396">
        <f>IF(SP!C39="","",SP!C39)</f>
        <v/>
      </c>
      <c r="C396">
        <f>IF(SP!B39="","",SP!B39)</f>
        <v/>
      </c>
      <c r="D396">
        <f>IF(SP!D39="","",SP!D39)</f>
        <v/>
      </c>
      <c r="E396">
        <f>IF(SP!F39="","",SP!F39)</f>
        <v/>
      </c>
      <c r="F396">
        <f>IF(SP!I39="","",SP!I39)</f>
        <v/>
      </c>
      <c r="G396">
        <f>IF(SP!M39="","",SP!M39)</f>
        <v/>
      </c>
      <c r="H396">
        <f>IF(SP!N39="","",SP!N39)</f>
        <v/>
      </c>
      <c r="I396">
        <f>IF(SP!O39="","",SP!O39)</f>
        <v/>
      </c>
      <c r="J396">
        <f>IF(D396="","",IF(F396="","",G396+ROW()/100000))</f>
        <v/>
      </c>
    </row>
    <row r="397">
      <c r="A397">
        <f>IF(SP!D40="","","SP")</f>
        <v/>
      </c>
      <c r="B397">
        <f>IF(SP!C40="","",SP!C40)</f>
        <v/>
      </c>
      <c r="C397">
        <f>IF(SP!B40="","",SP!B40)</f>
        <v/>
      </c>
      <c r="D397">
        <f>IF(SP!D40="","",SP!D40)</f>
        <v/>
      </c>
      <c r="E397">
        <f>IF(SP!F40="","",SP!F40)</f>
        <v/>
      </c>
      <c r="F397">
        <f>IF(SP!I40="","",SP!I40)</f>
        <v/>
      </c>
      <c r="G397">
        <f>IF(SP!M40="","",SP!M40)</f>
        <v/>
      </c>
      <c r="H397">
        <f>IF(SP!N40="","",SP!N40)</f>
        <v/>
      </c>
      <c r="I397">
        <f>IF(SP!O40="","",SP!O40)</f>
        <v/>
      </c>
      <c r="J397">
        <f>IF(D397="","",IF(F397="","",G397+ROW()/100000))</f>
        <v/>
      </c>
    </row>
    <row r="398">
      <c r="A398">
        <f>IF(SP!D41="","","SP")</f>
        <v/>
      </c>
      <c r="B398">
        <f>IF(SP!C41="","",SP!C41)</f>
        <v/>
      </c>
      <c r="C398">
        <f>IF(SP!B41="","",SP!B41)</f>
        <v/>
      </c>
      <c r="D398">
        <f>IF(SP!D41="","",SP!D41)</f>
        <v/>
      </c>
      <c r="E398">
        <f>IF(SP!F41="","",SP!F41)</f>
        <v/>
      </c>
      <c r="F398">
        <f>IF(SP!I41="","",SP!I41)</f>
        <v/>
      </c>
      <c r="G398">
        <f>IF(SP!M41="","",SP!M41)</f>
        <v/>
      </c>
      <c r="H398">
        <f>IF(SP!N41="","",SP!N41)</f>
        <v/>
      </c>
      <c r="I398">
        <f>IF(SP!O41="","",SP!O41)</f>
        <v/>
      </c>
      <c r="J398">
        <f>IF(D398="","",IF(F398="","",G398+ROW()/100000))</f>
        <v/>
      </c>
    </row>
    <row r="399">
      <c r="A399">
        <f>IF(SP!D42="","","SP")</f>
        <v/>
      </c>
      <c r="B399">
        <f>IF(SP!C42="","",SP!C42)</f>
        <v/>
      </c>
      <c r="C399">
        <f>IF(SP!B42="","",SP!B42)</f>
        <v/>
      </c>
      <c r="D399">
        <f>IF(SP!D42="","",SP!D42)</f>
        <v/>
      </c>
      <c r="E399">
        <f>IF(SP!F42="","",SP!F42)</f>
        <v/>
      </c>
      <c r="F399">
        <f>IF(SP!I42="","",SP!I42)</f>
        <v/>
      </c>
      <c r="G399">
        <f>IF(SP!M42="","",SP!M42)</f>
        <v/>
      </c>
      <c r="H399">
        <f>IF(SP!N42="","",SP!N42)</f>
        <v/>
      </c>
      <c r="I399">
        <f>IF(SP!O42="","",SP!O42)</f>
        <v/>
      </c>
      <c r="J399">
        <f>IF(D399="","",IF(F399="","",G399+ROW()/100000))</f>
        <v/>
      </c>
    </row>
    <row r="400">
      <c r="A400">
        <f>IF(SP!D43="","","SP")</f>
        <v/>
      </c>
      <c r="B400">
        <f>IF(SP!C43="","",SP!C43)</f>
        <v/>
      </c>
      <c r="C400">
        <f>IF(SP!B43="","",SP!B43)</f>
        <v/>
      </c>
      <c r="D400">
        <f>IF(SP!D43="","",SP!D43)</f>
        <v/>
      </c>
      <c r="E400">
        <f>IF(SP!F43="","",SP!F43)</f>
        <v/>
      </c>
      <c r="F400">
        <f>IF(SP!I43="","",SP!I43)</f>
        <v/>
      </c>
      <c r="G400">
        <f>IF(SP!M43="","",SP!M43)</f>
        <v/>
      </c>
      <c r="H400">
        <f>IF(SP!N43="","",SP!N43)</f>
        <v/>
      </c>
      <c r="I400">
        <f>IF(SP!O43="","",SP!O43)</f>
        <v/>
      </c>
      <c r="J400">
        <f>IF(D400="","",IF(F400="","",G400+ROW()/100000))</f>
        <v/>
      </c>
    </row>
    <row r="401">
      <c r="A401">
        <f>IF(SP!D44="","","SP")</f>
        <v/>
      </c>
      <c r="B401">
        <f>IF(SP!C44="","",SP!C44)</f>
        <v/>
      </c>
      <c r="C401">
        <f>IF(SP!B44="","",SP!B44)</f>
        <v/>
      </c>
      <c r="D401">
        <f>IF(SP!D44="","",SP!D44)</f>
        <v/>
      </c>
      <c r="E401">
        <f>IF(SP!F44="","",SP!F44)</f>
        <v/>
      </c>
      <c r="F401">
        <f>IF(SP!I44="","",SP!I44)</f>
        <v/>
      </c>
      <c r="G401">
        <f>IF(SP!M44="","",SP!M44)</f>
        <v/>
      </c>
      <c r="H401">
        <f>IF(SP!N44="","",SP!N44)</f>
        <v/>
      </c>
      <c r="I401">
        <f>IF(SP!O44="","",SP!O44)</f>
        <v/>
      </c>
      <c r="J401">
        <f>IF(D401="","",IF(F401="","",G401+ROW()/100000))</f>
        <v/>
      </c>
    </row>
    <row r="402">
      <c r="A402">
        <f>IF(SP!D45="","","SP")</f>
        <v/>
      </c>
      <c r="B402">
        <f>IF(SP!C45="","",SP!C45)</f>
        <v/>
      </c>
      <c r="C402">
        <f>IF(SP!B45="","",SP!B45)</f>
        <v/>
      </c>
      <c r="D402">
        <f>IF(SP!D45="","",SP!D45)</f>
        <v/>
      </c>
      <c r="E402">
        <f>IF(SP!F45="","",SP!F45)</f>
        <v/>
      </c>
      <c r="F402">
        <f>IF(SP!I45="","",SP!I45)</f>
        <v/>
      </c>
      <c r="G402">
        <f>IF(SP!M45="","",SP!M45)</f>
        <v/>
      </c>
      <c r="H402">
        <f>IF(SP!N45="","",SP!N45)</f>
        <v/>
      </c>
      <c r="I402">
        <f>IF(SP!O45="","",SP!O45)</f>
        <v/>
      </c>
      <c r="J402">
        <f>IF(D402="","",IF(F402="","",G402+ROW()/100000))</f>
        <v/>
      </c>
    </row>
    <row r="403">
      <c r="A403">
        <f>IF(SP!D46="","","SP")</f>
        <v/>
      </c>
      <c r="B403">
        <f>IF(SP!C46="","",SP!C46)</f>
        <v/>
      </c>
      <c r="C403">
        <f>IF(SP!B46="","",SP!B46)</f>
        <v/>
      </c>
      <c r="D403">
        <f>IF(SP!D46="","",SP!D46)</f>
        <v/>
      </c>
      <c r="E403">
        <f>IF(SP!F46="","",SP!F46)</f>
        <v/>
      </c>
      <c r="F403">
        <f>IF(SP!I46="","",SP!I46)</f>
        <v/>
      </c>
      <c r="G403">
        <f>IF(SP!M46="","",SP!M46)</f>
        <v/>
      </c>
      <c r="H403">
        <f>IF(SP!N46="","",SP!N46)</f>
        <v/>
      </c>
      <c r="I403">
        <f>IF(SP!O46="","",SP!O46)</f>
        <v/>
      </c>
      <c r="J403">
        <f>IF(D403="","",IF(F403="","",G403+ROW()/100000))</f>
        <v/>
      </c>
    </row>
    <row r="404">
      <c r="A404">
        <f>IF(SP!D47="","","SP")</f>
        <v/>
      </c>
      <c r="B404">
        <f>IF(SP!C47="","",SP!C47)</f>
        <v/>
      </c>
      <c r="C404">
        <f>IF(SP!B47="","",SP!B47)</f>
        <v/>
      </c>
      <c r="D404">
        <f>IF(SP!D47="","",SP!D47)</f>
        <v/>
      </c>
      <c r="E404">
        <f>IF(SP!F47="","",SP!F47)</f>
        <v/>
      </c>
      <c r="F404">
        <f>IF(SP!I47="","",SP!I47)</f>
        <v/>
      </c>
      <c r="G404">
        <f>IF(SP!M47="","",SP!M47)</f>
        <v/>
      </c>
      <c r="H404">
        <f>IF(SP!N47="","",SP!N47)</f>
        <v/>
      </c>
      <c r="I404">
        <f>IF(SP!O47="","",SP!O47)</f>
        <v/>
      </c>
      <c r="J404">
        <f>IF(D404="","",IF(F404="","",G404+ROW()/100000))</f>
        <v/>
      </c>
    </row>
    <row r="405">
      <c r="A405">
        <f>IF(SP!D48="","","SP")</f>
        <v/>
      </c>
      <c r="B405">
        <f>IF(SP!C48="","",SP!C48)</f>
        <v/>
      </c>
      <c r="C405">
        <f>IF(SP!B48="","",SP!B48)</f>
        <v/>
      </c>
      <c r="D405">
        <f>IF(SP!D48="","",SP!D48)</f>
        <v/>
      </c>
      <c r="E405">
        <f>IF(SP!F48="","",SP!F48)</f>
        <v/>
      </c>
      <c r="F405">
        <f>IF(SP!I48="","",SP!I48)</f>
        <v/>
      </c>
      <c r="G405">
        <f>IF(SP!M48="","",SP!M48)</f>
        <v/>
      </c>
      <c r="H405">
        <f>IF(SP!N48="","",SP!N48)</f>
        <v/>
      </c>
      <c r="I405">
        <f>IF(SP!O48="","",SP!O48)</f>
        <v/>
      </c>
      <c r="J405">
        <f>IF(D405="","",IF(F405="","",G405+ROW()/100000))</f>
        <v/>
      </c>
    </row>
    <row r="406">
      <c r="A406">
        <f>IF(SP!D49="","","SP")</f>
        <v/>
      </c>
      <c r="B406">
        <f>IF(SP!C49="","",SP!C49)</f>
        <v/>
      </c>
      <c r="C406">
        <f>IF(SP!B49="","",SP!B49)</f>
        <v/>
      </c>
      <c r="D406">
        <f>IF(SP!D49="","",SP!D49)</f>
        <v/>
      </c>
      <c r="E406">
        <f>IF(SP!F49="","",SP!F49)</f>
        <v/>
      </c>
      <c r="F406">
        <f>IF(SP!I49="","",SP!I49)</f>
        <v/>
      </c>
      <c r="G406">
        <f>IF(SP!M49="","",SP!M49)</f>
        <v/>
      </c>
      <c r="H406">
        <f>IF(SP!N49="","",SP!N49)</f>
        <v/>
      </c>
      <c r="I406">
        <f>IF(SP!O49="","",SP!O49)</f>
        <v/>
      </c>
      <c r="J406">
        <f>IF(D406="","",IF(F406="","",G406+ROW()/100000))</f>
        <v/>
      </c>
    </row>
    <row r="407">
      <c r="A407">
        <f>IF(SP!D50="","","SP")</f>
        <v/>
      </c>
      <c r="B407">
        <f>IF(SP!C50="","",SP!C50)</f>
        <v/>
      </c>
      <c r="C407">
        <f>IF(SP!B50="","",SP!B50)</f>
        <v/>
      </c>
      <c r="D407">
        <f>IF(SP!D50="","",SP!D50)</f>
        <v/>
      </c>
      <c r="E407">
        <f>IF(SP!F50="","",SP!F50)</f>
        <v/>
      </c>
      <c r="F407">
        <f>IF(SP!I50="","",SP!I50)</f>
        <v/>
      </c>
      <c r="G407">
        <f>IF(SP!M50="","",SP!M50)</f>
        <v/>
      </c>
      <c r="H407">
        <f>IF(SP!N50="","",SP!N50)</f>
        <v/>
      </c>
      <c r="I407">
        <f>IF(SP!O50="","",SP!O50)</f>
        <v/>
      </c>
      <c r="J407">
        <f>IF(D407="","",IF(F407="","",G407+ROW()/100000))</f>
        <v/>
      </c>
    </row>
    <row r="408">
      <c r="A408">
        <f>IF(SP!D51="","","SP")</f>
        <v/>
      </c>
      <c r="B408">
        <f>IF(SP!C51="","",SP!C51)</f>
        <v/>
      </c>
      <c r="C408">
        <f>IF(SP!B51="","",SP!B51)</f>
        <v/>
      </c>
      <c r="D408">
        <f>IF(SP!D51="","",SP!D51)</f>
        <v/>
      </c>
      <c r="E408">
        <f>IF(SP!F51="","",SP!F51)</f>
        <v/>
      </c>
      <c r="F408">
        <f>IF(SP!I51="","",SP!I51)</f>
        <v/>
      </c>
      <c r="G408">
        <f>IF(SP!M51="","",SP!M51)</f>
        <v/>
      </c>
      <c r="H408">
        <f>IF(SP!N51="","",SP!N51)</f>
        <v/>
      </c>
      <c r="I408">
        <f>IF(SP!O51="","",SP!O51)</f>
        <v/>
      </c>
      <c r="J408">
        <f>IF(D408="","",IF(F408="","",G408+ROW()/100000))</f>
        <v/>
      </c>
    </row>
    <row r="409">
      <c r="A409">
        <f>IF(SP!D52="","","SP")</f>
        <v/>
      </c>
      <c r="B409">
        <f>IF(SP!C52="","",SP!C52)</f>
        <v/>
      </c>
      <c r="C409">
        <f>IF(SP!B52="","",SP!B52)</f>
        <v/>
      </c>
      <c r="D409">
        <f>IF(SP!D52="","",SP!D52)</f>
        <v/>
      </c>
      <c r="E409">
        <f>IF(SP!F52="","",SP!F52)</f>
        <v/>
      </c>
      <c r="F409">
        <f>IF(SP!I52="","",SP!I52)</f>
        <v/>
      </c>
      <c r="G409">
        <f>IF(SP!M52="","",SP!M52)</f>
        <v/>
      </c>
      <c r="H409">
        <f>IF(SP!N52="","",SP!N52)</f>
        <v/>
      </c>
      <c r="I409">
        <f>IF(SP!O52="","",SP!O52)</f>
        <v/>
      </c>
      <c r="J409">
        <f>IF(D409="","",IF(F409="","",G409+ROW()/100000))</f>
        <v/>
      </c>
    </row>
    <row r="410">
      <c r="A410">
        <f>IF(SP!D53="","","SP")</f>
        <v/>
      </c>
      <c r="B410">
        <f>IF(SP!C53="","",SP!C53)</f>
        <v/>
      </c>
      <c r="C410">
        <f>IF(SP!B53="","",SP!B53)</f>
        <v/>
      </c>
      <c r="D410">
        <f>IF(SP!D53="","",SP!D53)</f>
        <v/>
      </c>
      <c r="E410">
        <f>IF(SP!F53="","",SP!F53)</f>
        <v/>
      </c>
      <c r="F410">
        <f>IF(SP!I53="","",SP!I53)</f>
        <v/>
      </c>
      <c r="G410">
        <f>IF(SP!M53="","",SP!M53)</f>
        <v/>
      </c>
      <c r="H410">
        <f>IF(SP!N53="","",SP!N53)</f>
        <v/>
      </c>
      <c r="I410">
        <f>IF(SP!O53="","",SP!O53)</f>
        <v/>
      </c>
      <c r="J410">
        <f>IF(D410="","",IF(F410="","",G410+ROW()/100000))</f>
        <v/>
      </c>
    </row>
    <row r="411">
      <c r="A411">
        <f>IF(SP!D54="","","SP")</f>
        <v/>
      </c>
      <c r="B411">
        <f>IF(SP!C54="","",SP!C54)</f>
        <v/>
      </c>
      <c r="C411">
        <f>IF(SP!B54="","",SP!B54)</f>
        <v/>
      </c>
      <c r="D411">
        <f>IF(SP!D54="","",SP!D54)</f>
        <v/>
      </c>
      <c r="E411">
        <f>IF(SP!F54="","",SP!F54)</f>
        <v/>
      </c>
      <c r="F411">
        <f>IF(SP!I54="","",SP!I54)</f>
        <v/>
      </c>
      <c r="G411">
        <f>IF(SP!M54="","",SP!M54)</f>
        <v/>
      </c>
      <c r="H411">
        <f>IF(SP!N54="","",SP!N54)</f>
        <v/>
      </c>
      <c r="I411">
        <f>IF(SP!O54="","",SP!O54)</f>
        <v/>
      </c>
      <c r="J411">
        <f>IF(D411="","",IF(F411="","",G411+ROW()/100000))</f>
        <v/>
      </c>
    </row>
    <row r="412">
      <c r="A412">
        <f>IF(SP!D55="","","SP")</f>
        <v/>
      </c>
      <c r="B412">
        <f>IF(SP!C55="","",SP!C55)</f>
        <v/>
      </c>
      <c r="C412">
        <f>IF(SP!B55="","",SP!B55)</f>
        <v/>
      </c>
      <c r="D412">
        <f>IF(SP!D55="","",SP!D55)</f>
        <v/>
      </c>
      <c r="E412">
        <f>IF(SP!F55="","",SP!F55)</f>
        <v/>
      </c>
      <c r="F412">
        <f>IF(SP!I55="","",SP!I55)</f>
        <v/>
      </c>
      <c r="G412">
        <f>IF(SP!M55="","",SP!M55)</f>
        <v/>
      </c>
      <c r="H412">
        <f>IF(SP!N55="","",SP!N55)</f>
        <v/>
      </c>
      <c r="I412">
        <f>IF(SP!O55="","",SP!O55)</f>
        <v/>
      </c>
      <c r="J412">
        <f>IF(D412="","",IF(F412="","",G412+ROW()/100000))</f>
        <v/>
      </c>
    </row>
    <row r="413">
      <c r="A413">
        <f>IF(SP!D56="","","SP")</f>
        <v/>
      </c>
      <c r="B413">
        <f>IF(SP!C56="","",SP!C56)</f>
        <v/>
      </c>
      <c r="C413">
        <f>IF(SP!B56="","",SP!B56)</f>
        <v/>
      </c>
      <c r="D413">
        <f>IF(SP!D56="","",SP!D56)</f>
        <v/>
      </c>
      <c r="E413">
        <f>IF(SP!F56="","",SP!F56)</f>
        <v/>
      </c>
      <c r="F413">
        <f>IF(SP!I56="","",SP!I56)</f>
        <v/>
      </c>
      <c r="G413">
        <f>IF(SP!M56="","",SP!M56)</f>
        <v/>
      </c>
      <c r="H413">
        <f>IF(SP!N56="","",SP!N56)</f>
        <v/>
      </c>
      <c r="I413">
        <f>IF(SP!O56="","",SP!O56)</f>
        <v/>
      </c>
      <c r="J413">
        <f>IF(D413="","",IF(F413="","",G413+ROW()/100000))</f>
        <v/>
      </c>
    </row>
    <row r="414">
      <c r="A414">
        <f>IF(SP!D57="","","SP")</f>
        <v/>
      </c>
      <c r="B414">
        <f>IF(SP!C57="","",SP!C57)</f>
        <v/>
      </c>
      <c r="C414">
        <f>IF(SP!B57="","",SP!B57)</f>
        <v/>
      </c>
      <c r="D414">
        <f>IF(SP!D57="","",SP!D57)</f>
        <v/>
      </c>
      <c r="E414">
        <f>IF(SP!F57="","",SP!F57)</f>
        <v/>
      </c>
      <c r="F414">
        <f>IF(SP!I57="","",SP!I57)</f>
        <v/>
      </c>
      <c r="G414">
        <f>IF(SP!M57="","",SP!M57)</f>
        <v/>
      </c>
      <c r="H414">
        <f>IF(SP!N57="","",SP!N57)</f>
        <v/>
      </c>
      <c r="I414">
        <f>IF(SP!O57="","",SP!O57)</f>
        <v/>
      </c>
      <c r="J414">
        <f>IF(D414="","",IF(F414="","",G414+ROW()/100000))</f>
        <v/>
      </c>
    </row>
    <row r="415">
      <c r="A415">
        <f>IF(SP!D58="","","SP")</f>
        <v/>
      </c>
      <c r="B415">
        <f>IF(SP!C58="","",SP!C58)</f>
        <v/>
      </c>
      <c r="C415">
        <f>IF(SP!B58="","",SP!B58)</f>
        <v/>
      </c>
      <c r="D415">
        <f>IF(SP!D58="","",SP!D58)</f>
        <v/>
      </c>
      <c r="E415">
        <f>IF(SP!F58="","",SP!F58)</f>
        <v/>
      </c>
      <c r="F415">
        <f>IF(SP!I58="","",SP!I58)</f>
        <v/>
      </c>
      <c r="G415">
        <f>IF(SP!M58="","",SP!M58)</f>
        <v/>
      </c>
      <c r="H415">
        <f>IF(SP!N58="","",SP!N58)</f>
        <v/>
      </c>
      <c r="I415">
        <f>IF(SP!O58="","",SP!O58)</f>
        <v/>
      </c>
      <c r="J415">
        <f>IF(D415="","",IF(F415="","",G415+ROW()/100000))</f>
        <v/>
      </c>
    </row>
    <row r="416">
      <c r="A416">
        <f>IF(SP!D59="","","SP")</f>
        <v/>
      </c>
      <c r="B416">
        <f>IF(SP!C59="","",SP!C59)</f>
        <v/>
      </c>
      <c r="C416">
        <f>IF(SP!B59="","",SP!B59)</f>
        <v/>
      </c>
      <c r="D416">
        <f>IF(SP!D59="","",SP!D59)</f>
        <v/>
      </c>
      <c r="E416">
        <f>IF(SP!F59="","",SP!F59)</f>
        <v/>
      </c>
      <c r="F416">
        <f>IF(SP!I59="","",SP!I59)</f>
        <v/>
      </c>
      <c r="G416">
        <f>IF(SP!M59="","",SP!M59)</f>
        <v/>
      </c>
      <c r="H416">
        <f>IF(SP!N59="","",SP!N59)</f>
        <v/>
      </c>
      <c r="I416">
        <f>IF(SP!O59="","",SP!O59)</f>
        <v/>
      </c>
      <c r="J416">
        <f>IF(D416="","",IF(F416="","",G416+ROW()/100000))</f>
        <v/>
      </c>
    </row>
    <row r="417">
      <c r="A417">
        <f>IF(SP!D60="","","SP")</f>
        <v/>
      </c>
      <c r="B417">
        <f>IF(SP!C60="","",SP!C60)</f>
        <v/>
      </c>
      <c r="C417">
        <f>IF(SP!B60="","",SP!B60)</f>
        <v/>
      </c>
      <c r="D417">
        <f>IF(SP!D60="","",SP!D60)</f>
        <v/>
      </c>
      <c r="E417">
        <f>IF(SP!F60="","",SP!F60)</f>
        <v/>
      </c>
      <c r="F417">
        <f>IF(SP!I60="","",SP!I60)</f>
        <v/>
      </c>
      <c r="G417">
        <f>IF(SP!M60="","",SP!M60)</f>
        <v/>
      </c>
      <c r="H417">
        <f>IF(SP!N60="","",SP!N60)</f>
        <v/>
      </c>
      <c r="I417">
        <f>IF(SP!O60="","",SP!O60)</f>
        <v/>
      </c>
      <c r="J417">
        <f>IF(D417="","",IF(F417="","",G417+ROW()/100000))</f>
        <v/>
      </c>
    </row>
    <row r="418">
      <c r="A418">
        <f>IF(SP!D61="","","SP")</f>
        <v/>
      </c>
      <c r="B418">
        <f>IF(SP!C61="","",SP!C61)</f>
        <v/>
      </c>
      <c r="C418">
        <f>IF(SP!B61="","",SP!B61)</f>
        <v/>
      </c>
      <c r="D418">
        <f>IF(SP!D61="","",SP!D61)</f>
        <v/>
      </c>
      <c r="E418">
        <f>IF(SP!F61="","",SP!F61)</f>
        <v/>
      </c>
      <c r="F418">
        <f>IF(SP!I61="","",SP!I61)</f>
        <v/>
      </c>
      <c r="G418">
        <f>IF(SP!M61="","",SP!M61)</f>
        <v/>
      </c>
      <c r="H418">
        <f>IF(SP!N61="","",SP!N61)</f>
        <v/>
      </c>
      <c r="I418">
        <f>IF(SP!O61="","",SP!O61)</f>
        <v/>
      </c>
      <c r="J418">
        <f>IF(D418="","",IF(F418="","",G418+ROW()/100000))</f>
        <v/>
      </c>
    </row>
    <row r="419">
      <c r="A419">
        <f>IF(SP!D62="","","SP")</f>
        <v/>
      </c>
      <c r="B419">
        <f>IF(SP!C62="","",SP!C62)</f>
        <v/>
      </c>
      <c r="C419">
        <f>IF(SP!B62="","",SP!B62)</f>
        <v/>
      </c>
      <c r="D419">
        <f>IF(SP!D62="","",SP!D62)</f>
        <v/>
      </c>
      <c r="E419">
        <f>IF(SP!F62="","",SP!F62)</f>
        <v/>
      </c>
      <c r="F419">
        <f>IF(SP!I62="","",SP!I62)</f>
        <v/>
      </c>
      <c r="G419">
        <f>IF(SP!M62="","",SP!M62)</f>
        <v/>
      </c>
      <c r="H419">
        <f>IF(SP!N62="","",SP!N62)</f>
        <v/>
      </c>
      <c r="I419">
        <f>IF(SP!O62="","",SP!O62)</f>
        <v/>
      </c>
      <c r="J419">
        <f>IF(D419="","",IF(F419="","",G419+ROW()/100000))</f>
        <v/>
      </c>
    </row>
    <row r="420">
      <c r="A420">
        <f>IF(SP!D63="","","SP")</f>
        <v/>
      </c>
      <c r="B420">
        <f>IF(SP!C63="","",SP!C63)</f>
        <v/>
      </c>
      <c r="C420">
        <f>IF(SP!B63="","",SP!B63)</f>
        <v/>
      </c>
      <c r="D420">
        <f>IF(SP!D63="","",SP!D63)</f>
        <v/>
      </c>
      <c r="E420">
        <f>IF(SP!F63="","",SP!F63)</f>
        <v/>
      </c>
      <c r="F420">
        <f>IF(SP!I63="","",SP!I63)</f>
        <v/>
      </c>
      <c r="G420">
        <f>IF(SP!M63="","",SP!M63)</f>
        <v/>
      </c>
      <c r="H420">
        <f>IF(SP!N63="","",SP!N63)</f>
        <v/>
      </c>
      <c r="I420">
        <f>IF(SP!O63="","",SP!O63)</f>
        <v/>
      </c>
      <c r="J420">
        <f>IF(D420="","",IF(F420="","",G420+ROW()/100000))</f>
        <v/>
      </c>
    </row>
    <row r="421">
      <c r="A421">
        <f>IF(SP!D64="","","SP")</f>
        <v/>
      </c>
      <c r="B421">
        <f>IF(SP!C64="","",SP!C64)</f>
        <v/>
      </c>
      <c r="C421">
        <f>IF(SP!B64="","",SP!B64)</f>
        <v/>
      </c>
      <c r="D421">
        <f>IF(SP!D64="","",SP!D64)</f>
        <v/>
      </c>
      <c r="E421">
        <f>IF(SP!F64="","",SP!F64)</f>
        <v/>
      </c>
      <c r="F421">
        <f>IF(SP!I64="","",SP!I64)</f>
        <v/>
      </c>
      <c r="G421">
        <f>IF(SP!M64="","",SP!M64)</f>
        <v/>
      </c>
      <c r="H421">
        <f>IF(SP!N64="","",SP!N64)</f>
        <v/>
      </c>
      <c r="I421">
        <f>IF(SP!O64="","",SP!O64)</f>
        <v/>
      </c>
      <c r="J421">
        <f>IF(D421="","",IF(F421="","",G421+ROW()/100000))</f>
        <v/>
      </c>
    </row>
    <row r="422">
      <c r="A422">
        <f>IF(SP!D65="","","SP")</f>
        <v/>
      </c>
      <c r="B422">
        <f>IF(SP!C65="","",SP!C65)</f>
        <v/>
      </c>
      <c r="C422">
        <f>IF(SP!B65="","",SP!B65)</f>
        <v/>
      </c>
      <c r="D422">
        <f>IF(SP!D65="","",SP!D65)</f>
        <v/>
      </c>
      <c r="E422">
        <f>IF(SP!F65="","",SP!F65)</f>
        <v/>
      </c>
      <c r="F422">
        <f>IF(SP!I65="","",SP!I65)</f>
        <v/>
      </c>
      <c r="G422">
        <f>IF(SP!M65="","",SP!M65)</f>
        <v/>
      </c>
      <c r="H422">
        <f>IF(SP!N65="","",SP!N65)</f>
        <v/>
      </c>
      <c r="I422">
        <f>IF(SP!O65="","",SP!O65)</f>
        <v/>
      </c>
      <c r="J422">
        <f>IF(D422="","",IF(F422="","",G422+ROW()/100000))</f>
        <v/>
      </c>
    </row>
    <row r="423">
      <c r="A423">
        <f>IF(SP!D66="","","SP")</f>
        <v/>
      </c>
      <c r="B423">
        <f>IF(SP!C66="","",SP!C66)</f>
        <v/>
      </c>
      <c r="C423">
        <f>IF(SP!B66="","",SP!B66)</f>
        <v/>
      </c>
      <c r="D423">
        <f>IF(SP!D66="","",SP!D66)</f>
        <v/>
      </c>
      <c r="E423">
        <f>IF(SP!F66="","",SP!F66)</f>
        <v/>
      </c>
      <c r="F423">
        <f>IF(SP!I66="","",SP!I66)</f>
        <v/>
      </c>
      <c r="G423">
        <f>IF(SP!M66="","",SP!M66)</f>
        <v/>
      </c>
      <c r="H423">
        <f>IF(SP!N66="","",SP!N66)</f>
        <v/>
      </c>
      <c r="I423">
        <f>IF(SP!O66="","",SP!O66)</f>
        <v/>
      </c>
      <c r="J423">
        <f>IF(D423="","",IF(F423="","",G423+ROW()/100000))</f>
        <v/>
      </c>
    </row>
    <row r="424">
      <c r="A424">
        <f>IF(SP!D67="","","SP")</f>
        <v/>
      </c>
      <c r="B424">
        <f>IF(SP!C67="","",SP!C67)</f>
        <v/>
      </c>
      <c r="C424">
        <f>IF(SP!B67="","",SP!B67)</f>
        <v/>
      </c>
      <c r="D424">
        <f>IF(SP!D67="","",SP!D67)</f>
        <v/>
      </c>
      <c r="E424">
        <f>IF(SP!F67="","",SP!F67)</f>
        <v/>
      </c>
      <c r="F424">
        <f>IF(SP!I67="","",SP!I67)</f>
        <v/>
      </c>
      <c r="G424">
        <f>IF(SP!M67="","",SP!M67)</f>
        <v/>
      </c>
      <c r="H424">
        <f>IF(SP!N67="","",SP!N67)</f>
        <v/>
      </c>
      <c r="I424">
        <f>IF(SP!O67="","",SP!O67)</f>
        <v/>
      </c>
      <c r="J424">
        <f>IF(D424="","",IF(F424="","",G424+ROW()/100000))</f>
        <v/>
      </c>
    </row>
    <row r="425">
      <c r="A425">
        <f>IF(SP!D68="","","SP")</f>
        <v/>
      </c>
      <c r="B425">
        <f>IF(SP!C68="","",SP!C68)</f>
        <v/>
      </c>
      <c r="C425">
        <f>IF(SP!B68="","",SP!B68)</f>
        <v/>
      </c>
      <c r="D425">
        <f>IF(SP!D68="","",SP!D68)</f>
        <v/>
      </c>
      <c r="E425">
        <f>IF(SP!F68="","",SP!F68)</f>
        <v/>
      </c>
      <c r="F425">
        <f>IF(SP!I68="","",SP!I68)</f>
        <v/>
      </c>
      <c r="G425">
        <f>IF(SP!M68="","",SP!M68)</f>
        <v/>
      </c>
      <c r="H425">
        <f>IF(SP!N68="","",SP!N68)</f>
        <v/>
      </c>
      <c r="I425">
        <f>IF(SP!O68="","",SP!O68)</f>
        <v/>
      </c>
      <c r="J425">
        <f>IF(D425="","",IF(F425="","",G425+ROW()/100000))</f>
        <v/>
      </c>
    </row>
    <row r="426">
      <c r="A426">
        <f>IF(SP!D69="","","SP")</f>
        <v/>
      </c>
      <c r="B426">
        <f>IF(SP!C69="","",SP!C69)</f>
        <v/>
      </c>
      <c r="C426">
        <f>IF(SP!B69="","",SP!B69)</f>
        <v/>
      </c>
      <c r="D426">
        <f>IF(SP!D69="","",SP!D69)</f>
        <v/>
      </c>
      <c r="E426">
        <f>IF(SP!F69="","",SP!F69)</f>
        <v/>
      </c>
      <c r="F426">
        <f>IF(SP!I69="","",SP!I69)</f>
        <v/>
      </c>
      <c r="G426">
        <f>IF(SP!M69="","",SP!M69)</f>
        <v/>
      </c>
      <c r="H426">
        <f>IF(SP!N69="","",SP!N69)</f>
        <v/>
      </c>
      <c r="I426">
        <f>IF(SP!O69="","",SP!O69)</f>
        <v/>
      </c>
      <c r="J426">
        <f>IF(D426="","",IF(F426="","",G426+ROW()/100000))</f>
        <v/>
      </c>
    </row>
    <row r="427">
      <c r="A427">
        <f>IF(SP!D70="","","SP")</f>
        <v/>
      </c>
      <c r="B427">
        <f>IF(SP!C70="","",SP!C70)</f>
        <v/>
      </c>
      <c r="C427">
        <f>IF(SP!B70="","",SP!B70)</f>
        <v/>
      </c>
      <c r="D427">
        <f>IF(SP!D70="","",SP!D70)</f>
        <v/>
      </c>
      <c r="E427">
        <f>IF(SP!F70="","",SP!F70)</f>
        <v/>
      </c>
      <c r="F427">
        <f>IF(SP!I70="","",SP!I70)</f>
        <v/>
      </c>
      <c r="G427">
        <f>IF(SP!M70="","",SP!M70)</f>
        <v/>
      </c>
      <c r="H427">
        <f>IF(SP!N70="","",SP!N70)</f>
        <v/>
      </c>
      <c r="I427">
        <f>IF(SP!O70="","",SP!O70)</f>
        <v/>
      </c>
      <c r="J427">
        <f>IF(D427="","",IF(F427="","",G427+ROW()/100000))</f>
        <v/>
      </c>
    </row>
    <row r="428">
      <c r="A428">
        <f>IF(SP!D71="","","SP")</f>
        <v/>
      </c>
      <c r="B428">
        <f>IF(SP!C71="","",SP!C71)</f>
        <v/>
      </c>
      <c r="C428">
        <f>IF(SP!B71="","",SP!B71)</f>
        <v/>
      </c>
      <c r="D428">
        <f>IF(SP!D71="","",SP!D71)</f>
        <v/>
      </c>
      <c r="E428">
        <f>IF(SP!F71="","",SP!F71)</f>
        <v/>
      </c>
      <c r="F428">
        <f>IF(SP!I71="","",SP!I71)</f>
        <v/>
      </c>
      <c r="G428">
        <f>IF(SP!M71="","",SP!M71)</f>
        <v/>
      </c>
      <c r="H428">
        <f>IF(SP!N71="","",SP!N71)</f>
        <v/>
      </c>
      <c r="I428">
        <f>IF(SP!O71="","",SP!O71)</f>
        <v/>
      </c>
      <c r="J428">
        <f>IF(D428="","",IF(F428="","",G428+ROW()/100000))</f>
        <v/>
      </c>
    </row>
    <row r="429">
      <c r="A429">
        <f>IF(SP!D72="","","SP")</f>
        <v/>
      </c>
      <c r="B429">
        <f>IF(SP!C72="","",SP!C72)</f>
        <v/>
      </c>
      <c r="C429">
        <f>IF(SP!B72="","",SP!B72)</f>
        <v/>
      </c>
      <c r="D429">
        <f>IF(SP!D72="","",SP!D72)</f>
        <v/>
      </c>
      <c r="E429">
        <f>IF(SP!F72="","",SP!F72)</f>
        <v/>
      </c>
      <c r="F429">
        <f>IF(SP!I72="","",SP!I72)</f>
        <v/>
      </c>
      <c r="G429">
        <f>IF(SP!M72="","",SP!M72)</f>
        <v/>
      </c>
      <c r="H429">
        <f>IF(SP!N72="","",SP!N72)</f>
        <v/>
      </c>
      <c r="I429">
        <f>IF(SP!O72="","",SP!O72)</f>
        <v/>
      </c>
      <c r="J429">
        <f>IF(D429="","",IF(F429="","",G429+ROW()/100000))</f>
        <v/>
      </c>
    </row>
    <row r="430">
      <c r="A430">
        <f>IF(SP!D73="","","SP")</f>
        <v/>
      </c>
      <c r="B430">
        <f>IF(SP!C73="","",SP!C73)</f>
        <v/>
      </c>
      <c r="C430">
        <f>IF(SP!B73="","",SP!B73)</f>
        <v/>
      </c>
      <c r="D430">
        <f>IF(SP!D73="","",SP!D73)</f>
        <v/>
      </c>
      <c r="E430">
        <f>IF(SP!F73="","",SP!F73)</f>
        <v/>
      </c>
      <c r="F430">
        <f>IF(SP!I73="","",SP!I73)</f>
        <v/>
      </c>
      <c r="G430">
        <f>IF(SP!M73="","",SP!M73)</f>
        <v/>
      </c>
      <c r="H430">
        <f>IF(SP!N73="","",SP!N73)</f>
        <v/>
      </c>
      <c r="I430">
        <f>IF(SP!O73="","",SP!O73)</f>
        <v/>
      </c>
      <c r="J430">
        <f>IF(D430="","",IF(F430="","",G430+ROW()/100000))</f>
        <v/>
      </c>
    </row>
    <row r="431">
      <c r="A431">
        <f>IF(SP!D74="","","SP")</f>
        <v/>
      </c>
      <c r="B431">
        <f>IF(SP!C74="","",SP!C74)</f>
        <v/>
      </c>
      <c r="C431">
        <f>IF(SP!B74="","",SP!B74)</f>
        <v/>
      </c>
      <c r="D431">
        <f>IF(SP!D74="","",SP!D74)</f>
        <v/>
      </c>
      <c r="E431">
        <f>IF(SP!F74="","",SP!F74)</f>
        <v/>
      </c>
      <c r="F431">
        <f>IF(SP!I74="","",SP!I74)</f>
        <v/>
      </c>
      <c r="G431">
        <f>IF(SP!M74="","",SP!M74)</f>
        <v/>
      </c>
      <c r="H431">
        <f>IF(SP!N74="","",SP!N74)</f>
        <v/>
      </c>
      <c r="I431">
        <f>IF(SP!O74="","",SP!O74)</f>
        <v/>
      </c>
      <c r="J431">
        <f>IF(D431="","",IF(F431="","",G431+ROW()/100000))</f>
        <v/>
      </c>
    </row>
    <row r="432">
      <c r="A432">
        <f>IF(SP!D75="","","SP")</f>
        <v/>
      </c>
      <c r="B432">
        <f>IF(SP!C75="","",SP!C75)</f>
        <v/>
      </c>
      <c r="C432">
        <f>IF(SP!B75="","",SP!B75)</f>
        <v/>
      </c>
      <c r="D432">
        <f>IF(SP!D75="","",SP!D75)</f>
        <v/>
      </c>
      <c r="E432">
        <f>IF(SP!F75="","",SP!F75)</f>
        <v/>
      </c>
      <c r="F432">
        <f>IF(SP!I75="","",SP!I75)</f>
        <v/>
      </c>
      <c r="G432">
        <f>IF(SP!M75="","",SP!M75)</f>
        <v/>
      </c>
      <c r="H432">
        <f>IF(SP!N75="","",SP!N75)</f>
        <v/>
      </c>
      <c r="I432">
        <f>IF(SP!O75="","",SP!O75)</f>
        <v/>
      </c>
      <c r="J432">
        <f>IF(D432="","",IF(F432="","",G432+ROW()/100000))</f>
        <v/>
      </c>
    </row>
    <row r="433">
      <c r="A433">
        <f>IF(SP!D76="","","SP")</f>
        <v/>
      </c>
      <c r="B433">
        <f>IF(SP!C76="","",SP!C76)</f>
        <v/>
      </c>
      <c r="C433">
        <f>IF(SP!B76="","",SP!B76)</f>
        <v/>
      </c>
      <c r="D433">
        <f>IF(SP!D76="","",SP!D76)</f>
        <v/>
      </c>
      <c r="E433">
        <f>IF(SP!F76="","",SP!F76)</f>
        <v/>
      </c>
      <c r="F433">
        <f>IF(SP!I76="","",SP!I76)</f>
        <v/>
      </c>
      <c r="G433">
        <f>IF(SP!M76="","",SP!M76)</f>
        <v/>
      </c>
      <c r="H433">
        <f>IF(SP!N76="","",SP!N76)</f>
        <v/>
      </c>
      <c r="I433">
        <f>IF(SP!O76="","",SP!O76)</f>
        <v/>
      </c>
      <c r="J433">
        <f>IF(D433="","",IF(F433="","",G433+ROW()/100000))</f>
        <v/>
      </c>
    </row>
    <row r="434">
      <c r="A434">
        <f>IF(SP!D77="","","SP")</f>
        <v/>
      </c>
      <c r="B434">
        <f>IF(SP!C77="","",SP!C77)</f>
        <v/>
      </c>
      <c r="C434">
        <f>IF(SP!B77="","",SP!B77)</f>
        <v/>
      </c>
      <c r="D434">
        <f>IF(SP!D77="","",SP!D77)</f>
        <v/>
      </c>
      <c r="E434">
        <f>IF(SP!F77="","",SP!F77)</f>
        <v/>
      </c>
      <c r="F434">
        <f>IF(SP!I77="","",SP!I77)</f>
        <v/>
      </c>
      <c r="G434">
        <f>IF(SP!M77="","",SP!M77)</f>
        <v/>
      </c>
      <c r="H434">
        <f>IF(SP!N77="","",SP!N77)</f>
        <v/>
      </c>
      <c r="I434">
        <f>IF(SP!O77="","",SP!O77)</f>
        <v/>
      </c>
      <c r="J434">
        <f>IF(D434="","",IF(F434="","",G434+ROW()/100000))</f>
        <v/>
      </c>
    </row>
    <row r="435">
      <c r="A435">
        <f>IF(SP!D78="","","SP")</f>
        <v/>
      </c>
      <c r="B435">
        <f>IF(SP!C78="","",SP!C78)</f>
        <v/>
      </c>
      <c r="C435">
        <f>IF(SP!B78="","",SP!B78)</f>
        <v/>
      </c>
      <c r="D435">
        <f>IF(SP!D78="","",SP!D78)</f>
        <v/>
      </c>
      <c r="E435">
        <f>IF(SP!F78="","",SP!F78)</f>
        <v/>
      </c>
      <c r="F435">
        <f>IF(SP!I78="","",SP!I78)</f>
        <v/>
      </c>
      <c r="G435">
        <f>IF(SP!M78="","",SP!M78)</f>
        <v/>
      </c>
      <c r="H435">
        <f>IF(SP!N78="","",SP!N78)</f>
        <v/>
      </c>
      <c r="I435">
        <f>IF(SP!O78="","",SP!O78)</f>
        <v/>
      </c>
      <c r="J435">
        <f>IF(D435="","",IF(F435="","",G435+ROW()/100000))</f>
        <v/>
      </c>
    </row>
    <row r="436">
      <c r="A436">
        <f>IF(SP!D79="","","SP")</f>
        <v/>
      </c>
      <c r="B436">
        <f>IF(SP!C79="","",SP!C79)</f>
        <v/>
      </c>
      <c r="C436">
        <f>IF(SP!B79="","",SP!B79)</f>
        <v/>
      </c>
      <c r="D436">
        <f>IF(SP!D79="","",SP!D79)</f>
        <v/>
      </c>
      <c r="E436">
        <f>IF(SP!F79="","",SP!F79)</f>
        <v/>
      </c>
      <c r="F436">
        <f>IF(SP!I79="","",SP!I79)</f>
        <v/>
      </c>
      <c r="G436">
        <f>IF(SP!M79="","",SP!M79)</f>
        <v/>
      </c>
      <c r="H436">
        <f>IF(SP!N79="","",SP!N79)</f>
        <v/>
      </c>
      <c r="I436">
        <f>IF(SP!O79="","",SP!O79)</f>
        <v/>
      </c>
      <c r="J436">
        <f>IF(D436="","",IF(F436="","",G436+ROW()/100000))</f>
        <v/>
      </c>
    </row>
    <row r="437">
      <c r="A437">
        <f>IF(SP!D80="","","SP")</f>
        <v/>
      </c>
      <c r="B437">
        <f>IF(SP!C80="","",SP!C80)</f>
        <v/>
      </c>
      <c r="C437">
        <f>IF(SP!B80="","",SP!B80)</f>
        <v/>
      </c>
      <c r="D437">
        <f>IF(SP!D80="","",SP!D80)</f>
        <v/>
      </c>
      <c r="E437">
        <f>IF(SP!F80="","",SP!F80)</f>
        <v/>
      </c>
      <c r="F437">
        <f>IF(SP!I80="","",SP!I80)</f>
        <v/>
      </c>
      <c r="G437">
        <f>IF(SP!M80="","",SP!M80)</f>
        <v/>
      </c>
      <c r="H437">
        <f>IF(SP!N80="","",SP!N80)</f>
        <v/>
      </c>
      <c r="I437">
        <f>IF(SP!O80="","",SP!O80)</f>
        <v/>
      </c>
      <c r="J437">
        <f>IF(D437="","",IF(F437="","",G437+ROW()/100000))</f>
        <v/>
      </c>
    </row>
    <row r="438">
      <c r="A438">
        <f>IF(SP!D81="","","SP")</f>
        <v/>
      </c>
      <c r="B438">
        <f>IF(SP!C81="","",SP!C81)</f>
        <v/>
      </c>
      <c r="C438">
        <f>IF(SP!B81="","",SP!B81)</f>
        <v/>
      </c>
      <c r="D438">
        <f>IF(SP!D81="","",SP!D81)</f>
        <v/>
      </c>
      <c r="E438">
        <f>IF(SP!F81="","",SP!F81)</f>
        <v/>
      </c>
      <c r="F438">
        <f>IF(SP!I81="","",SP!I81)</f>
        <v/>
      </c>
      <c r="G438">
        <f>IF(SP!M81="","",SP!M81)</f>
        <v/>
      </c>
      <c r="H438">
        <f>IF(SP!N81="","",SP!N81)</f>
        <v/>
      </c>
      <c r="I438">
        <f>IF(SP!O81="","",SP!O81)</f>
        <v/>
      </c>
      <c r="J438">
        <f>IF(D438="","",IF(F438="","",G438+ROW()/100000))</f>
        <v/>
      </c>
    </row>
    <row r="439">
      <c r="A439">
        <f>IF(SP!D82="","","SP")</f>
        <v/>
      </c>
      <c r="B439">
        <f>IF(SP!C82="","",SP!C82)</f>
        <v/>
      </c>
      <c r="C439">
        <f>IF(SP!B82="","",SP!B82)</f>
        <v/>
      </c>
      <c r="D439">
        <f>IF(SP!D82="","",SP!D82)</f>
        <v/>
      </c>
      <c r="E439">
        <f>IF(SP!F82="","",SP!F82)</f>
        <v/>
      </c>
      <c r="F439">
        <f>IF(SP!I82="","",SP!I82)</f>
        <v/>
      </c>
      <c r="G439">
        <f>IF(SP!M82="","",SP!M82)</f>
        <v/>
      </c>
      <c r="H439">
        <f>IF(SP!N82="","",SP!N82)</f>
        <v/>
      </c>
      <c r="I439">
        <f>IF(SP!O82="","",SP!O82)</f>
        <v/>
      </c>
      <c r="J439">
        <f>IF(D439="","",IF(F439="","",G439+ROW()/100000))</f>
        <v/>
      </c>
    </row>
    <row r="440">
      <c r="A440">
        <f>IF(SP!D83="","","SP")</f>
        <v/>
      </c>
      <c r="B440">
        <f>IF(SP!C83="","",SP!C83)</f>
        <v/>
      </c>
      <c r="C440">
        <f>IF(SP!B83="","",SP!B83)</f>
        <v/>
      </c>
      <c r="D440">
        <f>IF(SP!D83="","",SP!D83)</f>
        <v/>
      </c>
      <c r="E440">
        <f>IF(SP!F83="","",SP!F83)</f>
        <v/>
      </c>
      <c r="F440">
        <f>IF(SP!I83="","",SP!I83)</f>
        <v/>
      </c>
      <c r="G440">
        <f>IF(SP!M83="","",SP!M83)</f>
        <v/>
      </c>
      <c r="H440">
        <f>IF(SP!N83="","",SP!N83)</f>
        <v/>
      </c>
      <c r="I440">
        <f>IF(SP!O83="","",SP!O83)</f>
        <v/>
      </c>
      <c r="J440">
        <f>IF(D440="","",IF(F440="","",G440+ROW()/100000))</f>
        <v/>
      </c>
    </row>
    <row r="441">
      <c r="A441">
        <f>IF(SP!D84="","","SP")</f>
        <v/>
      </c>
      <c r="B441">
        <f>IF(SP!C84="","",SP!C84)</f>
        <v/>
      </c>
      <c r="C441">
        <f>IF(SP!B84="","",SP!B84)</f>
        <v/>
      </c>
      <c r="D441">
        <f>IF(SP!D84="","",SP!D84)</f>
        <v/>
      </c>
      <c r="E441">
        <f>IF(SP!F84="","",SP!F84)</f>
        <v/>
      </c>
      <c r="F441">
        <f>IF(SP!I84="","",SP!I84)</f>
        <v/>
      </c>
      <c r="G441">
        <f>IF(SP!M84="","",SP!M84)</f>
        <v/>
      </c>
      <c r="H441">
        <f>IF(SP!N84="","",SP!N84)</f>
        <v/>
      </c>
      <c r="I441">
        <f>IF(SP!O84="","",SP!O84)</f>
        <v/>
      </c>
      <c r="J441">
        <f>IF(D441="","",IF(F441="","",G441+ROW()/100000))</f>
        <v/>
      </c>
    </row>
    <row r="442">
      <c r="A442">
        <f>IF(SP!D85="","","SP")</f>
        <v/>
      </c>
      <c r="B442">
        <f>IF(SP!C85="","",SP!C85)</f>
        <v/>
      </c>
      <c r="C442">
        <f>IF(SP!B85="","",SP!B85)</f>
        <v/>
      </c>
      <c r="D442">
        <f>IF(SP!D85="","",SP!D85)</f>
        <v/>
      </c>
      <c r="E442">
        <f>IF(SP!F85="","",SP!F85)</f>
        <v/>
      </c>
      <c r="F442">
        <f>IF(SP!I85="","",SP!I85)</f>
        <v/>
      </c>
      <c r="G442">
        <f>IF(SP!M85="","",SP!M85)</f>
        <v/>
      </c>
      <c r="H442">
        <f>IF(SP!N85="","",SP!N85)</f>
        <v/>
      </c>
      <c r="I442">
        <f>IF(SP!O85="","",SP!O85)</f>
        <v/>
      </c>
      <c r="J442">
        <f>IF(D442="","",IF(F442="","",G442+ROW()/100000))</f>
        <v/>
      </c>
    </row>
    <row r="443">
      <c r="A443">
        <f>IF(SP!D86="","","SP")</f>
        <v/>
      </c>
      <c r="B443">
        <f>IF(SP!C86="","",SP!C86)</f>
        <v/>
      </c>
      <c r="C443">
        <f>IF(SP!B86="","",SP!B86)</f>
        <v/>
      </c>
      <c r="D443">
        <f>IF(SP!D86="","",SP!D86)</f>
        <v/>
      </c>
      <c r="E443">
        <f>IF(SP!F86="","",SP!F86)</f>
        <v/>
      </c>
      <c r="F443">
        <f>IF(SP!I86="","",SP!I86)</f>
        <v/>
      </c>
      <c r="G443">
        <f>IF(SP!M86="","",SP!M86)</f>
        <v/>
      </c>
      <c r="H443">
        <f>IF(SP!N86="","",SP!N86)</f>
        <v/>
      </c>
      <c r="I443">
        <f>IF(SP!O86="","",SP!O86)</f>
        <v/>
      </c>
      <c r="J443">
        <f>IF(D443="","",IF(F443="","",G443+ROW()/100000))</f>
        <v/>
      </c>
    </row>
    <row r="444">
      <c r="A444">
        <f>IF(SP!D87="","","SP")</f>
        <v/>
      </c>
      <c r="B444">
        <f>IF(SP!C87="","",SP!C87)</f>
        <v/>
      </c>
      <c r="C444">
        <f>IF(SP!B87="","",SP!B87)</f>
        <v/>
      </c>
      <c r="D444">
        <f>IF(SP!D87="","",SP!D87)</f>
        <v/>
      </c>
      <c r="E444">
        <f>IF(SP!F87="","",SP!F87)</f>
        <v/>
      </c>
      <c r="F444">
        <f>IF(SP!I87="","",SP!I87)</f>
        <v/>
      </c>
      <c r="G444">
        <f>IF(SP!M87="","",SP!M87)</f>
        <v/>
      </c>
      <c r="H444">
        <f>IF(SP!N87="","",SP!N87)</f>
        <v/>
      </c>
      <c r="I444">
        <f>IF(SP!O87="","",SP!O87)</f>
        <v/>
      </c>
      <c r="J444">
        <f>IF(D444="","",IF(F444="","",G444+ROW()/100000))</f>
        <v/>
      </c>
    </row>
    <row r="445">
      <c r="A445">
        <f>IF(SP!D88="","","SP")</f>
        <v/>
      </c>
      <c r="B445">
        <f>IF(SP!C88="","",SP!C88)</f>
        <v/>
      </c>
      <c r="C445">
        <f>IF(SP!B88="","",SP!B88)</f>
        <v/>
      </c>
      <c r="D445">
        <f>IF(SP!D88="","",SP!D88)</f>
        <v/>
      </c>
      <c r="E445">
        <f>IF(SP!F88="","",SP!F88)</f>
        <v/>
      </c>
      <c r="F445">
        <f>IF(SP!I88="","",SP!I88)</f>
        <v/>
      </c>
      <c r="G445">
        <f>IF(SP!M88="","",SP!M88)</f>
        <v/>
      </c>
      <c r="H445">
        <f>IF(SP!N88="","",SP!N88)</f>
        <v/>
      </c>
      <c r="I445">
        <f>IF(SP!O88="","",SP!O88)</f>
        <v/>
      </c>
      <c r="J445">
        <f>IF(D445="","",IF(F445="","",G445+ROW()/100000))</f>
        <v/>
      </c>
    </row>
    <row r="446">
      <c r="A446">
        <f>IF(SP!D89="","","SP")</f>
        <v/>
      </c>
      <c r="B446">
        <f>IF(SP!C89="","",SP!C89)</f>
        <v/>
      </c>
      <c r="C446">
        <f>IF(SP!B89="","",SP!B89)</f>
        <v/>
      </c>
      <c r="D446">
        <f>IF(SP!D89="","",SP!D89)</f>
        <v/>
      </c>
      <c r="E446">
        <f>IF(SP!F89="","",SP!F89)</f>
        <v/>
      </c>
      <c r="F446">
        <f>IF(SP!I89="","",SP!I89)</f>
        <v/>
      </c>
      <c r="G446">
        <f>IF(SP!M89="","",SP!M89)</f>
        <v/>
      </c>
      <c r="H446">
        <f>IF(SP!N89="","",SP!N89)</f>
        <v/>
      </c>
      <c r="I446">
        <f>IF(SP!O89="","",SP!O89)</f>
        <v/>
      </c>
      <c r="J446">
        <f>IF(D446="","",IF(F446="","",G446+ROW()/100000))</f>
        <v/>
      </c>
    </row>
    <row r="447">
      <c r="A447">
        <f>IF(SP!D90="","","SP")</f>
        <v/>
      </c>
      <c r="B447">
        <f>IF(SP!C90="","",SP!C90)</f>
        <v/>
      </c>
      <c r="C447">
        <f>IF(SP!B90="","",SP!B90)</f>
        <v/>
      </c>
      <c r="D447">
        <f>IF(SP!D90="","",SP!D90)</f>
        <v/>
      </c>
      <c r="E447">
        <f>IF(SP!F90="","",SP!F90)</f>
        <v/>
      </c>
      <c r="F447">
        <f>IF(SP!I90="","",SP!I90)</f>
        <v/>
      </c>
      <c r="G447">
        <f>IF(SP!M90="","",SP!M90)</f>
        <v/>
      </c>
      <c r="H447">
        <f>IF(SP!N90="","",SP!N90)</f>
        <v/>
      </c>
      <c r="I447">
        <f>IF(SP!O90="","",SP!O90)</f>
        <v/>
      </c>
      <c r="J447">
        <f>IF(D447="","",IF(F447="","",G447+ROW()/100000))</f>
        <v/>
      </c>
    </row>
    <row r="448">
      <c r="A448">
        <f>IF(SP!D91="","","SP")</f>
        <v/>
      </c>
      <c r="B448">
        <f>IF(SP!C91="","",SP!C91)</f>
        <v/>
      </c>
      <c r="C448">
        <f>IF(SP!B91="","",SP!B91)</f>
        <v/>
      </c>
      <c r="D448">
        <f>IF(SP!D91="","",SP!D91)</f>
        <v/>
      </c>
      <c r="E448">
        <f>IF(SP!F91="","",SP!F91)</f>
        <v/>
      </c>
      <c r="F448">
        <f>IF(SP!I91="","",SP!I91)</f>
        <v/>
      </c>
      <c r="G448">
        <f>IF(SP!M91="","",SP!M91)</f>
        <v/>
      </c>
      <c r="H448">
        <f>IF(SP!N91="","",SP!N91)</f>
        <v/>
      </c>
      <c r="I448">
        <f>IF(SP!O91="","",SP!O91)</f>
        <v/>
      </c>
      <c r="J448">
        <f>IF(D448="","",IF(F448="","",G448+ROW()/100000))</f>
        <v/>
      </c>
    </row>
    <row r="449">
      <c r="A449">
        <f>IF(SP!D92="","","SP")</f>
        <v/>
      </c>
      <c r="B449">
        <f>IF(SP!C92="","",SP!C92)</f>
        <v/>
      </c>
      <c r="C449">
        <f>IF(SP!B92="","",SP!B92)</f>
        <v/>
      </c>
      <c r="D449">
        <f>IF(SP!D92="","",SP!D92)</f>
        <v/>
      </c>
      <c r="E449">
        <f>IF(SP!F92="","",SP!F92)</f>
        <v/>
      </c>
      <c r="F449">
        <f>IF(SP!I92="","",SP!I92)</f>
        <v/>
      </c>
      <c r="G449">
        <f>IF(SP!M92="","",SP!M92)</f>
        <v/>
      </c>
      <c r="H449">
        <f>IF(SP!N92="","",SP!N92)</f>
        <v/>
      </c>
      <c r="I449">
        <f>IF(SP!O92="","",SP!O92)</f>
        <v/>
      </c>
      <c r="J449">
        <f>IF(D449="","",IF(F449="","",G449+ROW()/100000))</f>
        <v/>
      </c>
    </row>
    <row r="450">
      <c r="A450">
        <f>IF(SP!D93="","","SP")</f>
        <v/>
      </c>
      <c r="B450">
        <f>IF(SP!C93="","",SP!C93)</f>
        <v/>
      </c>
      <c r="C450">
        <f>IF(SP!B93="","",SP!B93)</f>
        <v/>
      </c>
      <c r="D450">
        <f>IF(SP!D93="","",SP!D93)</f>
        <v/>
      </c>
      <c r="E450">
        <f>IF(SP!F93="","",SP!F93)</f>
        <v/>
      </c>
      <c r="F450">
        <f>IF(SP!I93="","",SP!I93)</f>
        <v/>
      </c>
      <c r="G450">
        <f>IF(SP!M93="","",SP!M93)</f>
        <v/>
      </c>
      <c r="H450">
        <f>IF(SP!N93="","",SP!N93)</f>
        <v/>
      </c>
      <c r="I450">
        <f>IF(SP!O93="","",SP!O93)</f>
        <v/>
      </c>
      <c r="J450">
        <f>IF(D450="","",IF(F450="","",G450+ROW()/100000))</f>
        <v/>
      </c>
    </row>
    <row r="451">
      <c r="A451">
        <f>IF(SP!D94="","","SP")</f>
        <v/>
      </c>
      <c r="B451">
        <f>IF(SP!C94="","",SP!C94)</f>
        <v/>
      </c>
      <c r="C451">
        <f>IF(SP!B94="","",SP!B94)</f>
        <v/>
      </c>
      <c r="D451">
        <f>IF(SP!D94="","",SP!D94)</f>
        <v/>
      </c>
      <c r="E451">
        <f>IF(SP!F94="","",SP!F94)</f>
        <v/>
      </c>
      <c r="F451">
        <f>IF(SP!I94="","",SP!I94)</f>
        <v/>
      </c>
      <c r="G451">
        <f>IF(SP!M94="","",SP!M94)</f>
        <v/>
      </c>
      <c r="H451">
        <f>IF(SP!N94="","",SP!N94)</f>
        <v/>
      </c>
      <c r="I451">
        <f>IF(SP!O94="","",SP!O94)</f>
        <v/>
      </c>
      <c r="J451">
        <f>IF(D451="","",IF(F451="","",G451+ROW()/100000))</f>
        <v/>
      </c>
    </row>
    <row r="452">
      <c r="A452">
        <f>IF(SP!D95="","","SP")</f>
        <v/>
      </c>
      <c r="B452">
        <f>IF(SP!C95="","",SP!C95)</f>
        <v/>
      </c>
      <c r="C452">
        <f>IF(SP!B95="","",SP!B95)</f>
        <v/>
      </c>
      <c r="D452">
        <f>IF(SP!D95="","",SP!D95)</f>
        <v/>
      </c>
      <c r="E452">
        <f>IF(SP!F95="","",SP!F95)</f>
        <v/>
      </c>
      <c r="F452">
        <f>IF(SP!I95="","",SP!I95)</f>
        <v/>
      </c>
      <c r="G452">
        <f>IF(SP!M95="","",SP!M95)</f>
        <v/>
      </c>
      <c r="H452">
        <f>IF(SP!N95="","",SP!N95)</f>
        <v/>
      </c>
      <c r="I452">
        <f>IF(SP!O95="","",SP!O95)</f>
        <v/>
      </c>
      <c r="J452">
        <f>IF(D452="","",IF(F452="","",G452+ROW()/100000))</f>
        <v/>
      </c>
    </row>
    <row r="453">
      <c r="A453">
        <f>IF(SP!D96="","","SP")</f>
        <v/>
      </c>
      <c r="B453">
        <f>IF(SP!C96="","",SP!C96)</f>
        <v/>
      </c>
      <c r="C453">
        <f>IF(SP!B96="","",SP!B96)</f>
        <v/>
      </c>
      <c r="D453">
        <f>IF(SP!D96="","",SP!D96)</f>
        <v/>
      </c>
      <c r="E453">
        <f>IF(SP!F96="","",SP!F96)</f>
        <v/>
      </c>
      <c r="F453">
        <f>IF(SP!I96="","",SP!I96)</f>
        <v/>
      </c>
      <c r="G453">
        <f>IF(SP!M96="","",SP!M96)</f>
        <v/>
      </c>
      <c r="H453">
        <f>IF(SP!N96="","",SP!N96)</f>
        <v/>
      </c>
      <c r="I453">
        <f>IF(SP!O96="","",SP!O96)</f>
        <v/>
      </c>
      <c r="J453">
        <f>IF(D453="","",IF(F453="","",G453+ROW()/100000))</f>
        <v/>
      </c>
    </row>
    <row r="454">
      <c r="A454">
        <f>IF(SP!D97="","","SP")</f>
        <v/>
      </c>
      <c r="B454">
        <f>IF(SP!C97="","",SP!C97)</f>
        <v/>
      </c>
      <c r="C454">
        <f>IF(SP!B97="","",SP!B97)</f>
        <v/>
      </c>
      <c r="D454">
        <f>IF(SP!D97="","",SP!D97)</f>
        <v/>
      </c>
      <c r="E454">
        <f>IF(SP!F97="","",SP!F97)</f>
        <v/>
      </c>
      <c r="F454">
        <f>IF(SP!I97="","",SP!I97)</f>
        <v/>
      </c>
      <c r="G454">
        <f>IF(SP!M97="","",SP!M97)</f>
        <v/>
      </c>
      <c r="H454">
        <f>IF(SP!N97="","",SP!N97)</f>
        <v/>
      </c>
      <c r="I454">
        <f>IF(SP!O97="","",SP!O97)</f>
        <v/>
      </c>
      <c r="J454">
        <f>IF(D454="","",IF(F454="","",G454+ROW()/100000))</f>
        <v/>
      </c>
    </row>
    <row r="455">
      <c r="A455">
        <f>IF(SP!D98="","","SP")</f>
        <v/>
      </c>
      <c r="B455">
        <f>IF(SP!C98="","",SP!C98)</f>
        <v/>
      </c>
      <c r="C455">
        <f>IF(SP!B98="","",SP!B98)</f>
        <v/>
      </c>
      <c r="D455">
        <f>IF(SP!D98="","",SP!D98)</f>
        <v/>
      </c>
      <c r="E455">
        <f>IF(SP!F98="","",SP!F98)</f>
        <v/>
      </c>
      <c r="F455">
        <f>IF(SP!I98="","",SP!I98)</f>
        <v/>
      </c>
      <c r="G455">
        <f>IF(SP!M98="","",SP!M98)</f>
        <v/>
      </c>
      <c r="H455">
        <f>IF(SP!N98="","",SP!N98)</f>
        <v/>
      </c>
      <c r="I455">
        <f>IF(SP!O98="","",SP!O98)</f>
        <v/>
      </c>
      <c r="J455">
        <f>IF(D455="","",IF(F455="","",G455+ROW()/100000))</f>
        <v/>
      </c>
    </row>
    <row r="456">
      <c r="A456">
        <f>IF(SP!D99="","","SP")</f>
        <v/>
      </c>
      <c r="B456">
        <f>IF(SP!C99="","",SP!C99)</f>
        <v/>
      </c>
      <c r="C456">
        <f>IF(SP!B99="","",SP!B99)</f>
        <v/>
      </c>
      <c r="D456">
        <f>IF(SP!D99="","",SP!D99)</f>
        <v/>
      </c>
      <c r="E456">
        <f>IF(SP!F99="","",SP!F99)</f>
        <v/>
      </c>
      <c r="F456">
        <f>IF(SP!I99="","",SP!I99)</f>
        <v/>
      </c>
      <c r="G456">
        <f>IF(SP!M99="","",SP!M99)</f>
        <v/>
      </c>
      <c r="H456">
        <f>IF(SP!N99="","",SP!N99)</f>
        <v/>
      </c>
      <c r="I456">
        <f>IF(SP!O99="","",SP!O99)</f>
        <v/>
      </c>
      <c r="J456">
        <f>IF(D456="","",IF(F456="","",G456+ROW()/100000))</f>
        <v/>
      </c>
    </row>
    <row r="457">
      <c r="A457">
        <f>IF(SP!D100="","","SP")</f>
        <v/>
      </c>
      <c r="B457">
        <f>IF(SP!C100="","",SP!C100)</f>
        <v/>
      </c>
      <c r="C457">
        <f>IF(SP!B100="","",SP!B100)</f>
        <v/>
      </c>
      <c r="D457">
        <f>IF(SP!D100="","",SP!D100)</f>
        <v/>
      </c>
      <c r="E457">
        <f>IF(SP!F100="","",SP!F100)</f>
        <v/>
      </c>
      <c r="F457">
        <f>IF(SP!I100="","",SP!I100)</f>
        <v/>
      </c>
      <c r="G457">
        <f>IF(SP!M100="","",SP!M100)</f>
        <v/>
      </c>
      <c r="H457">
        <f>IF(SP!N100="","",SP!N100)</f>
        <v/>
      </c>
      <c r="I457">
        <f>IF(SP!O100="","",SP!O100)</f>
        <v/>
      </c>
      <c r="J457">
        <f>IF(D457="","",IF(F457="","",G457+ROW()/100000))</f>
        <v/>
      </c>
    </row>
    <row r="458">
      <c r="A458">
        <f>IF(SP!D101="","","SP")</f>
        <v/>
      </c>
      <c r="B458">
        <f>IF(SP!C101="","",SP!C101)</f>
        <v/>
      </c>
      <c r="C458">
        <f>IF(SP!B101="","",SP!B101)</f>
        <v/>
      </c>
      <c r="D458">
        <f>IF(SP!D101="","",SP!D101)</f>
        <v/>
      </c>
      <c r="E458">
        <f>IF(SP!F101="","",SP!F101)</f>
        <v/>
      </c>
      <c r="F458">
        <f>IF(SP!I101="","",SP!I101)</f>
        <v/>
      </c>
      <c r="G458">
        <f>IF(SP!M101="","",SP!M101)</f>
        <v/>
      </c>
      <c r="H458">
        <f>IF(SP!N101="","",SP!N101)</f>
        <v/>
      </c>
      <c r="I458">
        <f>IF(SP!O101="","",SP!O101)</f>
        <v/>
      </c>
      <c r="J458">
        <f>IF(D458="","",IF(F458="","",G458+ROW()/100000))</f>
        <v/>
      </c>
    </row>
    <row r="459">
      <c r="A459">
        <f>IF(SP!D102="","","SP")</f>
        <v/>
      </c>
      <c r="B459">
        <f>IF(SP!C102="","",SP!C102)</f>
        <v/>
      </c>
      <c r="C459">
        <f>IF(SP!B102="","",SP!B102)</f>
        <v/>
      </c>
      <c r="D459">
        <f>IF(SP!D102="","",SP!D102)</f>
        <v/>
      </c>
      <c r="E459">
        <f>IF(SP!F102="","",SP!F102)</f>
        <v/>
      </c>
      <c r="F459">
        <f>IF(SP!I102="","",SP!I102)</f>
        <v/>
      </c>
      <c r="G459">
        <f>IF(SP!M102="","",SP!M102)</f>
        <v/>
      </c>
      <c r="H459">
        <f>IF(SP!N102="","",SP!N102)</f>
        <v/>
      </c>
      <c r="I459">
        <f>IF(SP!O102="","",SP!O102)</f>
        <v/>
      </c>
      <c r="J459">
        <f>IF(D459="","",IF(F459="","",G459+ROW()/100000))</f>
        <v/>
      </c>
    </row>
    <row r="460">
      <c r="A460">
        <f>IF(SP!D103="","","SP")</f>
        <v/>
      </c>
      <c r="B460">
        <f>IF(SP!C103="","",SP!C103)</f>
        <v/>
      </c>
      <c r="C460">
        <f>IF(SP!B103="","",SP!B103)</f>
        <v/>
      </c>
      <c r="D460">
        <f>IF(SP!D103="","",SP!D103)</f>
        <v/>
      </c>
      <c r="E460">
        <f>IF(SP!F103="","",SP!F103)</f>
        <v/>
      </c>
      <c r="F460">
        <f>IF(SP!I103="","",SP!I103)</f>
        <v/>
      </c>
      <c r="G460">
        <f>IF(SP!M103="","",SP!M103)</f>
        <v/>
      </c>
      <c r="H460">
        <f>IF(SP!N103="","",SP!N103)</f>
        <v/>
      </c>
      <c r="I460">
        <f>IF(SP!O103="","",SP!O103)</f>
        <v/>
      </c>
      <c r="J460">
        <f>IF(D460="","",IF(F460="","",G460+ROW()/100000))</f>
        <v/>
      </c>
    </row>
    <row r="461">
      <c r="A461">
        <f>IF(SP!D104="","","SP")</f>
        <v/>
      </c>
      <c r="B461">
        <f>IF(SP!C104="","",SP!C104)</f>
        <v/>
      </c>
      <c r="C461">
        <f>IF(SP!B104="","",SP!B104)</f>
        <v/>
      </c>
      <c r="D461">
        <f>IF(SP!D104="","",SP!D104)</f>
        <v/>
      </c>
      <c r="E461">
        <f>IF(SP!F104="","",SP!F104)</f>
        <v/>
      </c>
      <c r="F461">
        <f>IF(SP!I104="","",SP!I104)</f>
        <v/>
      </c>
      <c r="G461">
        <f>IF(SP!M104="","",SP!M104)</f>
        <v/>
      </c>
      <c r="H461">
        <f>IF(SP!N104="","",SP!N104)</f>
        <v/>
      </c>
      <c r="I461">
        <f>IF(SP!O104="","",SP!O104)</f>
        <v/>
      </c>
      <c r="J461">
        <f>IF(D461="","",IF(F461="","",G461+ROW()/100000))</f>
        <v/>
      </c>
    </row>
    <row r="462">
      <c r="A462">
        <f>IF(SP!D105="","","SP")</f>
        <v/>
      </c>
      <c r="B462">
        <f>IF(SP!C105="","",SP!C105)</f>
        <v/>
      </c>
      <c r="C462">
        <f>IF(SP!B105="","",SP!B105)</f>
        <v/>
      </c>
      <c r="D462">
        <f>IF(SP!D105="","",SP!D105)</f>
        <v/>
      </c>
      <c r="E462">
        <f>IF(SP!F105="","",SP!F105)</f>
        <v/>
      </c>
      <c r="F462">
        <f>IF(SP!I105="","",SP!I105)</f>
        <v/>
      </c>
      <c r="G462">
        <f>IF(SP!M105="","",SP!M105)</f>
        <v/>
      </c>
      <c r="H462">
        <f>IF(SP!N105="","",SP!N105)</f>
        <v/>
      </c>
      <c r="I462">
        <f>IF(SP!O105="","",SP!O105)</f>
        <v/>
      </c>
      <c r="J462">
        <f>IF(D462="","",IF(F462="","",G462+ROW()/100000))</f>
        <v/>
      </c>
    </row>
    <row r="463">
      <c r="A463">
        <f>IF(SP!D106="","","SP")</f>
        <v/>
      </c>
      <c r="B463">
        <f>IF(SP!C106="","",SP!C106)</f>
        <v/>
      </c>
      <c r="C463">
        <f>IF(SP!B106="","",SP!B106)</f>
        <v/>
      </c>
      <c r="D463">
        <f>IF(SP!D106="","",SP!D106)</f>
        <v/>
      </c>
      <c r="E463">
        <f>IF(SP!F106="","",SP!F106)</f>
        <v/>
      </c>
      <c r="F463">
        <f>IF(SP!I106="","",SP!I106)</f>
        <v/>
      </c>
      <c r="G463">
        <f>IF(SP!M106="","",SP!M106)</f>
        <v/>
      </c>
      <c r="H463">
        <f>IF(SP!N106="","",SP!N106)</f>
        <v/>
      </c>
      <c r="I463">
        <f>IF(SP!O106="","",SP!O106)</f>
        <v/>
      </c>
      <c r="J463">
        <f>IF(D463="","",IF(F463="","",G463+ROW()/100000))</f>
        <v/>
      </c>
    </row>
    <row r="464">
      <c r="A464">
        <f>IF(SP!D107="","","SP")</f>
        <v/>
      </c>
      <c r="B464">
        <f>IF(SP!C107="","",SP!C107)</f>
        <v/>
      </c>
      <c r="C464">
        <f>IF(SP!B107="","",SP!B107)</f>
        <v/>
      </c>
      <c r="D464">
        <f>IF(SP!D107="","",SP!D107)</f>
        <v/>
      </c>
      <c r="E464">
        <f>IF(SP!F107="","",SP!F107)</f>
        <v/>
      </c>
      <c r="F464">
        <f>IF(SP!I107="","",SP!I107)</f>
        <v/>
      </c>
      <c r="G464">
        <f>IF(SP!M107="","",SP!M107)</f>
        <v/>
      </c>
      <c r="H464">
        <f>IF(SP!N107="","",SP!N107)</f>
        <v/>
      </c>
      <c r="I464">
        <f>IF(SP!O107="","",SP!O107)</f>
        <v/>
      </c>
      <c r="J464">
        <f>IF(D464="","",IF(F464="","",G464+ROW()/100000))</f>
        <v/>
      </c>
    </row>
    <row r="465">
      <c r="A465">
        <f>IF(SP!D108="","","SP")</f>
        <v/>
      </c>
      <c r="B465">
        <f>IF(SP!C108="","",SP!C108)</f>
        <v/>
      </c>
      <c r="C465">
        <f>IF(SP!B108="","",SP!B108)</f>
        <v/>
      </c>
      <c r="D465">
        <f>IF(SP!D108="","",SP!D108)</f>
        <v/>
      </c>
      <c r="E465">
        <f>IF(SP!F108="","",SP!F108)</f>
        <v/>
      </c>
      <c r="F465">
        <f>IF(SP!I108="","",SP!I108)</f>
        <v/>
      </c>
      <c r="G465">
        <f>IF(SP!M108="","",SP!M108)</f>
        <v/>
      </c>
      <c r="H465">
        <f>IF(SP!N108="","",SP!N108)</f>
        <v/>
      </c>
      <c r="I465">
        <f>IF(SP!O108="","",SP!O108)</f>
        <v/>
      </c>
      <c r="J465">
        <f>IF(D465="","",IF(F465="","",G465+ROW()/100000))</f>
        <v/>
      </c>
    </row>
    <row r="466">
      <c r="A466">
        <f>IF(SP!D109="","","SP")</f>
        <v/>
      </c>
      <c r="B466">
        <f>IF(SP!C109="","",SP!C109)</f>
        <v/>
      </c>
      <c r="C466">
        <f>IF(SP!B109="","",SP!B109)</f>
        <v/>
      </c>
      <c r="D466">
        <f>IF(SP!D109="","",SP!D109)</f>
        <v/>
      </c>
      <c r="E466">
        <f>IF(SP!F109="","",SP!F109)</f>
        <v/>
      </c>
      <c r="F466">
        <f>IF(SP!I109="","",SP!I109)</f>
        <v/>
      </c>
      <c r="G466">
        <f>IF(SP!M109="","",SP!M109)</f>
        <v/>
      </c>
      <c r="H466">
        <f>IF(SP!N109="","",SP!N109)</f>
        <v/>
      </c>
      <c r="I466">
        <f>IF(SP!O109="","",SP!O109)</f>
        <v/>
      </c>
      <c r="J466">
        <f>IF(D466="","",IF(F466="","",G466+ROW()/100000))</f>
        <v/>
      </c>
    </row>
    <row r="467">
      <c r="A467">
        <f>IF(SP!D110="","","SP")</f>
        <v/>
      </c>
      <c r="B467">
        <f>IF(SP!C110="","",SP!C110)</f>
        <v/>
      </c>
      <c r="C467">
        <f>IF(SP!B110="","",SP!B110)</f>
        <v/>
      </c>
      <c r="D467">
        <f>IF(SP!D110="","",SP!D110)</f>
        <v/>
      </c>
      <c r="E467">
        <f>IF(SP!F110="","",SP!F110)</f>
        <v/>
      </c>
      <c r="F467">
        <f>IF(SP!I110="","",SP!I110)</f>
        <v/>
      </c>
      <c r="G467">
        <f>IF(SP!M110="","",SP!M110)</f>
        <v/>
      </c>
      <c r="H467">
        <f>IF(SP!N110="","",SP!N110)</f>
        <v/>
      </c>
      <c r="I467">
        <f>IF(SP!O110="","",SP!O110)</f>
        <v/>
      </c>
      <c r="J467">
        <f>IF(D467="","",IF(F467="","",G467+ROW()/100000))</f>
        <v/>
      </c>
    </row>
    <row r="468">
      <c r="A468">
        <f>IF(SP!D111="","","SP")</f>
        <v/>
      </c>
      <c r="B468">
        <f>IF(SP!C111="","",SP!C111)</f>
        <v/>
      </c>
      <c r="C468">
        <f>IF(SP!B111="","",SP!B111)</f>
        <v/>
      </c>
      <c r="D468">
        <f>IF(SP!D111="","",SP!D111)</f>
        <v/>
      </c>
      <c r="E468">
        <f>IF(SP!F111="","",SP!F111)</f>
        <v/>
      </c>
      <c r="F468">
        <f>IF(SP!I111="","",SP!I111)</f>
        <v/>
      </c>
      <c r="G468">
        <f>IF(SP!M111="","",SP!M111)</f>
        <v/>
      </c>
      <c r="H468">
        <f>IF(SP!N111="","",SP!N111)</f>
        <v/>
      </c>
      <c r="I468">
        <f>IF(SP!O111="","",SP!O111)</f>
        <v/>
      </c>
      <c r="J468">
        <f>IF(D468="","",IF(F468="","",G468+ROW()/100000))</f>
        <v/>
      </c>
    </row>
    <row r="469">
      <c r="A469">
        <f>IF(SP!D112="","","SP")</f>
        <v/>
      </c>
      <c r="B469">
        <f>IF(SP!C112="","",SP!C112)</f>
        <v/>
      </c>
      <c r="C469">
        <f>IF(SP!B112="","",SP!B112)</f>
        <v/>
      </c>
      <c r="D469">
        <f>IF(SP!D112="","",SP!D112)</f>
        <v/>
      </c>
      <c r="E469">
        <f>IF(SP!F112="","",SP!F112)</f>
        <v/>
      </c>
      <c r="F469">
        <f>IF(SP!I112="","",SP!I112)</f>
        <v/>
      </c>
      <c r="G469">
        <f>IF(SP!M112="","",SP!M112)</f>
        <v/>
      </c>
      <c r="H469">
        <f>IF(SP!N112="","",SP!N112)</f>
        <v/>
      </c>
      <c r="I469">
        <f>IF(SP!O112="","",SP!O112)</f>
        <v/>
      </c>
      <c r="J469">
        <f>IF(D469="","",IF(F469="","",G469+ROW()/100000))</f>
        <v/>
      </c>
    </row>
    <row r="470">
      <c r="A470">
        <f>IF(SP!D113="","","SP")</f>
        <v/>
      </c>
      <c r="B470">
        <f>IF(SP!C113="","",SP!C113)</f>
        <v/>
      </c>
      <c r="C470">
        <f>IF(SP!B113="","",SP!B113)</f>
        <v/>
      </c>
      <c r="D470">
        <f>IF(SP!D113="","",SP!D113)</f>
        <v/>
      </c>
      <c r="E470">
        <f>IF(SP!F113="","",SP!F113)</f>
        <v/>
      </c>
      <c r="F470">
        <f>IF(SP!I113="","",SP!I113)</f>
        <v/>
      </c>
      <c r="G470">
        <f>IF(SP!M113="","",SP!M113)</f>
        <v/>
      </c>
      <c r="H470">
        <f>IF(SP!N113="","",SP!N113)</f>
        <v/>
      </c>
      <c r="I470">
        <f>IF(SP!O113="","",SP!O113)</f>
        <v/>
      </c>
      <c r="J470">
        <f>IF(D470="","",IF(F470="","",G470+ROW()/100000))</f>
        <v/>
      </c>
    </row>
    <row r="471">
      <c r="A471">
        <f>IF(SP!D114="","","SP")</f>
        <v/>
      </c>
      <c r="B471">
        <f>IF(SP!C114="","",SP!C114)</f>
        <v/>
      </c>
      <c r="C471">
        <f>IF(SP!B114="","",SP!B114)</f>
        <v/>
      </c>
      <c r="D471">
        <f>IF(SP!D114="","",SP!D114)</f>
        <v/>
      </c>
      <c r="E471">
        <f>IF(SP!F114="","",SP!F114)</f>
        <v/>
      </c>
      <c r="F471">
        <f>IF(SP!I114="","",SP!I114)</f>
        <v/>
      </c>
      <c r="G471">
        <f>IF(SP!M114="","",SP!M114)</f>
        <v/>
      </c>
      <c r="H471">
        <f>IF(SP!N114="","",SP!N114)</f>
        <v/>
      </c>
      <c r="I471">
        <f>IF(SP!O114="","",SP!O114)</f>
        <v/>
      </c>
      <c r="J471">
        <f>IF(D471="","",IF(F471="","",G471+ROW()/100000))</f>
        <v/>
      </c>
    </row>
    <row r="472">
      <c r="A472">
        <f>IF(SP!D115="","","SP")</f>
        <v/>
      </c>
      <c r="B472">
        <f>IF(SP!C115="","",SP!C115)</f>
        <v/>
      </c>
      <c r="C472">
        <f>IF(SP!B115="","",SP!B115)</f>
        <v/>
      </c>
      <c r="D472">
        <f>IF(SP!D115="","",SP!D115)</f>
        <v/>
      </c>
      <c r="E472">
        <f>IF(SP!F115="","",SP!F115)</f>
        <v/>
      </c>
      <c r="F472">
        <f>IF(SP!I115="","",SP!I115)</f>
        <v/>
      </c>
      <c r="G472">
        <f>IF(SP!M115="","",SP!M115)</f>
        <v/>
      </c>
      <c r="H472">
        <f>IF(SP!N115="","",SP!N115)</f>
        <v/>
      </c>
      <c r="I472">
        <f>IF(SP!O115="","",SP!O115)</f>
        <v/>
      </c>
      <c r="J472">
        <f>IF(D472="","",IF(F472="","",G472+ROW()/100000))</f>
        <v/>
      </c>
    </row>
    <row r="473">
      <c r="A473">
        <f>IF(SP!D116="","","SP")</f>
        <v/>
      </c>
      <c r="B473">
        <f>IF(SP!C116="","",SP!C116)</f>
        <v/>
      </c>
      <c r="C473">
        <f>IF(SP!B116="","",SP!B116)</f>
        <v/>
      </c>
      <c r="D473">
        <f>IF(SP!D116="","",SP!D116)</f>
        <v/>
      </c>
      <c r="E473">
        <f>IF(SP!F116="","",SP!F116)</f>
        <v/>
      </c>
      <c r="F473">
        <f>IF(SP!I116="","",SP!I116)</f>
        <v/>
      </c>
      <c r="G473">
        <f>IF(SP!M116="","",SP!M116)</f>
        <v/>
      </c>
      <c r="H473">
        <f>IF(SP!N116="","",SP!N116)</f>
        <v/>
      </c>
      <c r="I473">
        <f>IF(SP!O116="","",SP!O116)</f>
        <v/>
      </c>
      <c r="J473">
        <f>IF(D473="","",IF(F473="","",G473+ROW()/100000))</f>
        <v/>
      </c>
    </row>
    <row r="474">
      <c r="A474">
        <f>IF(SP!D117="","","SP")</f>
        <v/>
      </c>
      <c r="B474">
        <f>IF(SP!C117="","",SP!C117)</f>
        <v/>
      </c>
      <c r="C474">
        <f>IF(SP!B117="","",SP!B117)</f>
        <v/>
      </c>
      <c r="D474">
        <f>IF(SP!D117="","",SP!D117)</f>
        <v/>
      </c>
      <c r="E474">
        <f>IF(SP!F117="","",SP!F117)</f>
        <v/>
      </c>
      <c r="F474">
        <f>IF(SP!I117="","",SP!I117)</f>
        <v/>
      </c>
      <c r="G474">
        <f>IF(SP!M117="","",SP!M117)</f>
        <v/>
      </c>
      <c r="H474">
        <f>IF(SP!N117="","",SP!N117)</f>
        <v/>
      </c>
      <c r="I474">
        <f>IF(SP!O117="","",SP!O117)</f>
        <v/>
      </c>
      <c r="J474">
        <f>IF(D474="","",IF(F474="","",G474+ROW()/100000))</f>
        <v/>
      </c>
    </row>
    <row r="475">
      <c r="A475">
        <f>IF(SP!D118="","","SP")</f>
        <v/>
      </c>
      <c r="B475">
        <f>IF(SP!C118="","",SP!C118)</f>
        <v/>
      </c>
      <c r="C475">
        <f>IF(SP!B118="","",SP!B118)</f>
        <v/>
      </c>
      <c r="D475">
        <f>IF(SP!D118="","",SP!D118)</f>
        <v/>
      </c>
      <c r="E475">
        <f>IF(SP!F118="","",SP!F118)</f>
        <v/>
      </c>
      <c r="F475">
        <f>IF(SP!I118="","",SP!I118)</f>
        <v/>
      </c>
      <c r="G475">
        <f>IF(SP!M118="","",SP!M118)</f>
        <v/>
      </c>
      <c r="H475">
        <f>IF(SP!N118="","",SP!N118)</f>
        <v/>
      </c>
      <c r="I475">
        <f>IF(SP!O118="","",SP!O118)</f>
        <v/>
      </c>
      <c r="J475">
        <f>IF(D475="","",IF(F475="","",G475+ROW()/100000))</f>
        <v/>
      </c>
    </row>
    <row r="476">
      <c r="A476">
        <f>IF(SP!D119="","","SP")</f>
        <v/>
      </c>
      <c r="B476">
        <f>IF(SP!C119="","",SP!C119)</f>
        <v/>
      </c>
      <c r="C476">
        <f>IF(SP!B119="","",SP!B119)</f>
        <v/>
      </c>
      <c r="D476">
        <f>IF(SP!D119="","",SP!D119)</f>
        <v/>
      </c>
      <c r="E476">
        <f>IF(SP!F119="","",SP!F119)</f>
        <v/>
      </c>
      <c r="F476">
        <f>IF(SP!I119="","",SP!I119)</f>
        <v/>
      </c>
      <c r="G476">
        <f>IF(SP!M119="","",SP!M119)</f>
        <v/>
      </c>
      <c r="H476">
        <f>IF(SP!N119="","",SP!N119)</f>
        <v/>
      </c>
      <c r="I476">
        <f>IF(SP!O119="","",SP!O119)</f>
        <v/>
      </c>
      <c r="J476">
        <f>IF(D476="","",IF(F476="","",G476+ROW()/100000))</f>
        <v/>
      </c>
    </row>
    <row r="477">
      <c r="A477">
        <f>IF(SP!D120="","","SP")</f>
        <v/>
      </c>
      <c r="B477">
        <f>IF(SP!C120="","",SP!C120)</f>
        <v/>
      </c>
      <c r="C477">
        <f>IF(SP!B120="","",SP!B120)</f>
        <v/>
      </c>
      <c r="D477">
        <f>IF(SP!D120="","",SP!D120)</f>
        <v/>
      </c>
      <c r="E477">
        <f>IF(SP!F120="","",SP!F120)</f>
        <v/>
      </c>
      <c r="F477">
        <f>IF(SP!I120="","",SP!I120)</f>
        <v/>
      </c>
      <c r="G477">
        <f>IF(SP!M120="","",SP!M120)</f>
        <v/>
      </c>
      <c r="H477">
        <f>IF(SP!N120="","",SP!N120)</f>
        <v/>
      </c>
      <c r="I477">
        <f>IF(SP!O120="","",SP!O120)</f>
        <v/>
      </c>
      <c r="J477">
        <f>IF(D477="","",IF(F477="","",G477+ROW()/100000))</f>
        <v/>
      </c>
    </row>
    <row r="478">
      <c r="A478">
        <f>IF(SP!D121="","","SP")</f>
        <v/>
      </c>
      <c r="B478">
        <f>IF(SP!C121="","",SP!C121)</f>
        <v/>
      </c>
      <c r="C478">
        <f>IF(SP!B121="","",SP!B121)</f>
        <v/>
      </c>
      <c r="D478">
        <f>IF(SP!D121="","",SP!D121)</f>
        <v/>
      </c>
      <c r="E478">
        <f>IF(SP!F121="","",SP!F121)</f>
        <v/>
      </c>
      <c r="F478">
        <f>IF(SP!I121="","",SP!I121)</f>
        <v/>
      </c>
      <c r="G478">
        <f>IF(SP!M121="","",SP!M121)</f>
        <v/>
      </c>
      <c r="H478">
        <f>IF(SP!N121="","",SP!N121)</f>
        <v/>
      </c>
      <c r="I478">
        <f>IF(SP!O121="","",SP!O121)</f>
        <v/>
      </c>
      <c r="J478">
        <f>IF(D478="","",IF(F478="","",G478+ROW()/100000))</f>
        <v/>
      </c>
    </row>
    <row r="479">
      <c r="A479">
        <f>IF(SP!D122="","","SP")</f>
        <v/>
      </c>
      <c r="B479">
        <f>IF(SP!C122="","",SP!C122)</f>
        <v/>
      </c>
      <c r="C479">
        <f>IF(SP!B122="","",SP!B122)</f>
        <v/>
      </c>
      <c r="D479">
        <f>IF(SP!D122="","",SP!D122)</f>
        <v/>
      </c>
      <c r="E479">
        <f>IF(SP!F122="","",SP!F122)</f>
        <v/>
      </c>
      <c r="F479">
        <f>IF(SP!I122="","",SP!I122)</f>
        <v/>
      </c>
      <c r="G479">
        <f>IF(SP!M122="","",SP!M122)</f>
        <v/>
      </c>
      <c r="H479">
        <f>IF(SP!N122="","",SP!N122)</f>
        <v/>
      </c>
      <c r="I479">
        <f>IF(SP!O122="","",SP!O122)</f>
        <v/>
      </c>
      <c r="J479">
        <f>IF(D479="","",IF(F479="","",G479+ROW()/100000))</f>
        <v/>
      </c>
    </row>
    <row r="480">
      <c r="A480">
        <f>IF(SP!D123="","","SP")</f>
        <v/>
      </c>
      <c r="B480">
        <f>IF(SP!C123="","",SP!C123)</f>
        <v/>
      </c>
      <c r="C480">
        <f>IF(SP!B123="","",SP!B123)</f>
        <v/>
      </c>
      <c r="D480">
        <f>IF(SP!D123="","",SP!D123)</f>
        <v/>
      </c>
      <c r="E480">
        <f>IF(SP!F123="","",SP!F123)</f>
        <v/>
      </c>
      <c r="F480">
        <f>IF(SP!I123="","",SP!I123)</f>
        <v/>
      </c>
      <c r="G480">
        <f>IF(SP!M123="","",SP!M123)</f>
        <v/>
      </c>
      <c r="H480">
        <f>IF(SP!N123="","",SP!N123)</f>
        <v/>
      </c>
      <c r="I480">
        <f>IF(SP!O123="","",SP!O123)</f>
        <v/>
      </c>
      <c r="J480">
        <f>IF(D480="","",IF(F480="","",G480+ROW()/100000))</f>
        <v/>
      </c>
    </row>
    <row r="481">
      <c r="A481">
        <f>IF(SP!D124="","","SP")</f>
        <v/>
      </c>
      <c r="B481">
        <f>IF(SP!C124="","",SP!C124)</f>
        <v/>
      </c>
      <c r="C481">
        <f>IF(SP!B124="","",SP!B124)</f>
        <v/>
      </c>
      <c r="D481">
        <f>IF(SP!D124="","",SP!D124)</f>
        <v/>
      </c>
      <c r="E481">
        <f>IF(SP!F124="","",SP!F124)</f>
        <v/>
      </c>
      <c r="F481">
        <f>IF(SP!I124="","",SP!I124)</f>
        <v/>
      </c>
      <c r="G481">
        <f>IF(SP!M124="","",SP!M124)</f>
        <v/>
      </c>
      <c r="H481">
        <f>IF(SP!N124="","",SP!N124)</f>
        <v/>
      </c>
      <c r="I481">
        <f>IF(SP!O124="","",SP!O124)</f>
        <v/>
      </c>
      <c r="J481">
        <f>IF(D481="","",IF(F481="","",G481+ROW()/100000))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3" max="3"/>
    <col width="22" customWidth="1" min="5" max="5"/>
    <col width="22" customWidth="1" min="7" max="7"/>
    <col width="22" customWidth="1" min="9" max="9"/>
    <col width="12" customWidth="1" min="11" max="11"/>
    <col width="32" customWidth="1" min="12" max="12"/>
    <col width="26" customWidth="1" min="13" max="13"/>
    <col width="22" customWidth="1" min="15" max="15"/>
  </cols>
  <sheetData>
    <row r="1">
      <c r="A1" s="31" t="inlineStr">
        <is>
          <t>Dropdown lists — used by every hotel tab. Edit here to change the choices.</t>
        </is>
      </c>
    </row>
    <row r="3">
      <c r="A3" s="44" t="inlineStr">
        <is>
          <t>Property</t>
        </is>
      </c>
      <c r="C3" s="44" t="inlineStr">
        <is>
          <t>Category</t>
        </is>
      </c>
      <c r="E3" s="44" t="inlineStr">
        <is>
          <t>Renewal cycle</t>
        </is>
      </c>
      <c r="G3" s="44" t="inlineStr">
        <is>
          <t>Auto-renew</t>
        </is>
      </c>
      <c r="I3" s="44" t="inlineStr">
        <is>
          <t>Status (reference)</t>
        </is>
      </c>
      <c r="K3" s="44" t="inlineStr">
        <is>
          <t>Property</t>
        </is>
      </c>
      <c r="L3" s="44" t="inlineStr">
        <is>
          <t>Full name</t>
        </is>
      </c>
      <c r="M3" s="44" t="inlineStr">
        <is>
          <t>Legal entity</t>
        </is>
      </c>
      <c r="O3" s="44" t="inlineStr">
        <is>
          <t>Renew by</t>
        </is>
      </c>
    </row>
    <row r="4">
      <c r="A4" t="inlineStr">
        <is>
          <t>SR9</t>
        </is>
      </c>
      <c r="C4" t="inlineStr">
        <is>
          <t>Licence</t>
        </is>
      </c>
      <c r="E4" t="inlineStr">
        <is>
          <t>Annual</t>
        </is>
      </c>
      <c r="G4" t="inlineStr">
        <is>
          <t>Yes</t>
        </is>
      </c>
      <c r="I4" t="inlineStr">
        <is>
          <t>Expired</t>
        </is>
      </c>
      <c r="K4" t="inlineStr">
        <is>
          <t>SR9</t>
        </is>
      </c>
      <c r="L4" t="inlineStr">
        <is>
          <t>Somerset Rama 9 Bangkok</t>
        </is>
      </c>
      <c r="M4" t="inlineStr">
        <is>
          <t>AMH Ratchada Co., Ltd.</t>
        </is>
      </c>
      <c r="O4" t="inlineStr">
        <is>
          <t>Owner</t>
        </is>
      </c>
    </row>
    <row r="5">
      <c r="A5" t="inlineStr">
        <is>
          <t>AES</t>
        </is>
      </c>
      <c r="C5" t="inlineStr">
        <is>
          <t>Permit</t>
        </is>
      </c>
      <c r="E5" t="inlineStr">
        <is>
          <t>Semi-annual</t>
        </is>
      </c>
      <c r="G5" t="inlineStr">
        <is>
          <t>No</t>
        </is>
      </c>
      <c r="I5" t="inlineStr">
        <is>
          <t>Urgent</t>
        </is>
      </c>
      <c r="K5" t="inlineStr">
        <is>
          <t>AES</t>
        </is>
      </c>
      <c r="L5" t="inlineStr">
        <is>
          <t>Ascott Embassy Sathorn Bangkok</t>
        </is>
      </c>
      <c r="M5" t="inlineStr">
        <is>
          <t>AMH Sathorn Co., Ltd.</t>
        </is>
      </c>
      <c r="O5" t="inlineStr">
        <is>
          <t>Property</t>
        </is>
      </c>
    </row>
    <row r="6">
      <c r="A6" t="inlineStr">
        <is>
          <t>LYF</t>
        </is>
      </c>
      <c r="C6" t="inlineStr">
        <is>
          <t>Certificate</t>
        </is>
      </c>
      <c r="E6" t="inlineStr">
        <is>
          <t>Every 2 years</t>
        </is>
      </c>
      <c r="I6" t="inlineStr">
        <is>
          <t>Due soon</t>
        </is>
      </c>
      <c r="K6" t="inlineStr">
        <is>
          <t>LYF</t>
        </is>
      </c>
      <c r="L6" t="inlineStr">
        <is>
          <t>lyf Sukhumvit 8 Bangkok</t>
        </is>
      </c>
      <c r="M6" t="inlineStr">
        <is>
          <t>AMH Sukhumvit 8 Co., Ltd.</t>
        </is>
      </c>
    </row>
    <row r="7">
      <c r="A7" t="inlineStr">
        <is>
          <t>SP</t>
        </is>
      </c>
      <c r="C7" t="inlineStr">
        <is>
          <t>Tax / Registration</t>
        </is>
      </c>
      <c r="E7" t="inlineStr">
        <is>
          <t>Every 3 years</t>
        </is>
      </c>
      <c r="I7" t="inlineStr">
        <is>
          <t>OK</t>
        </is>
      </c>
      <c r="K7" t="inlineStr">
        <is>
          <t>SP</t>
        </is>
      </c>
      <c r="L7" t="inlineStr">
        <is>
          <t>Somerset Pattaya</t>
        </is>
      </c>
      <c r="M7" t="inlineStr">
        <is>
          <t>AMH Pattaya Co., Ltd.</t>
        </is>
      </c>
    </row>
    <row r="8">
      <c r="C8" t="inlineStr">
        <is>
          <t>Corporate</t>
        </is>
      </c>
      <c r="E8" t="inlineStr">
        <is>
          <t>Every 5 years</t>
        </is>
      </c>
      <c r="I8" t="inlineStr">
        <is>
          <t>No date</t>
        </is>
      </c>
    </row>
    <row r="9">
      <c r="C9" t="inlineStr">
        <is>
          <t>Insurance</t>
        </is>
      </c>
      <c r="E9" t="inlineStr">
        <is>
          <t>One-off</t>
        </is>
      </c>
    </row>
    <row r="10">
      <c r="C10" t="inlineStr">
        <is>
          <t>Contract - Management</t>
        </is>
      </c>
      <c r="E10" t="inlineStr">
        <is>
          <t>Rolling / evergreen</t>
        </is>
      </c>
    </row>
    <row r="11">
      <c r="C11" t="inlineStr">
        <is>
          <t>Contract - OTA</t>
        </is>
      </c>
      <c r="E11" t="inlineStr">
        <is>
          <t>Monthly</t>
        </is>
      </c>
    </row>
    <row r="12">
      <c r="C12" t="inlineStr">
        <is>
          <t>Contract - Service</t>
        </is>
      </c>
      <c r="E12" t="inlineStr">
        <is>
          <t>Other</t>
        </is>
      </c>
    </row>
    <row r="13">
      <c r="C13" t="inlineStr">
        <is>
          <t>Contract - Utility</t>
        </is>
      </c>
    </row>
    <row r="14">
      <c r="C14" t="inlineStr">
        <is>
          <t>Contract - Lease / 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2026-08-20T06:37:49Z</dcterms:created>
  <dcterms:modified xsi:type="dcterms:W3CDTF">2026-08-20T06:37:50Z</dcterms:modified>
</cp:coreProperties>
</file>