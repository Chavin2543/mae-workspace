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Guide" sheetId="1" state="visible" r:id="rId1"/>
    <sheet name="Dashboard" sheetId="2" state="visible" r:id="rId2"/>
    <sheet name="Register" sheetId="3" state="visible" r:id="rId3"/>
    <sheet name="Lists" sheetId="4" state="visible" r:id="rId4"/>
  </sheets>
  <definedNames>
    <definedName name="_xlnm._FilterDatabase" localSheetId="2" hidden="1">'Register'!$A$4:$U$404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b val="1"/>
      <color rgb="001F3864"/>
    </font>
    <font>
      <b val="1"/>
    </font>
    <font>
      <b val="1"/>
      <color rgb="00FFFFFF"/>
      <sz val="10"/>
    </font>
    <font>
      <b val="1"/>
      <color rgb="001F3864"/>
      <sz val="16"/>
    </font>
    <font>
      <color rgb="00595959"/>
      <sz val="10"/>
    </font>
    <font>
      <b val="1"/>
      <color rgb="001F3864"/>
      <sz val="12"/>
    </font>
    <font>
      <color rgb="00595959"/>
    </font>
    <font>
      <i val="1"/>
      <color rgb="00595959"/>
    </font>
    <font>
      <b val="1"/>
      <color rgb="005B3A8E"/>
      <sz val="12"/>
    </font>
    <font>
      <b val="1"/>
      <color rgb="00808080"/>
      <sz val="12"/>
    </font>
    <font>
      <b val="1"/>
      <color rgb="00FFFFFF"/>
    </font>
    <font>
      <b val="1"/>
      <color rgb="005B3A8E"/>
    </font>
    <font>
      <b val="1"/>
      <color rgb="00833C00"/>
    </font>
    <font>
      <b val="1"/>
      <color rgb="009C0006"/>
    </font>
    <font>
      <color rgb="007F6000"/>
    </font>
    <font>
      <color rgb="00375623"/>
    </font>
    <font>
      <color rgb="0080808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5B3A8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1" fillId="2" borderId="1" pivotButton="0" quotePrefix="0" xfId="0"/>
    <xf numFmtId="0" fontId="1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1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  <xf numFmtId="0" fontId="16" fillId="11" borderId="1" applyAlignment="1" pivotButton="0" quotePrefix="0" xfId="0">
      <alignment horizontal="center"/>
    </xf>
    <xf numFmtId="0" fontId="17" fillId="1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vertical="top"/>
    </xf>
    <xf numFmtId="0" fontId="3" fillId="2" borderId="0" pivotButton="0" quotePrefix="0" xfId="0"/>
  </cellXfs>
  <cellStyles count="1">
    <cellStyle name="Normal" xfId="0" builtinId="0" hidden="0"/>
  </cellStyles>
  <dxfs count="7">
    <dxf>
      <font>
        <b val="1"/>
        <color rgb="00833C00"/>
      </font>
      <fill>
        <patternFill patternType="solid">
          <fgColor rgb="00F8CBAD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7F6000"/>
      </font>
      <fill>
        <patternFill patternType="solid">
          <fgColor rgb="00FFE699"/>
        </patternFill>
      </fill>
    </dxf>
    <dxf>
      <font>
        <color rgb="00375623"/>
      </font>
      <fill>
        <patternFill patternType="solid">
          <fgColor rgb="00C6EFCE"/>
        </patternFill>
      </fill>
    </dxf>
    <dxf>
      <font>
        <b val="1"/>
        <color rgb="001F3864"/>
      </font>
      <fill>
        <patternFill patternType="solid">
          <fgColor rgb="00DDEBF7"/>
        </patternFill>
      </fill>
    </dxf>
    <dxf>
      <font>
        <b val="1"/>
        <color rgb="005B3A8E"/>
      </font>
      <fill>
        <patternFill patternType="solid">
          <fgColor rgb="00E4DFEC"/>
        </patternFill>
      </fill>
    </dxf>
    <dxf>
      <font>
        <color rgb="0080808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</cols>
  <sheetData>
    <row r="1" ht="26" customHeight="1">
      <c r="B1" s="1" t="inlineStr">
        <is>
          <t>How to use this file / วิธีใช้ไฟล์นี้</t>
        </is>
      </c>
    </row>
    <row r="3" ht="16" customHeight="1">
      <c r="B3" s="2" t="inlineStr">
        <is>
          <t>Three tabs</t>
        </is>
      </c>
      <c r="C3" s="3" t="inlineStr">
        <is>
          <t>Dashboard = the overview. Register = where you type. Lists = the dropdown choices.</t>
        </is>
      </c>
    </row>
    <row r="4" ht="16" customHeight="1">
      <c r="B4" s="2" t="inlineStr">
        <is>
          <t>แท็บ 3 อัน</t>
        </is>
      </c>
      <c r="C4" s="3" t="inlineStr">
        <is>
          <t>Dashboard คือภาพรวม, Register คือที่กรอกข้อมูล, Lists คือรายการตัวเลือก</t>
        </is>
      </c>
    </row>
    <row r="6" ht="16" customHeight="1">
      <c r="B6" s="2" t="inlineStr">
        <is>
          <t>Step 1</t>
        </is>
      </c>
      <c r="C6" s="3" t="inlineStr">
        <is>
          <t>Go to the Register tab. Each row is one licence, permit, tax, insurance policy or contract.</t>
        </is>
      </c>
    </row>
    <row r="7" ht="30" customHeight="1">
      <c r="B7" s="2" t="inlineStr">
        <is>
          <t>Step 2</t>
        </is>
      </c>
      <c r="C7" s="3" t="inlineStr">
        <is>
          <t>Fill in: Reference / Licence no., Issue date, Expiry date, Responsible person, Fee, and where the document is kept.</t>
        </is>
      </c>
    </row>
    <row r="9" ht="30" customHeight="1">
      <c r="B9" s="2" t="inlineStr">
        <is>
          <t>Renew by</t>
        </is>
      </c>
      <c r="C9" s="3" t="inlineStr">
        <is>
          <t>The important split: OWNER or PROPERTY — who has to renew it. Pick from the dropdown. Owner rows are blue, Property rows are purple, and the Dashboard shows the two as two separate tables.</t>
        </is>
      </c>
    </row>
    <row r="10" ht="30" customHeight="1">
      <c r="B10" s="2" t="inlineStr">
        <is>
          <t>Renew by = Owner</t>
        </is>
      </c>
      <c r="C10" s="3" t="inlineStr">
        <is>
          <t>The asset company (AMH … Co., Ltd.): the building and its inspections, the company registrations and taxes, asset insurance, the management agreement, lease and bank facilities.</t>
        </is>
      </c>
    </row>
    <row r="11" ht="30" customHeight="1">
      <c r="B11" s="2" t="inlineStr">
        <is>
          <t>Renew by = Property</t>
        </is>
      </c>
      <c r="C11" s="3" t="inlineStr">
        <is>
          <t>The hotel operation: guest-facing licences (food, alcohol, pool), staff permits and health certificates, OTA agreements, and operating suppliers such as laundry, security, cleaning.</t>
        </is>
      </c>
    </row>
    <row r="12" ht="30" customHeight="1">
      <c r="B12" s="2" t="inlineStr">
        <is>
          <t>ผู้ต่ออายุ</t>
        </is>
      </c>
      <c r="C12" s="3" t="inlineStr">
        <is>
          <t>Owner = เจ้าของอาคาร (บริษัท AMH) ดูแลตัวอาคาร ทะเบียนบริษัท ภาษี ประกันทรัพย์สิน สัญญาหลัก / Property = ฝ่ายโรงแรม ดูแลใบอนุญาตหน้างาน พนักงาน OTA และซัพพลายเออร์</t>
        </is>
      </c>
    </row>
    <row r="13" ht="16" customHeight="1">
      <c r="B13" s="2" t="inlineStr">
        <is>
          <t>See one side only</t>
        </is>
      </c>
      <c r="C13" s="3" t="inlineStr">
        <is>
          <t>On the Register click the filter arrow on 'Renew by' and tick just Owner or just Property.</t>
        </is>
      </c>
    </row>
    <row r="14" ht="16" customHeight="1">
      <c r="B14" s="2" t="inlineStr">
        <is>
          <t>Step 3</t>
        </is>
      </c>
      <c r="C14" s="3" t="inlineStr">
        <is>
          <t>Leave the grey formula columns alone — Action by, Days left and Status fill themselves in.</t>
        </is>
      </c>
    </row>
    <row r="15" ht="16" customHeight="1">
      <c r="B15" s="2" t="inlineStr">
        <is>
          <t>Step 4</t>
        </is>
      </c>
      <c r="C15" s="3" t="inlineStr">
        <is>
          <t>Open the Dashboard tab to see what is expiring.</t>
        </is>
      </c>
    </row>
    <row r="17" ht="30" customHeight="1">
      <c r="B17" s="2" t="inlineStr">
        <is>
          <t>The Dashboard</t>
        </is>
      </c>
      <c r="C17" s="3" t="inlineStr">
        <is>
          <t>Owner first, then Property. Each one is counted twice — once BY HOTEL and once BY DOCUMENT TYPE (licence, permit, certificate, tax, insurance, contract) — so a red number tells you which hotel and what kind of document.</t>
        </is>
      </c>
    </row>
    <row r="18" ht="16" customHeight="1">
      <c r="B18" s="2" t="inlineStr">
        <is>
          <t>แดชบอร์ด</t>
        </is>
      </c>
      <c r="C18" s="3" t="inlineStr">
        <is>
          <t>นับ 2 แบบ: แยกตามโรงแรม และแยกตามประเภทเอกสาร</t>
        </is>
      </c>
    </row>
    <row r="19" ht="30" customHeight="1">
      <c r="B19" s="2" t="inlineStr">
        <is>
          <t>The ✓ mark</t>
        </is>
      </c>
      <c r="C19" s="3" t="inlineStr">
        <is>
          <t>Next to each by-type table: it confirms that table counts the same rows as the by-hotel table above it.</t>
        </is>
      </c>
    </row>
    <row r="21" ht="30" customHeight="1">
      <c r="B21" s="2" t="inlineStr">
        <is>
          <t>Dates</t>
        </is>
      </c>
      <c r="C21" s="3" t="inlineStr">
        <is>
          <t>Type dates as a real date (e.g. 31/12/2026). If Excel shows a number instead, format the cell as Date.</t>
        </is>
      </c>
    </row>
    <row r="22" ht="30" customHeight="1">
      <c r="B22" s="2" t="inlineStr">
        <is>
          <t>Notice (days)</t>
        </is>
      </c>
      <c r="C22" s="3" t="inlineStr">
        <is>
          <t>How many days before expiry you want to start the renewal. Default 60. 'Action by' = expiry minus this.</t>
        </is>
      </c>
    </row>
    <row r="23" ht="30" customHeight="1">
      <c r="B23" s="2" t="inlineStr">
        <is>
          <t>Rows</t>
        </is>
      </c>
      <c r="C23" s="3" t="inlineStr">
        <is>
          <t>Formulas already run to row 404. Just keep typing down — do not insert rows above 404 and you never need to copy formulas.</t>
        </is>
      </c>
    </row>
    <row r="24" ht="16" customHeight="1">
      <c r="B24" s="2" t="inlineStr">
        <is>
          <t>Delete a row</t>
        </is>
      </c>
      <c r="C24" s="3" t="inlineStr">
        <is>
          <t>Clear the Item (EN) cell and the row drops out of the count and the dashboard.</t>
        </is>
      </c>
    </row>
    <row r="26" ht="30" customHeight="1">
      <c r="B26" s="2" t="inlineStr">
        <is>
          <t>Colours</t>
        </is>
      </c>
      <c r="C26" s="3" t="inlineStr">
        <is>
          <t>Red = expired. Pink = expires within 30 days. Amber = within 90 days. Green = fine. Grey = no expiry date yet.</t>
        </is>
      </c>
    </row>
    <row r="27" ht="30" customHeight="1">
      <c r="B27" s="2" t="inlineStr">
        <is>
          <t>สี</t>
        </is>
      </c>
      <c r="C27" s="3" t="inlineStr">
        <is>
          <t>แดง = หมดอายุแล้ว, ชมพู = ครบกำหนดใน 30 วัน, เหลือง = ใน 90 วัน, เขียว = ยังมีเวลา, เทา = ยังไม่ได้ใส่วันหมดอายุ</t>
        </is>
      </c>
    </row>
    <row r="29" ht="30" customHeight="1">
      <c r="B29" s="2" t="inlineStr">
        <is>
          <t>Check this first</t>
        </is>
      </c>
      <c r="C29" s="3" t="inlineStr">
        <is>
          <t>The Owner / Property split I filled in is my best guess from normal practice. Please read down the Renew by column once and change anything that is different in your agreements.</t>
        </is>
      </c>
    </row>
    <row r="31" ht="30" customHeight="1">
      <c r="B31" s="2" t="inlineStr">
        <is>
          <t>The seeded rows</t>
        </is>
      </c>
      <c r="C31" s="3" t="inlineStr">
        <is>
          <t>The rows already in the Register are a checklist of the licences and contracts a Thai hotel normally holds — they have no dates yet. Delete anything a property does not have, and add anything missing.</t>
        </is>
      </c>
    </row>
    <row r="32" ht="16" customHeight="1">
      <c r="B32" s="2" t="inlineStr">
        <is>
          <t>รายการที่ใส่ไว้ให้</t>
        </is>
      </c>
      <c r="C32" s="3" t="inlineStr">
        <is>
          <t>เป็นเช็คลิสต์ใบอนุญาต/สัญญาที่โรงแรมไทยมักมี ยังไม่มีวันที่ ลบอันที่ไม่มี และเพิ่มอันที่ขาด</t>
        </is>
      </c>
    </row>
    <row r="34" ht="30" customHeight="1">
      <c r="B34" s="2" t="inlineStr">
        <is>
          <t>Rebuild</t>
        </is>
      </c>
      <c r="C34" s="3" t="inlineStr">
        <is>
          <t>scripts/build_license_tracker.py rebuilds this file's structure. Rebuilding starts from empty rows, so keep your filled-in copy — do not overwrite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7" customWidth="1" min="3" max="3"/>
    <col width="26" customWidth="1" min="4" max="4"/>
    <col width="21" customWidth="1" min="5" max="5"/>
    <col width="14" customWidth="1" min="6" max="6"/>
    <col width="12" customWidth="1" min="7" max="7"/>
    <col width="12" customWidth="1" min="8" max="8"/>
    <col width="17" customWidth="1" min="9" max="9"/>
  </cols>
  <sheetData>
    <row r="1" ht="24" customHeight="1">
      <c r="A1" s="1" t="inlineStr">
        <is>
          <t>Licence &amp; Contract Dashboard — 4 properties</t>
        </is>
      </c>
    </row>
    <row r="2">
      <c r="A2" s="4" t="inlineStr">
        <is>
          <t>Split by who renews it (OWNER / PROPERTY), then by hotel and by document type. All of it reads the Register tab. แยกตามผู้รับผิดชอบ แล้วแยกตามโรงแรมและประเภทเอกสาร</t>
        </is>
      </c>
    </row>
    <row r="3" ht="6" customHeight="1"/>
    <row r="4">
      <c r="A4" s="5" t="inlineStr">
        <is>
          <t>As at</t>
        </is>
      </c>
      <c r="B4" s="6">
        <f>TODAY()</f>
        <v/>
      </c>
    </row>
    <row r="6">
      <c r="A6" s="7" t="inlineStr">
        <is>
          <t>OWNER — renewed by the asset company (AMH …) / เจ้าของอาคาร</t>
        </is>
      </c>
    </row>
    <row r="7" ht="30" customHeight="1">
      <c r="A7" s="8" t="inlineStr">
        <is>
          <t>Hotel</t>
        </is>
      </c>
      <c r="B7" s="8" t="inlineStr">
        <is>
          <t>Expired</t>
        </is>
      </c>
      <c r="C7" s="8" t="inlineStr">
        <is>
          <t>Urgent (≤30 d)</t>
        </is>
      </c>
      <c r="D7" s="8" t="inlineStr">
        <is>
          <t>Due soon (≤90 d)</t>
        </is>
      </c>
      <c r="E7" s="8" t="inlineStr">
        <is>
          <t>OK</t>
        </is>
      </c>
      <c r="F7" s="8" t="inlineStr">
        <is>
          <t>No date</t>
        </is>
      </c>
      <c r="G7" s="8" t="inlineStr">
        <is>
          <t>Total</t>
        </is>
      </c>
    </row>
    <row r="8">
      <c r="A8" s="9" t="inlineStr">
        <is>
          <t>SR9</t>
        </is>
      </c>
      <c r="B8" s="10">
        <f>COUNTIFS(Register!$B$5:$B$404,"SR9",Register!$E$5:$E$404,"Owner",Register!$P$5:$P$404,"Expired")</f>
        <v/>
      </c>
      <c r="C8" s="10">
        <f>COUNTIFS(Register!$B$5:$B$404,"SR9",Register!$E$5:$E$404,"Owner",Register!$P$5:$P$404,"Urgent")</f>
        <v/>
      </c>
      <c r="D8" s="10">
        <f>COUNTIFS(Register!$B$5:$B$404,"SR9",Register!$E$5:$E$404,"Owner",Register!$P$5:$P$404,"Due soon")</f>
        <v/>
      </c>
      <c r="E8" s="10">
        <f>COUNTIFS(Register!$B$5:$B$404,"SR9",Register!$E$5:$E$404,"Owner",Register!$P$5:$P$404,"OK")</f>
        <v/>
      </c>
      <c r="F8" s="10">
        <f>COUNTIFS(Register!$B$5:$B$404,"SR9",Register!$E$5:$E$404,"Owner",Register!$P$5:$P$404,"No date")</f>
        <v/>
      </c>
      <c r="G8" s="10">
        <f>COUNTIFS(Register!$B$5:$B$404,"SR9",Register!$E$5:$E$404,"Owner",Register!$F$5:$F$404,"?*")</f>
        <v/>
      </c>
      <c r="I8" s="11" t="inlineStr">
        <is>
          <t>Somerset Rama 9 Bangkok</t>
        </is>
      </c>
    </row>
    <row r="9">
      <c r="A9" s="9" t="inlineStr">
        <is>
          <t>AES</t>
        </is>
      </c>
      <c r="B9" s="10">
        <f>COUNTIFS(Register!$B$5:$B$404,"AES",Register!$E$5:$E$404,"Owner",Register!$P$5:$P$404,"Expired")</f>
        <v/>
      </c>
      <c r="C9" s="10">
        <f>COUNTIFS(Register!$B$5:$B$404,"AES",Register!$E$5:$E$404,"Owner",Register!$P$5:$P$404,"Urgent")</f>
        <v/>
      </c>
      <c r="D9" s="10">
        <f>COUNTIFS(Register!$B$5:$B$404,"AES",Register!$E$5:$E$404,"Owner",Register!$P$5:$P$404,"Due soon")</f>
        <v/>
      </c>
      <c r="E9" s="10">
        <f>COUNTIFS(Register!$B$5:$B$404,"AES",Register!$E$5:$E$404,"Owner",Register!$P$5:$P$404,"OK")</f>
        <v/>
      </c>
      <c r="F9" s="10">
        <f>COUNTIFS(Register!$B$5:$B$404,"AES",Register!$E$5:$E$404,"Owner",Register!$P$5:$P$404,"No date")</f>
        <v/>
      </c>
      <c r="G9" s="10">
        <f>COUNTIFS(Register!$B$5:$B$404,"AES",Register!$E$5:$E$404,"Owner",Register!$F$5:$F$404,"?*")</f>
        <v/>
      </c>
      <c r="I9" s="11" t="inlineStr">
        <is>
          <t>Ascott Embassy Sathorn Bangkok</t>
        </is>
      </c>
    </row>
    <row r="10">
      <c r="A10" s="9" t="inlineStr">
        <is>
          <t>LYF</t>
        </is>
      </c>
      <c r="B10" s="10">
        <f>COUNTIFS(Register!$B$5:$B$404,"LYF",Register!$E$5:$E$404,"Owner",Register!$P$5:$P$404,"Expired")</f>
        <v/>
      </c>
      <c r="C10" s="10">
        <f>COUNTIFS(Register!$B$5:$B$404,"LYF",Register!$E$5:$E$404,"Owner",Register!$P$5:$P$404,"Urgent")</f>
        <v/>
      </c>
      <c r="D10" s="10">
        <f>COUNTIFS(Register!$B$5:$B$404,"LYF",Register!$E$5:$E$404,"Owner",Register!$P$5:$P$404,"Due soon")</f>
        <v/>
      </c>
      <c r="E10" s="10">
        <f>COUNTIFS(Register!$B$5:$B$404,"LYF",Register!$E$5:$E$404,"Owner",Register!$P$5:$P$404,"OK")</f>
        <v/>
      </c>
      <c r="F10" s="10">
        <f>COUNTIFS(Register!$B$5:$B$404,"LYF",Register!$E$5:$E$404,"Owner",Register!$P$5:$P$404,"No date")</f>
        <v/>
      </c>
      <c r="G10" s="10">
        <f>COUNTIFS(Register!$B$5:$B$404,"LYF",Register!$E$5:$E$404,"Owner",Register!$F$5:$F$404,"?*")</f>
        <v/>
      </c>
      <c r="I10" s="11" t="inlineStr">
        <is>
          <t>lyf Sukhumvit 8 Bangkok</t>
        </is>
      </c>
    </row>
    <row r="11">
      <c r="A11" s="9" t="inlineStr">
        <is>
          <t>SP</t>
        </is>
      </c>
      <c r="B11" s="10">
        <f>COUNTIFS(Register!$B$5:$B$404,"SP",Register!$E$5:$E$404,"Owner",Register!$P$5:$P$404,"Expired")</f>
        <v/>
      </c>
      <c r="C11" s="10">
        <f>COUNTIFS(Register!$B$5:$B$404,"SP",Register!$E$5:$E$404,"Owner",Register!$P$5:$P$404,"Urgent")</f>
        <v/>
      </c>
      <c r="D11" s="10">
        <f>COUNTIFS(Register!$B$5:$B$404,"SP",Register!$E$5:$E$404,"Owner",Register!$P$5:$P$404,"Due soon")</f>
        <v/>
      </c>
      <c r="E11" s="10">
        <f>COUNTIFS(Register!$B$5:$B$404,"SP",Register!$E$5:$E$404,"Owner",Register!$P$5:$P$404,"OK")</f>
        <v/>
      </c>
      <c r="F11" s="10">
        <f>COUNTIFS(Register!$B$5:$B$404,"SP",Register!$E$5:$E$404,"Owner",Register!$P$5:$P$404,"No date")</f>
        <v/>
      </c>
      <c r="G11" s="10">
        <f>COUNTIFS(Register!$B$5:$B$404,"SP",Register!$E$5:$E$404,"Owner",Register!$F$5:$F$404,"?*")</f>
        <v/>
      </c>
      <c r="I11" s="11" t="inlineStr">
        <is>
          <t>Somerset Pattaya</t>
        </is>
      </c>
    </row>
    <row r="12">
      <c r="A12" s="12" t="inlineStr">
        <is>
          <t>Subtotal</t>
        </is>
      </c>
      <c r="B12" s="13">
        <f>SUM(B8:B11)</f>
        <v/>
      </c>
      <c r="C12" s="13">
        <f>SUM(C8:C11)</f>
        <v/>
      </c>
      <c r="D12" s="13">
        <f>SUM(D8:D11)</f>
        <v/>
      </c>
      <c r="E12" s="13">
        <f>SUM(E8:E11)</f>
        <v/>
      </c>
      <c r="F12" s="13">
        <f>SUM(F8:F11)</f>
        <v/>
      </c>
      <c r="G12" s="13">
        <f>SUM(G8:G11)</f>
        <v/>
      </c>
    </row>
    <row r="14" ht="30" customHeight="1">
      <c r="A14" s="8" t="inlineStr">
        <is>
          <t>Document type</t>
        </is>
      </c>
      <c r="B14" s="8" t="inlineStr">
        <is>
          <t>Expired</t>
        </is>
      </c>
      <c r="C14" s="8" t="inlineStr">
        <is>
          <t>Urgent (≤30 d)</t>
        </is>
      </c>
      <c r="D14" s="8" t="inlineStr">
        <is>
          <t>Due soon (≤90 d)</t>
        </is>
      </c>
      <c r="E14" s="8" t="inlineStr">
        <is>
          <t>OK</t>
        </is>
      </c>
      <c r="F14" s="8" t="inlineStr">
        <is>
          <t>No date</t>
        </is>
      </c>
      <c r="G14" s="8" t="inlineStr">
        <is>
          <t>Total</t>
        </is>
      </c>
    </row>
    <row r="15">
      <c r="A15" s="9" t="inlineStr">
        <is>
          <t>Licence</t>
        </is>
      </c>
      <c r="B15" s="10">
        <f>COUNTIFS(Register!$D$5:$D$404,"Licence",Register!$E$5:$E$404,"Owner",Register!$P$5:$P$404,"Expired")</f>
        <v/>
      </c>
      <c r="C15" s="10">
        <f>COUNTIFS(Register!$D$5:$D$404,"Licence",Register!$E$5:$E$404,"Owner",Register!$P$5:$P$404,"Urgent")</f>
        <v/>
      </c>
      <c r="D15" s="10">
        <f>COUNTIFS(Register!$D$5:$D$404,"Licence",Register!$E$5:$E$404,"Owner",Register!$P$5:$P$404,"Due soon")</f>
        <v/>
      </c>
      <c r="E15" s="10">
        <f>COUNTIFS(Register!$D$5:$D$404,"Licence",Register!$E$5:$E$404,"Owner",Register!$P$5:$P$404,"OK")</f>
        <v/>
      </c>
      <c r="F15" s="10">
        <f>COUNTIFS(Register!$D$5:$D$404,"Licence",Register!$E$5:$E$404,"Owner",Register!$P$5:$P$404,"No date")</f>
        <v/>
      </c>
      <c r="G15" s="10">
        <f>COUNTIFS(Register!$D$5:$D$404,"Licence",Register!$E$5:$E$404,"Owner",Register!$F$5:$F$404,"?*")</f>
        <v/>
      </c>
    </row>
    <row r="16">
      <c r="A16" s="9" t="inlineStr">
        <is>
          <t>Permit</t>
        </is>
      </c>
      <c r="B16" s="10">
        <f>COUNTIFS(Register!$D$5:$D$404,"Permit",Register!$E$5:$E$404,"Owner",Register!$P$5:$P$404,"Expired")</f>
        <v/>
      </c>
      <c r="C16" s="10">
        <f>COUNTIFS(Register!$D$5:$D$404,"Permit",Register!$E$5:$E$404,"Owner",Register!$P$5:$P$404,"Urgent")</f>
        <v/>
      </c>
      <c r="D16" s="10">
        <f>COUNTIFS(Register!$D$5:$D$404,"Permit",Register!$E$5:$E$404,"Owner",Register!$P$5:$P$404,"Due soon")</f>
        <v/>
      </c>
      <c r="E16" s="10">
        <f>COUNTIFS(Register!$D$5:$D$404,"Permit",Register!$E$5:$E$404,"Owner",Register!$P$5:$P$404,"OK")</f>
        <v/>
      </c>
      <c r="F16" s="10">
        <f>COUNTIFS(Register!$D$5:$D$404,"Permit",Register!$E$5:$E$404,"Owner",Register!$P$5:$P$404,"No date")</f>
        <v/>
      </c>
      <c r="G16" s="10">
        <f>COUNTIFS(Register!$D$5:$D$404,"Permit",Register!$E$5:$E$404,"Owner",Register!$F$5:$F$404,"?*")</f>
        <v/>
      </c>
    </row>
    <row r="17">
      <c r="A17" s="9" t="inlineStr">
        <is>
          <t>Certificate</t>
        </is>
      </c>
      <c r="B17" s="10">
        <f>COUNTIFS(Register!$D$5:$D$404,"Certificate",Register!$E$5:$E$404,"Owner",Register!$P$5:$P$404,"Expired")</f>
        <v/>
      </c>
      <c r="C17" s="10">
        <f>COUNTIFS(Register!$D$5:$D$404,"Certificate",Register!$E$5:$E$404,"Owner",Register!$P$5:$P$404,"Urgent")</f>
        <v/>
      </c>
      <c r="D17" s="10">
        <f>COUNTIFS(Register!$D$5:$D$404,"Certificate",Register!$E$5:$E$404,"Owner",Register!$P$5:$P$404,"Due soon")</f>
        <v/>
      </c>
      <c r="E17" s="10">
        <f>COUNTIFS(Register!$D$5:$D$404,"Certificate",Register!$E$5:$E$404,"Owner",Register!$P$5:$P$404,"OK")</f>
        <v/>
      </c>
      <c r="F17" s="10">
        <f>COUNTIFS(Register!$D$5:$D$404,"Certificate",Register!$E$5:$E$404,"Owner",Register!$P$5:$P$404,"No date")</f>
        <v/>
      </c>
      <c r="G17" s="10">
        <f>COUNTIFS(Register!$D$5:$D$404,"Certificate",Register!$E$5:$E$404,"Owner",Register!$F$5:$F$404,"?*")</f>
        <v/>
      </c>
    </row>
    <row r="18">
      <c r="A18" s="9" t="inlineStr">
        <is>
          <t>Tax / Registration</t>
        </is>
      </c>
      <c r="B18" s="10">
        <f>COUNTIFS(Register!$D$5:$D$404,"Tax / Registration",Register!$E$5:$E$404,"Owner",Register!$P$5:$P$404,"Expired")</f>
        <v/>
      </c>
      <c r="C18" s="10">
        <f>COUNTIFS(Register!$D$5:$D$404,"Tax / Registration",Register!$E$5:$E$404,"Owner",Register!$P$5:$P$404,"Urgent")</f>
        <v/>
      </c>
      <c r="D18" s="10">
        <f>COUNTIFS(Register!$D$5:$D$404,"Tax / Registration",Register!$E$5:$E$404,"Owner",Register!$P$5:$P$404,"Due soon")</f>
        <v/>
      </c>
      <c r="E18" s="10">
        <f>COUNTIFS(Register!$D$5:$D$404,"Tax / Registration",Register!$E$5:$E$404,"Owner",Register!$P$5:$P$404,"OK")</f>
        <v/>
      </c>
      <c r="F18" s="10">
        <f>COUNTIFS(Register!$D$5:$D$404,"Tax / Registration",Register!$E$5:$E$404,"Owner",Register!$P$5:$P$404,"No date")</f>
        <v/>
      </c>
      <c r="G18" s="10">
        <f>COUNTIFS(Register!$D$5:$D$404,"Tax / Registration",Register!$E$5:$E$404,"Owner",Register!$F$5:$F$404,"?*")</f>
        <v/>
      </c>
    </row>
    <row r="19">
      <c r="A19" s="9" t="inlineStr">
        <is>
          <t>Insurance</t>
        </is>
      </c>
      <c r="B19" s="10">
        <f>COUNTIFS(Register!$D$5:$D$404,"Insurance",Register!$E$5:$E$404,"Owner",Register!$P$5:$P$404,"Expired")</f>
        <v/>
      </c>
      <c r="C19" s="10">
        <f>COUNTIFS(Register!$D$5:$D$404,"Insurance",Register!$E$5:$E$404,"Owner",Register!$P$5:$P$404,"Urgent")</f>
        <v/>
      </c>
      <c r="D19" s="10">
        <f>COUNTIFS(Register!$D$5:$D$404,"Insurance",Register!$E$5:$E$404,"Owner",Register!$P$5:$P$404,"Due soon")</f>
        <v/>
      </c>
      <c r="E19" s="10">
        <f>COUNTIFS(Register!$D$5:$D$404,"Insurance",Register!$E$5:$E$404,"Owner",Register!$P$5:$P$404,"OK")</f>
        <v/>
      </c>
      <c r="F19" s="10">
        <f>COUNTIFS(Register!$D$5:$D$404,"Insurance",Register!$E$5:$E$404,"Owner",Register!$P$5:$P$404,"No date")</f>
        <v/>
      </c>
      <c r="G19" s="10">
        <f>COUNTIFS(Register!$D$5:$D$404,"Insurance",Register!$E$5:$E$404,"Owner",Register!$F$5:$F$404,"?*")</f>
        <v/>
      </c>
    </row>
    <row r="20">
      <c r="A20" s="9" t="inlineStr">
        <is>
          <t>Contract - Management</t>
        </is>
      </c>
      <c r="B20" s="10">
        <f>COUNTIFS(Register!$D$5:$D$404,"Contract - Management",Register!$E$5:$E$404,"Owner",Register!$P$5:$P$404,"Expired")</f>
        <v/>
      </c>
      <c r="C20" s="10">
        <f>COUNTIFS(Register!$D$5:$D$404,"Contract - Management",Register!$E$5:$E$404,"Owner",Register!$P$5:$P$404,"Urgent")</f>
        <v/>
      </c>
      <c r="D20" s="10">
        <f>COUNTIFS(Register!$D$5:$D$404,"Contract - Management",Register!$E$5:$E$404,"Owner",Register!$P$5:$P$404,"Due soon")</f>
        <v/>
      </c>
      <c r="E20" s="10">
        <f>COUNTIFS(Register!$D$5:$D$404,"Contract - Management",Register!$E$5:$E$404,"Owner",Register!$P$5:$P$404,"OK")</f>
        <v/>
      </c>
      <c r="F20" s="10">
        <f>COUNTIFS(Register!$D$5:$D$404,"Contract - Management",Register!$E$5:$E$404,"Owner",Register!$P$5:$P$404,"No date")</f>
        <v/>
      </c>
      <c r="G20" s="10">
        <f>COUNTIFS(Register!$D$5:$D$404,"Contract - Management",Register!$E$5:$E$404,"Owner",Register!$F$5:$F$404,"?*")</f>
        <v/>
      </c>
    </row>
    <row r="21">
      <c r="A21" s="9" t="inlineStr">
        <is>
          <t>Contract - OTA</t>
        </is>
      </c>
      <c r="B21" s="10">
        <f>COUNTIFS(Register!$D$5:$D$404,"Contract - OTA",Register!$E$5:$E$404,"Owner",Register!$P$5:$P$404,"Expired")</f>
        <v/>
      </c>
      <c r="C21" s="10">
        <f>COUNTIFS(Register!$D$5:$D$404,"Contract - OTA",Register!$E$5:$E$404,"Owner",Register!$P$5:$P$404,"Urgent")</f>
        <v/>
      </c>
      <c r="D21" s="10">
        <f>COUNTIFS(Register!$D$5:$D$404,"Contract - OTA",Register!$E$5:$E$404,"Owner",Register!$P$5:$P$404,"Due soon")</f>
        <v/>
      </c>
      <c r="E21" s="10">
        <f>COUNTIFS(Register!$D$5:$D$404,"Contract - OTA",Register!$E$5:$E$404,"Owner",Register!$P$5:$P$404,"OK")</f>
        <v/>
      </c>
      <c r="F21" s="10">
        <f>COUNTIFS(Register!$D$5:$D$404,"Contract - OTA",Register!$E$5:$E$404,"Owner",Register!$P$5:$P$404,"No date")</f>
        <v/>
      </c>
      <c r="G21" s="10">
        <f>COUNTIFS(Register!$D$5:$D$404,"Contract - OTA",Register!$E$5:$E$404,"Owner",Register!$F$5:$F$404,"?*")</f>
        <v/>
      </c>
    </row>
    <row r="22">
      <c r="A22" s="9" t="inlineStr">
        <is>
          <t>Contract - Service</t>
        </is>
      </c>
      <c r="B22" s="10">
        <f>COUNTIFS(Register!$D$5:$D$404,"Contract - Service",Register!$E$5:$E$404,"Owner",Register!$P$5:$P$404,"Expired")</f>
        <v/>
      </c>
      <c r="C22" s="10">
        <f>COUNTIFS(Register!$D$5:$D$404,"Contract - Service",Register!$E$5:$E$404,"Owner",Register!$P$5:$P$404,"Urgent")</f>
        <v/>
      </c>
      <c r="D22" s="10">
        <f>COUNTIFS(Register!$D$5:$D$404,"Contract - Service",Register!$E$5:$E$404,"Owner",Register!$P$5:$P$404,"Due soon")</f>
        <v/>
      </c>
      <c r="E22" s="10">
        <f>COUNTIFS(Register!$D$5:$D$404,"Contract - Service",Register!$E$5:$E$404,"Owner",Register!$P$5:$P$404,"OK")</f>
        <v/>
      </c>
      <c r="F22" s="10">
        <f>COUNTIFS(Register!$D$5:$D$404,"Contract - Service",Register!$E$5:$E$404,"Owner",Register!$P$5:$P$404,"No date")</f>
        <v/>
      </c>
      <c r="G22" s="10">
        <f>COUNTIFS(Register!$D$5:$D$404,"Contract - Service",Register!$E$5:$E$404,"Owner",Register!$F$5:$F$404,"?*")</f>
        <v/>
      </c>
    </row>
    <row r="23">
      <c r="A23" s="9" t="inlineStr">
        <is>
          <t>Contract - Utility</t>
        </is>
      </c>
      <c r="B23" s="10">
        <f>COUNTIFS(Register!$D$5:$D$404,"Contract - Utility",Register!$E$5:$E$404,"Owner",Register!$P$5:$P$404,"Expired")</f>
        <v/>
      </c>
      <c r="C23" s="10">
        <f>COUNTIFS(Register!$D$5:$D$404,"Contract - Utility",Register!$E$5:$E$404,"Owner",Register!$P$5:$P$404,"Urgent")</f>
        <v/>
      </c>
      <c r="D23" s="10">
        <f>COUNTIFS(Register!$D$5:$D$404,"Contract - Utility",Register!$E$5:$E$404,"Owner",Register!$P$5:$P$404,"Due soon")</f>
        <v/>
      </c>
      <c r="E23" s="10">
        <f>COUNTIFS(Register!$D$5:$D$404,"Contract - Utility",Register!$E$5:$E$404,"Owner",Register!$P$5:$P$404,"OK")</f>
        <v/>
      </c>
      <c r="F23" s="10">
        <f>COUNTIFS(Register!$D$5:$D$404,"Contract - Utility",Register!$E$5:$E$404,"Owner",Register!$P$5:$P$404,"No date")</f>
        <v/>
      </c>
      <c r="G23" s="10">
        <f>COUNTIFS(Register!$D$5:$D$404,"Contract - Utility",Register!$E$5:$E$404,"Owner",Register!$F$5:$F$404,"?*")</f>
        <v/>
      </c>
    </row>
    <row r="24">
      <c r="A24" s="9" t="inlineStr">
        <is>
          <t>Contract - Lease / Finance</t>
        </is>
      </c>
      <c r="B24" s="10">
        <f>COUNTIFS(Register!$D$5:$D$404,"Contract - Lease / Finance",Register!$E$5:$E$404,"Owner",Register!$P$5:$P$404,"Expired")</f>
        <v/>
      </c>
      <c r="C24" s="10">
        <f>COUNTIFS(Register!$D$5:$D$404,"Contract - Lease / Finance",Register!$E$5:$E$404,"Owner",Register!$P$5:$P$404,"Urgent")</f>
        <v/>
      </c>
      <c r="D24" s="10">
        <f>COUNTIFS(Register!$D$5:$D$404,"Contract - Lease / Finance",Register!$E$5:$E$404,"Owner",Register!$P$5:$P$404,"Due soon")</f>
        <v/>
      </c>
      <c r="E24" s="10">
        <f>COUNTIFS(Register!$D$5:$D$404,"Contract - Lease / Finance",Register!$E$5:$E$404,"Owner",Register!$P$5:$P$404,"OK")</f>
        <v/>
      </c>
      <c r="F24" s="10">
        <f>COUNTIFS(Register!$D$5:$D$404,"Contract - Lease / Finance",Register!$E$5:$E$404,"Owner",Register!$P$5:$P$404,"No date")</f>
        <v/>
      </c>
      <c r="G24" s="10">
        <f>COUNTIFS(Register!$D$5:$D$404,"Contract - Lease / Finance",Register!$E$5:$E$404,"Owner",Register!$F$5:$F$404,"?*")</f>
        <v/>
      </c>
    </row>
    <row r="25">
      <c r="A25" s="12" t="inlineStr">
        <is>
          <t>Subtotal</t>
        </is>
      </c>
      <c r="B25" s="13">
        <f>SUM(B15:B24)</f>
        <v/>
      </c>
      <c r="C25" s="13">
        <f>SUM(C15:C24)</f>
        <v/>
      </c>
      <c r="D25" s="13">
        <f>SUM(D15:D24)</f>
        <v/>
      </c>
      <c r="E25" s="13">
        <f>SUM(E15:E24)</f>
        <v/>
      </c>
      <c r="F25" s="13">
        <f>SUM(F15:F24)</f>
        <v/>
      </c>
      <c r="G25" s="13">
        <f>SUM(G15:G24)</f>
        <v/>
      </c>
      <c r="I25" s="14">
        <f>IF(G25=G12,"✓ same total as by hotel","CHECK — does not match by hotel")</f>
        <v/>
      </c>
    </row>
    <row r="27">
      <c r="A27" s="15" t="inlineStr">
        <is>
          <t>PROPERTY — renewed by the hotel operation / ฝ่ายโรงแรม</t>
        </is>
      </c>
    </row>
    <row r="28" ht="30" customHeight="1">
      <c r="A28" s="16" t="inlineStr">
        <is>
          <t>Hotel</t>
        </is>
      </c>
      <c r="B28" s="16" t="inlineStr">
        <is>
          <t>Expired</t>
        </is>
      </c>
      <c r="C28" s="16" t="inlineStr">
        <is>
          <t>Urgent (≤30 d)</t>
        </is>
      </c>
      <c r="D28" s="16" t="inlineStr">
        <is>
          <t>Due soon (≤90 d)</t>
        </is>
      </c>
      <c r="E28" s="16" t="inlineStr">
        <is>
          <t>OK</t>
        </is>
      </c>
      <c r="F28" s="16" t="inlineStr">
        <is>
          <t>No date</t>
        </is>
      </c>
      <c r="G28" s="16" t="inlineStr">
        <is>
          <t>Total</t>
        </is>
      </c>
    </row>
    <row r="29">
      <c r="A29" s="9" t="inlineStr">
        <is>
          <t>SR9</t>
        </is>
      </c>
      <c r="B29" s="10">
        <f>COUNTIFS(Register!$B$5:$B$404,"SR9",Register!$E$5:$E$404,"Property",Register!$P$5:$P$404,"Expired")</f>
        <v/>
      </c>
      <c r="C29" s="10">
        <f>COUNTIFS(Register!$B$5:$B$404,"SR9",Register!$E$5:$E$404,"Property",Register!$P$5:$P$404,"Urgent")</f>
        <v/>
      </c>
      <c r="D29" s="10">
        <f>COUNTIFS(Register!$B$5:$B$404,"SR9",Register!$E$5:$E$404,"Property",Register!$P$5:$P$404,"Due soon")</f>
        <v/>
      </c>
      <c r="E29" s="10">
        <f>COUNTIFS(Register!$B$5:$B$404,"SR9",Register!$E$5:$E$404,"Property",Register!$P$5:$P$404,"OK")</f>
        <v/>
      </c>
      <c r="F29" s="10">
        <f>COUNTIFS(Register!$B$5:$B$404,"SR9",Register!$E$5:$E$404,"Property",Register!$P$5:$P$404,"No date")</f>
        <v/>
      </c>
      <c r="G29" s="10">
        <f>COUNTIFS(Register!$B$5:$B$404,"SR9",Register!$E$5:$E$404,"Property",Register!$F$5:$F$404,"?*")</f>
        <v/>
      </c>
      <c r="I29" s="11" t="inlineStr">
        <is>
          <t>Somerset Rama 9 Bangkok</t>
        </is>
      </c>
    </row>
    <row r="30">
      <c r="A30" s="9" t="inlineStr">
        <is>
          <t>AES</t>
        </is>
      </c>
      <c r="B30" s="10">
        <f>COUNTIFS(Register!$B$5:$B$404,"AES",Register!$E$5:$E$404,"Property",Register!$P$5:$P$404,"Expired")</f>
        <v/>
      </c>
      <c r="C30" s="10">
        <f>COUNTIFS(Register!$B$5:$B$404,"AES",Register!$E$5:$E$404,"Property",Register!$P$5:$P$404,"Urgent")</f>
        <v/>
      </c>
      <c r="D30" s="10">
        <f>COUNTIFS(Register!$B$5:$B$404,"AES",Register!$E$5:$E$404,"Property",Register!$P$5:$P$404,"Due soon")</f>
        <v/>
      </c>
      <c r="E30" s="10">
        <f>COUNTIFS(Register!$B$5:$B$404,"AES",Register!$E$5:$E$404,"Property",Register!$P$5:$P$404,"OK")</f>
        <v/>
      </c>
      <c r="F30" s="10">
        <f>COUNTIFS(Register!$B$5:$B$404,"AES",Register!$E$5:$E$404,"Property",Register!$P$5:$P$404,"No date")</f>
        <v/>
      </c>
      <c r="G30" s="10">
        <f>COUNTIFS(Register!$B$5:$B$404,"AES",Register!$E$5:$E$404,"Property",Register!$F$5:$F$404,"?*")</f>
        <v/>
      </c>
      <c r="I30" s="11" t="inlineStr">
        <is>
          <t>Ascott Embassy Sathorn Bangkok</t>
        </is>
      </c>
    </row>
    <row r="31">
      <c r="A31" s="9" t="inlineStr">
        <is>
          <t>LYF</t>
        </is>
      </c>
      <c r="B31" s="10">
        <f>COUNTIFS(Register!$B$5:$B$404,"LYF",Register!$E$5:$E$404,"Property",Register!$P$5:$P$404,"Expired")</f>
        <v/>
      </c>
      <c r="C31" s="10">
        <f>COUNTIFS(Register!$B$5:$B$404,"LYF",Register!$E$5:$E$404,"Property",Register!$P$5:$P$404,"Urgent")</f>
        <v/>
      </c>
      <c r="D31" s="10">
        <f>COUNTIFS(Register!$B$5:$B$404,"LYF",Register!$E$5:$E$404,"Property",Register!$P$5:$P$404,"Due soon")</f>
        <v/>
      </c>
      <c r="E31" s="10">
        <f>COUNTIFS(Register!$B$5:$B$404,"LYF",Register!$E$5:$E$404,"Property",Register!$P$5:$P$404,"OK")</f>
        <v/>
      </c>
      <c r="F31" s="10">
        <f>COUNTIFS(Register!$B$5:$B$404,"LYF",Register!$E$5:$E$404,"Property",Register!$P$5:$P$404,"No date")</f>
        <v/>
      </c>
      <c r="G31" s="10">
        <f>COUNTIFS(Register!$B$5:$B$404,"LYF",Register!$E$5:$E$404,"Property",Register!$F$5:$F$404,"?*")</f>
        <v/>
      </c>
      <c r="I31" s="11" t="inlineStr">
        <is>
          <t>lyf Sukhumvit 8 Bangkok</t>
        </is>
      </c>
    </row>
    <row r="32">
      <c r="A32" s="9" t="inlineStr">
        <is>
          <t>SP</t>
        </is>
      </c>
      <c r="B32" s="10">
        <f>COUNTIFS(Register!$B$5:$B$404,"SP",Register!$E$5:$E$404,"Property",Register!$P$5:$P$404,"Expired")</f>
        <v/>
      </c>
      <c r="C32" s="10">
        <f>COUNTIFS(Register!$B$5:$B$404,"SP",Register!$E$5:$E$404,"Property",Register!$P$5:$P$404,"Urgent")</f>
        <v/>
      </c>
      <c r="D32" s="10">
        <f>COUNTIFS(Register!$B$5:$B$404,"SP",Register!$E$5:$E$404,"Property",Register!$P$5:$P$404,"Due soon")</f>
        <v/>
      </c>
      <c r="E32" s="10">
        <f>COUNTIFS(Register!$B$5:$B$404,"SP",Register!$E$5:$E$404,"Property",Register!$P$5:$P$404,"OK")</f>
        <v/>
      </c>
      <c r="F32" s="10">
        <f>COUNTIFS(Register!$B$5:$B$404,"SP",Register!$E$5:$E$404,"Property",Register!$P$5:$P$404,"No date")</f>
        <v/>
      </c>
      <c r="G32" s="10">
        <f>COUNTIFS(Register!$B$5:$B$404,"SP",Register!$E$5:$E$404,"Property",Register!$F$5:$F$404,"?*")</f>
        <v/>
      </c>
      <c r="I32" s="11" t="inlineStr">
        <is>
          <t>Somerset Pattaya</t>
        </is>
      </c>
    </row>
    <row r="33">
      <c r="A33" s="12" t="inlineStr">
        <is>
          <t>Subtotal</t>
        </is>
      </c>
      <c r="B33" s="13">
        <f>SUM(B29:B32)</f>
        <v/>
      </c>
      <c r="C33" s="13">
        <f>SUM(C29:C32)</f>
        <v/>
      </c>
      <c r="D33" s="13">
        <f>SUM(D29:D32)</f>
        <v/>
      </c>
      <c r="E33" s="13">
        <f>SUM(E29:E32)</f>
        <v/>
      </c>
      <c r="F33" s="13">
        <f>SUM(F29:F32)</f>
        <v/>
      </c>
      <c r="G33" s="13">
        <f>SUM(G29:G32)</f>
        <v/>
      </c>
    </row>
    <row r="35" ht="30" customHeight="1">
      <c r="A35" s="16" t="inlineStr">
        <is>
          <t>Document type</t>
        </is>
      </c>
      <c r="B35" s="16" t="inlineStr">
        <is>
          <t>Expired</t>
        </is>
      </c>
      <c r="C35" s="16" t="inlineStr">
        <is>
          <t>Urgent (≤30 d)</t>
        </is>
      </c>
      <c r="D35" s="16" t="inlineStr">
        <is>
          <t>Due soon (≤90 d)</t>
        </is>
      </c>
      <c r="E35" s="16" t="inlineStr">
        <is>
          <t>OK</t>
        </is>
      </c>
      <c r="F35" s="16" t="inlineStr">
        <is>
          <t>No date</t>
        </is>
      </c>
      <c r="G35" s="16" t="inlineStr">
        <is>
          <t>Total</t>
        </is>
      </c>
    </row>
    <row r="36">
      <c r="A36" s="9" t="inlineStr">
        <is>
          <t>Licence</t>
        </is>
      </c>
      <c r="B36" s="10">
        <f>COUNTIFS(Register!$D$5:$D$404,"Licence",Register!$E$5:$E$404,"Property",Register!$P$5:$P$404,"Expired")</f>
        <v/>
      </c>
      <c r="C36" s="10">
        <f>COUNTIFS(Register!$D$5:$D$404,"Licence",Register!$E$5:$E$404,"Property",Register!$P$5:$P$404,"Urgent")</f>
        <v/>
      </c>
      <c r="D36" s="10">
        <f>COUNTIFS(Register!$D$5:$D$404,"Licence",Register!$E$5:$E$404,"Property",Register!$P$5:$P$404,"Due soon")</f>
        <v/>
      </c>
      <c r="E36" s="10">
        <f>COUNTIFS(Register!$D$5:$D$404,"Licence",Register!$E$5:$E$404,"Property",Register!$P$5:$P$404,"OK")</f>
        <v/>
      </c>
      <c r="F36" s="10">
        <f>COUNTIFS(Register!$D$5:$D$404,"Licence",Register!$E$5:$E$404,"Property",Register!$P$5:$P$404,"No date")</f>
        <v/>
      </c>
      <c r="G36" s="10">
        <f>COUNTIFS(Register!$D$5:$D$404,"Licence",Register!$E$5:$E$404,"Property",Register!$F$5:$F$404,"?*")</f>
        <v/>
      </c>
    </row>
    <row r="37">
      <c r="A37" s="9" t="inlineStr">
        <is>
          <t>Permit</t>
        </is>
      </c>
      <c r="B37" s="10">
        <f>COUNTIFS(Register!$D$5:$D$404,"Permit",Register!$E$5:$E$404,"Property",Register!$P$5:$P$404,"Expired")</f>
        <v/>
      </c>
      <c r="C37" s="10">
        <f>COUNTIFS(Register!$D$5:$D$404,"Permit",Register!$E$5:$E$404,"Property",Register!$P$5:$P$404,"Urgent")</f>
        <v/>
      </c>
      <c r="D37" s="10">
        <f>COUNTIFS(Register!$D$5:$D$404,"Permit",Register!$E$5:$E$404,"Property",Register!$P$5:$P$404,"Due soon")</f>
        <v/>
      </c>
      <c r="E37" s="10">
        <f>COUNTIFS(Register!$D$5:$D$404,"Permit",Register!$E$5:$E$404,"Property",Register!$P$5:$P$404,"OK")</f>
        <v/>
      </c>
      <c r="F37" s="10">
        <f>COUNTIFS(Register!$D$5:$D$404,"Permit",Register!$E$5:$E$404,"Property",Register!$P$5:$P$404,"No date")</f>
        <v/>
      </c>
      <c r="G37" s="10">
        <f>COUNTIFS(Register!$D$5:$D$404,"Permit",Register!$E$5:$E$404,"Property",Register!$F$5:$F$404,"?*")</f>
        <v/>
      </c>
    </row>
    <row r="38">
      <c r="A38" s="9" t="inlineStr">
        <is>
          <t>Certificate</t>
        </is>
      </c>
      <c r="B38" s="10">
        <f>COUNTIFS(Register!$D$5:$D$404,"Certificate",Register!$E$5:$E$404,"Property",Register!$P$5:$P$404,"Expired")</f>
        <v/>
      </c>
      <c r="C38" s="10">
        <f>COUNTIFS(Register!$D$5:$D$404,"Certificate",Register!$E$5:$E$404,"Property",Register!$P$5:$P$404,"Urgent")</f>
        <v/>
      </c>
      <c r="D38" s="10">
        <f>COUNTIFS(Register!$D$5:$D$404,"Certificate",Register!$E$5:$E$404,"Property",Register!$P$5:$P$404,"Due soon")</f>
        <v/>
      </c>
      <c r="E38" s="10">
        <f>COUNTIFS(Register!$D$5:$D$404,"Certificate",Register!$E$5:$E$404,"Property",Register!$P$5:$P$404,"OK")</f>
        <v/>
      </c>
      <c r="F38" s="10">
        <f>COUNTIFS(Register!$D$5:$D$404,"Certificate",Register!$E$5:$E$404,"Property",Register!$P$5:$P$404,"No date")</f>
        <v/>
      </c>
      <c r="G38" s="10">
        <f>COUNTIFS(Register!$D$5:$D$404,"Certificate",Register!$E$5:$E$404,"Property",Register!$F$5:$F$404,"?*")</f>
        <v/>
      </c>
    </row>
    <row r="39">
      <c r="A39" s="9" t="inlineStr">
        <is>
          <t>Tax / Registration</t>
        </is>
      </c>
      <c r="B39" s="10">
        <f>COUNTIFS(Register!$D$5:$D$404,"Tax / Registration",Register!$E$5:$E$404,"Property",Register!$P$5:$P$404,"Expired")</f>
        <v/>
      </c>
      <c r="C39" s="10">
        <f>COUNTIFS(Register!$D$5:$D$404,"Tax / Registration",Register!$E$5:$E$404,"Property",Register!$P$5:$P$404,"Urgent")</f>
        <v/>
      </c>
      <c r="D39" s="10">
        <f>COUNTIFS(Register!$D$5:$D$404,"Tax / Registration",Register!$E$5:$E$404,"Property",Register!$P$5:$P$404,"Due soon")</f>
        <v/>
      </c>
      <c r="E39" s="10">
        <f>COUNTIFS(Register!$D$5:$D$404,"Tax / Registration",Register!$E$5:$E$404,"Property",Register!$P$5:$P$404,"OK")</f>
        <v/>
      </c>
      <c r="F39" s="10">
        <f>COUNTIFS(Register!$D$5:$D$404,"Tax / Registration",Register!$E$5:$E$404,"Property",Register!$P$5:$P$404,"No date")</f>
        <v/>
      </c>
      <c r="G39" s="10">
        <f>COUNTIFS(Register!$D$5:$D$404,"Tax / Registration",Register!$E$5:$E$404,"Property",Register!$F$5:$F$404,"?*")</f>
        <v/>
      </c>
    </row>
    <row r="40">
      <c r="A40" s="9" t="inlineStr">
        <is>
          <t>Insurance</t>
        </is>
      </c>
      <c r="B40" s="10">
        <f>COUNTIFS(Register!$D$5:$D$404,"Insurance",Register!$E$5:$E$404,"Property",Register!$P$5:$P$404,"Expired")</f>
        <v/>
      </c>
      <c r="C40" s="10">
        <f>COUNTIFS(Register!$D$5:$D$404,"Insurance",Register!$E$5:$E$404,"Property",Register!$P$5:$P$404,"Urgent")</f>
        <v/>
      </c>
      <c r="D40" s="10">
        <f>COUNTIFS(Register!$D$5:$D$404,"Insurance",Register!$E$5:$E$404,"Property",Register!$P$5:$P$404,"Due soon")</f>
        <v/>
      </c>
      <c r="E40" s="10">
        <f>COUNTIFS(Register!$D$5:$D$404,"Insurance",Register!$E$5:$E$404,"Property",Register!$P$5:$P$404,"OK")</f>
        <v/>
      </c>
      <c r="F40" s="10">
        <f>COUNTIFS(Register!$D$5:$D$404,"Insurance",Register!$E$5:$E$404,"Property",Register!$P$5:$P$404,"No date")</f>
        <v/>
      </c>
      <c r="G40" s="10">
        <f>COUNTIFS(Register!$D$5:$D$404,"Insurance",Register!$E$5:$E$404,"Property",Register!$F$5:$F$404,"?*")</f>
        <v/>
      </c>
    </row>
    <row r="41">
      <c r="A41" s="9" t="inlineStr">
        <is>
          <t>Contract - Management</t>
        </is>
      </c>
      <c r="B41" s="10">
        <f>COUNTIFS(Register!$D$5:$D$404,"Contract - Management",Register!$E$5:$E$404,"Property",Register!$P$5:$P$404,"Expired")</f>
        <v/>
      </c>
      <c r="C41" s="10">
        <f>COUNTIFS(Register!$D$5:$D$404,"Contract - Management",Register!$E$5:$E$404,"Property",Register!$P$5:$P$404,"Urgent")</f>
        <v/>
      </c>
      <c r="D41" s="10">
        <f>COUNTIFS(Register!$D$5:$D$404,"Contract - Management",Register!$E$5:$E$404,"Property",Register!$P$5:$P$404,"Due soon")</f>
        <v/>
      </c>
      <c r="E41" s="10">
        <f>COUNTIFS(Register!$D$5:$D$404,"Contract - Management",Register!$E$5:$E$404,"Property",Register!$P$5:$P$404,"OK")</f>
        <v/>
      </c>
      <c r="F41" s="10">
        <f>COUNTIFS(Register!$D$5:$D$404,"Contract - Management",Register!$E$5:$E$404,"Property",Register!$P$5:$P$404,"No date")</f>
        <v/>
      </c>
      <c r="G41" s="10">
        <f>COUNTIFS(Register!$D$5:$D$404,"Contract - Management",Register!$E$5:$E$404,"Property",Register!$F$5:$F$404,"?*")</f>
        <v/>
      </c>
    </row>
    <row r="42">
      <c r="A42" s="9" t="inlineStr">
        <is>
          <t>Contract - OTA</t>
        </is>
      </c>
      <c r="B42" s="10">
        <f>COUNTIFS(Register!$D$5:$D$404,"Contract - OTA",Register!$E$5:$E$404,"Property",Register!$P$5:$P$404,"Expired")</f>
        <v/>
      </c>
      <c r="C42" s="10">
        <f>COUNTIFS(Register!$D$5:$D$404,"Contract - OTA",Register!$E$5:$E$404,"Property",Register!$P$5:$P$404,"Urgent")</f>
        <v/>
      </c>
      <c r="D42" s="10">
        <f>COUNTIFS(Register!$D$5:$D$404,"Contract - OTA",Register!$E$5:$E$404,"Property",Register!$P$5:$P$404,"Due soon")</f>
        <v/>
      </c>
      <c r="E42" s="10">
        <f>COUNTIFS(Register!$D$5:$D$404,"Contract - OTA",Register!$E$5:$E$404,"Property",Register!$P$5:$P$404,"OK")</f>
        <v/>
      </c>
      <c r="F42" s="10">
        <f>COUNTIFS(Register!$D$5:$D$404,"Contract - OTA",Register!$E$5:$E$404,"Property",Register!$P$5:$P$404,"No date")</f>
        <v/>
      </c>
      <c r="G42" s="10">
        <f>COUNTIFS(Register!$D$5:$D$404,"Contract - OTA",Register!$E$5:$E$404,"Property",Register!$F$5:$F$404,"?*")</f>
        <v/>
      </c>
    </row>
    <row r="43">
      <c r="A43" s="9" t="inlineStr">
        <is>
          <t>Contract - Service</t>
        </is>
      </c>
      <c r="B43" s="10">
        <f>COUNTIFS(Register!$D$5:$D$404,"Contract - Service",Register!$E$5:$E$404,"Property",Register!$P$5:$P$404,"Expired")</f>
        <v/>
      </c>
      <c r="C43" s="10">
        <f>COUNTIFS(Register!$D$5:$D$404,"Contract - Service",Register!$E$5:$E$404,"Property",Register!$P$5:$P$404,"Urgent")</f>
        <v/>
      </c>
      <c r="D43" s="10">
        <f>COUNTIFS(Register!$D$5:$D$404,"Contract - Service",Register!$E$5:$E$404,"Property",Register!$P$5:$P$404,"Due soon")</f>
        <v/>
      </c>
      <c r="E43" s="10">
        <f>COUNTIFS(Register!$D$5:$D$404,"Contract - Service",Register!$E$5:$E$404,"Property",Register!$P$5:$P$404,"OK")</f>
        <v/>
      </c>
      <c r="F43" s="10">
        <f>COUNTIFS(Register!$D$5:$D$404,"Contract - Service",Register!$E$5:$E$404,"Property",Register!$P$5:$P$404,"No date")</f>
        <v/>
      </c>
      <c r="G43" s="10">
        <f>COUNTIFS(Register!$D$5:$D$404,"Contract - Service",Register!$E$5:$E$404,"Property",Register!$F$5:$F$404,"?*")</f>
        <v/>
      </c>
    </row>
    <row r="44">
      <c r="A44" s="9" t="inlineStr">
        <is>
          <t>Contract - Utility</t>
        </is>
      </c>
      <c r="B44" s="10">
        <f>COUNTIFS(Register!$D$5:$D$404,"Contract - Utility",Register!$E$5:$E$404,"Property",Register!$P$5:$P$404,"Expired")</f>
        <v/>
      </c>
      <c r="C44" s="10">
        <f>COUNTIFS(Register!$D$5:$D$404,"Contract - Utility",Register!$E$5:$E$404,"Property",Register!$P$5:$P$404,"Urgent")</f>
        <v/>
      </c>
      <c r="D44" s="10">
        <f>COUNTIFS(Register!$D$5:$D$404,"Contract - Utility",Register!$E$5:$E$404,"Property",Register!$P$5:$P$404,"Due soon")</f>
        <v/>
      </c>
      <c r="E44" s="10">
        <f>COUNTIFS(Register!$D$5:$D$404,"Contract - Utility",Register!$E$5:$E$404,"Property",Register!$P$5:$P$404,"OK")</f>
        <v/>
      </c>
      <c r="F44" s="10">
        <f>COUNTIFS(Register!$D$5:$D$404,"Contract - Utility",Register!$E$5:$E$404,"Property",Register!$P$5:$P$404,"No date")</f>
        <v/>
      </c>
      <c r="G44" s="10">
        <f>COUNTIFS(Register!$D$5:$D$404,"Contract - Utility",Register!$E$5:$E$404,"Property",Register!$F$5:$F$404,"?*")</f>
        <v/>
      </c>
    </row>
    <row r="45">
      <c r="A45" s="9" t="inlineStr">
        <is>
          <t>Contract - Lease / Finance</t>
        </is>
      </c>
      <c r="B45" s="10">
        <f>COUNTIFS(Register!$D$5:$D$404,"Contract - Lease / Finance",Register!$E$5:$E$404,"Property",Register!$P$5:$P$404,"Expired")</f>
        <v/>
      </c>
      <c r="C45" s="10">
        <f>COUNTIFS(Register!$D$5:$D$404,"Contract - Lease / Finance",Register!$E$5:$E$404,"Property",Register!$P$5:$P$404,"Urgent")</f>
        <v/>
      </c>
      <c r="D45" s="10">
        <f>COUNTIFS(Register!$D$5:$D$404,"Contract - Lease / Finance",Register!$E$5:$E$404,"Property",Register!$P$5:$P$404,"Due soon")</f>
        <v/>
      </c>
      <c r="E45" s="10">
        <f>COUNTIFS(Register!$D$5:$D$404,"Contract - Lease / Finance",Register!$E$5:$E$404,"Property",Register!$P$5:$P$404,"OK")</f>
        <v/>
      </c>
      <c r="F45" s="10">
        <f>COUNTIFS(Register!$D$5:$D$404,"Contract - Lease / Finance",Register!$E$5:$E$404,"Property",Register!$P$5:$P$404,"No date")</f>
        <v/>
      </c>
      <c r="G45" s="10">
        <f>COUNTIFS(Register!$D$5:$D$404,"Contract - Lease / Finance",Register!$E$5:$E$404,"Property",Register!$F$5:$F$404,"?*")</f>
        <v/>
      </c>
    </row>
    <row r="46">
      <c r="A46" s="12" t="inlineStr">
        <is>
          <t>Subtotal</t>
        </is>
      </c>
      <c r="B46" s="13">
        <f>SUM(B36:B45)</f>
        <v/>
      </c>
      <c r="C46" s="13">
        <f>SUM(C36:C45)</f>
        <v/>
      </c>
      <c r="D46" s="13">
        <f>SUM(D36:D45)</f>
        <v/>
      </c>
      <c r="E46" s="13">
        <f>SUM(E36:E45)</f>
        <v/>
      </c>
      <c r="F46" s="13">
        <f>SUM(F36:F45)</f>
        <v/>
      </c>
      <c r="G46" s="13">
        <f>SUM(G36:G45)</f>
        <v/>
      </c>
      <c r="I46" s="14">
        <f>IF(G46=G33,"✓ same total as by hotel","CHECK — does not match by hotel")</f>
        <v/>
      </c>
    </row>
    <row r="48">
      <c r="A48" s="17" t="inlineStr">
        <is>
          <t>NOT ASSIGNED — no Renew by chosen yet / ยังไม่ได้ระบุผู้รับผิดชอบ</t>
        </is>
      </c>
    </row>
    <row r="49" ht="30" customHeight="1">
      <c r="A49" s="18" t="inlineStr">
        <is>
          <t>Hotel</t>
        </is>
      </c>
      <c r="B49" s="18" t="inlineStr">
        <is>
          <t>Expired</t>
        </is>
      </c>
      <c r="C49" s="18" t="inlineStr">
        <is>
          <t>Urgent (≤30 d)</t>
        </is>
      </c>
      <c r="D49" s="18" t="inlineStr">
        <is>
          <t>Due soon (≤90 d)</t>
        </is>
      </c>
      <c r="E49" s="18" t="inlineStr">
        <is>
          <t>OK</t>
        </is>
      </c>
      <c r="F49" s="18" t="inlineStr">
        <is>
          <t>No date</t>
        </is>
      </c>
      <c r="G49" s="18" t="inlineStr">
        <is>
          <t>Total</t>
        </is>
      </c>
    </row>
    <row r="50">
      <c r="A50" s="9" t="inlineStr">
        <is>
          <t>SR9</t>
        </is>
      </c>
      <c r="B50" s="10">
        <f>COUNTIFS(Register!$B$5:$B$404,"SR9",Register!$E$5:$E$404,"",Register!$P$5:$P$404,"Expired")</f>
        <v/>
      </c>
      <c r="C50" s="10">
        <f>COUNTIFS(Register!$B$5:$B$404,"SR9",Register!$E$5:$E$404,"",Register!$P$5:$P$404,"Urgent")</f>
        <v/>
      </c>
      <c r="D50" s="10">
        <f>COUNTIFS(Register!$B$5:$B$404,"SR9",Register!$E$5:$E$404,"",Register!$P$5:$P$404,"Due soon")</f>
        <v/>
      </c>
      <c r="E50" s="10">
        <f>COUNTIFS(Register!$B$5:$B$404,"SR9",Register!$E$5:$E$404,"",Register!$P$5:$P$404,"OK")</f>
        <v/>
      </c>
      <c r="F50" s="10">
        <f>COUNTIFS(Register!$B$5:$B$404,"SR9",Register!$E$5:$E$404,"",Register!$P$5:$P$404,"No date")</f>
        <v/>
      </c>
      <c r="G50" s="10">
        <f>COUNTIFS(Register!$B$5:$B$404,"SR9",Register!$E$5:$E$404,"",Register!$F$5:$F$404,"?*")</f>
        <v/>
      </c>
      <c r="I50" s="11" t="inlineStr">
        <is>
          <t>Somerset Rama 9 Bangkok</t>
        </is>
      </c>
    </row>
    <row r="51">
      <c r="A51" s="9" t="inlineStr">
        <is>
          <t>AES</t>
        </is>
      </c>
      <c r="B51" s="10">
        <f>COUNTIFS(Register!$B$5:$B$404,"AES",Register!$E$5:$E$404,"",Register!$P$5:$P$404,"Expired")</f>
        <v/>
      </c>
      <c r="C51" s="10">
        <f>COUNTIFS(Register!$B$5:$B$404,"AES",Register!$E$5:$E$404,"",Register!$P$5:$P$404,"Urgent")</f>
        <v/>
      </c>
      <c r="D51" s="10">
        <f>COUNTIFS(Register!$B$5:$B$404,"AES",Register!$E$5:$E$404,"",Register!$P$5:$P$404,"Due soon")</f>
        <v/>
      </c>
      <c r="E51" s="10">
        <f>COUNTIFS(Register!$B$5:$B$404,"AES",Register!$E$5:$E$404,"",Register!$P$5:$P$404,"OK")</f>
        <v/>
      </c>
      <c r="F51" s="10">
        <f>COUNTIFS(Register!$B$5:$B$404,"AES",Register!$E$5:$E$404,"",Register!$P$5:$P$404,"No date")</f>
        <v/>
      </c>
      <c r="G51" s="10">
        <f>COUNTIFS(Register!$B$5:$B$404,"AES",Register!$E$5:$E$404,"",Register!$F$5:$F$404,"?*")</f>
        <v/>
      </c>
      <c r="I51" s="11" t="inlineStr">
        <is>
          <t>Ascott Embassy Sathorn Bangkok</t>
        </is>
      </c>
    </row>
    <row r="52">
      <c r="A52" s="9" t="inlineStr">
        <is>
          <t>LYF</t>
        </is>
      </c>
      <c r="B52" s="10">
        <f>COUNTIFS(Register!$B$5:$B$404,"LYF",Register!$E$5:$E$404,"",Register!$P$5:$P$404,"Expired")</f>
        <v/>
      </c>
      <c r="C52" s="10">
        <f>COUNTIFS(Register!$B$5:$B$404,"LYF",Register!$E$5:$E$404,"",Register!$P$5:$P$404,"Urgent")</f>
        <v/>
      </c>
      <c r="D52" s="10">
        <f>COUNTIFS(Register!$B$5:$B$404,"LYF",Register!$E$5:$E$404,"",Register!$P$5:$P$404,"Due soon")</f>
        <v/>
      </c>
      <c r="E52" s="10">
        <f>COUNTIFS(Register!$B$5:$B$404,"LYF",Register!$E$5:$E$404,"",Register!$P$5:$P$404,"OK")</f>
        <v/>
      </c>
      <c r="F52" s="10">
        <f>COUNTIFS(Register!$B$5:$B$404,"LYF",Register!$E$5:$E$404,"",Register!$P$5:$P$404,"No date")</f>
        <v/>
      </c>
      <c r="G52" s="10">
        <f>COUNTIFS(Register!$B$5:$B$404,"LYF",Register!$E$5:$E$404,"",Register!$F$5:$F$404,"?*")</f>
        <v/>
      </c>
      <c r="I52" s="11" t="inlineStr">
        <is>
          <t>lyf Sukhumvit 8 Bangkok</t>
        </is>
      </c>
    </row>
    <row r="53">
      <c r="A53" s="9" t="inlineStr">
        <is>
          <t>SP</t>
        </is>
      </c>
      <c r="B53" s="10">
        <f>COUNTIFS(Register!$B$5:$B$404,"SP",Register!$E$5:$E$404,"",Register!$P$5:$P$404,"Expired")</f>
        <v/>
      </c>
      <c r="C53" s="10">
        <f>COUNTIFS(Register!$B$5:$B$404,"SP",Register!$E$5:$E$404,"",Register!$P$5:$P$404,"Urgent")</f>
        <v/>
      </c>
      <c r="D53" s="10">
        <f>COUNTIFS(Register!$B$5:$B$404,"SP",Register!$E$5:$E$404,"",Register!$P$5:$P$404,"Due soon")</f>
        <v/>
      </c>
      <c r="E53" s="10">
        <f>COUNTIFS(Register!$B$5:$B$404,"SP",Register!$E$5:$E$404,"",Register!$P$5:$P$404,"OK")</f>
        <v/>
      </c>
      <c r="F53" s="10">
        <f>COUNTIFS(Register!$B$5:$B$404,"SP",Register!$E$5:$E$404,"",Register!$P$5:$P$404,"No date")</f>
        <v/>
      </c>
      <c r="G53" s="10">
        <f>COUNTIFS(Register!$B$5:$B$404,"SP",Register!$E$5:$E$404,"",Register!$F$5:$F$404,"?*")</f>
        <v/>
      </c>
      <c r="I53" s="11" t="inlineStr">
        <is>
          <t>Somerset Pattaya</t>
        </is>
      </c>
    </row>
    <row r="54">
      <c r="A54" s="12" t="inlineStr">
        <is>
          <t>Subtotal</t>
        </is>
      </c>
      <c r="B54" s="13">
        <f>SUM(B50:B53)</f>
        <v/>
      </c>
      <c r="C54" s="13">
        <f>SUM(C50:C53)</f>
        <v/>
      </c>
      <c r="D54" s="13">
        <f>SUM(D50:D53)</f>
        <v/>
      </c>
      <c r="E54" s="13">
        <f>SUM(E50:E53)</f>
        <v/>
      </c>
      <c r="F54" s="13">
        <f>SUM(F50:F53)</f>
        <v/>
      </c>
      <c r="G54" s="13">
        <f>SUM(G50:G53)</f>
        <v/>
      </c>
    </row>
    <row r="56">
      <c r="A56" s="19" t="inlineStr">
        <is>
          <t>ALL</t>
        </is>
      </c>
      <c r="B56" s="20">
        <f>B12+B33+B54</f>
        <v/>
      </c>
      <c r="C56" s="20">
        <f>C12+C33+C54</f>
        <v/>
      </c>
      <c r="D56" s="20">
        <f>D12+D33+D54</f>
        <v/>
      </c>
      <c r="E56" s="20">
        <f>E12+E33+E54</f>
        <v/>
      </c>
      <c r="F56" s="20">
        <f>F12+F33+F54</f>
        <v/>
      </c>
      <c r="G56" s="20">
        <f>G12+G33+G54</f>
        <v/>
      </c>
      <c r="I56" s="4" t="inlineStr">
        <is>
          <t>Owner + Property + Not assigned = every row in the Register</t>
        </is>
      </c>
    </row>
    <row r="58">
      <c r="A58" s="7" t="inlineStr">
        <is>
          <t>Expiring next — soonest first, both responsibilities</t>
        </is>
      </c>
    </row>
    <row r="59">
      <c r="A59" s="21" t="inlineStr">
        <is>
          <t>Hotel</t>
        </is>
      </c>
      <c r="B59" s="21" t="inlineStr">
        <is>
          <t>Renew by</t>
        </is>
      </c>
      <c r="C59" s="21" t="inlineStr">
        <is>
          <t>Document type</t>
        </is>
      </c>
      <c r="D59" s="21" t="inlineStr">
        <is>
          <t>Item</t>
        </is>
      </c>
      <c r="E59" s="21" t="inlineStr">
        <is>
          <t>Counterparty</t>
        </is>
      </c>
      <c r="F59" s="21" t="inlineStr">
        <is>
          <t>Expiry date</t>
        </is>
      </c>
      <c r="G59" s="21" t="inlineStr">
        <is>
          <t>Days left</t>
        </is>
      </c>
      <c r="H59" s="21" t="inlineStr">
        <is>
          <t>Status</t>
        </is>
      </c>
      <c r="I59" s="21" t="inlineStr">
        <is>
          <t>Responsible</t>
        </is>
      </c>
    </row>
    <row r="60">
      <c r="A60" s="22">
        <f>IFERROR(INDEX(Register!$B$5:$B$404,MATCH(SMALL(Register!$V$5:$V$404,ROW()-59),Register!$V$5:$V$404,0)),"")</f>
        <v/>
      </c>
      <c r="B60" s="22">
        <f>IFERROR(INDEX(Register!$E$5:$E$404,MATCH(SMALL(Register!$V$5:$V$404,ROW()-59),Register!$V$5:$V$404,0)),"")</f>
        <v/>
      </c>
      <c r="C60" s="23">
        <f>IFERROR(INDEX(Register!$D$5:$D$404,MATCH(SMALL(Register!$V$5:$V$404,ROW()-59),Register!$V$5:$V$404,0)),"")</f>
        <v/>
      </c>
      <c r="D60" s="23">
        <f>IFERROR(INDEX(Register!$F$5:$F$404,MATCH(SMALL(Register!$V$5:$V$404,ROW()-59),Register!$V$5:$V$404,0)),"")</f>
        <v/>
      </c>
      <c r="E60" s="23">
        <f>IFERROR(INDEX(Register!$H$5:$H$404,MATCH(SMALL(Register!$V$5:$V$404,ROW()-59),Register!$V$5:$V$404,0)),"")</f>
        <v/>
      </c>
      <c r="F60" s="24">
        <f>IFERROR(INDEX(Register!$K$5:$K$404,MATCH(SMALL(Register!$V$5:$V$404,ROW()-59),Register!$V$5:$V$404,0)),"")</f>
        <v/>
      </c>
      <c r="G60" s="22">
        <f>IFERROR(INDEX(Register!$O$5:$O$404,MATCH(SMALL(Register!$V$5:$V$404,ROW()-59),Register!$V$5:$V$404,0)),"")</f>
        <v/>
      </c>
      <c r="H60" s="22">
        <f>IFERROR(INDEX(Register!$P$5:$P$404,MATCH(SMALL(Register!$V$5:$V$404,ROW()-59),Register!$V$5:$V$404,0)),"")</f>
        <v/>
      </c>
      <c r="I60" s="25">
        <f>IFERROR(INDEX(Register!$Q$5:$Q$404,MATCH(SMALL(Register!$V$5:$V$404,ROW()-59),Register!$V$5:$V$404,0)),"")</f>
        <v/>
      </c>
    </row>
    <row r="61">
      <c r="A61" s="22">
        <f>IFERROR(INDEX(Register!$B$5:$B$404,MATCH(SMALL(Register!$V$5:$V$404,ROW()-59),Register!$V$5:$V$404,0)),"")</f>
        <v/>
      </c>
      <c r="B61" s="22">
        <f>IFERROR(INDEX(Register!$E$5:$E$404,MATCH(SMALL(Register!$V$5:$V$404,ROW()-59),Register!$V$5:$V$404,0)),"")</f>
        <v/>
      </c>
      <c r="C61" s="23">
        <f>IFERROR(INDEX(Register!$D$5:$D$404,MATCH(SMALL(Register!$V$5:$V$404,ROW()-59),Register!$V$5:$V$404,0)),"")</f>
        <v/>
      </c>
      <c r="D61" s="23">
        <f>IFERROR(INDEX(Register!$F$5:$F$404,MATCH(SMALL(Register!$V$5:$V$404,ROW()-59),Register!$V$5:$V$404,0)),"")</f>
        <v/>
      </c>
      <c r="E61" s="23">
        <f>IFERROR(INDEX(Register!$H$5:$H$404,MATCH(SMALL(Register!$V$5:$V$404,ROW()-59),Register!$V$5:$V$404,0)),"")</f>
        <v/>
      </c>
      <c r="F61" s="24">
        <f>IFERROR(INDEX(Register!$K$5:$K$404,MATCH(SMALL(Register!$V$5:$V$404,ROW()-59),Register!$V$5:$V$404,0)),"")</f>
        <v/>
      </c>
      <c r="G61" s="22">
        <f>IFERROR(INDEX(Register!$O$5:$O$404,MATCH(SMALL(Register!$V$5:$V$404,ROW()-59),Register!$V$5:$V$404,0)),"")</f>
        <v/>
      </c>
      <c r="H61" s="22">
        <f>IFERROR(INDEX(Register!$P$5:$P$404,MATCH(SMALL(Register!$V$5:$V$404,ROW()-59),Register!$V$5:$V$404,0)),"")</f>
        <v/>
      </c>
      <c r="I61" s="25">
        <f>IFERROR(INDEX(Register!$Q$5:$Q$404,MATCH(SMALL(Register!$V$5:$V$404,ROW()-59),Register!$V$5:$V$404,0)),"")</f>
        <v/>
      </c>
    </row>
    <row r="62">
      <c r="A62" s="22">
        <f>IFERROR(INDEX(Register!$B$5:$B$404,MATCH(SMALL(Register!$V$5:$V$404,ROW()-59),Register!$V$5:$V$404,0)),"")</f>
        <v/>
      </c>
      <c r="B62" s="22">
        <f>IFERROR(INDEX(Register!$E$5:$E$404,MATCH(SMALL(Register!$V$5:$V$404,ROW()-59),Register!$V$5:$V$404,0)),"")</f>
        <v/>
      </c>
      <c r="C62" s="23">
        <f>IFERROR(INDEX(Register!$D$5:$D$404,MATCH(SMALL(Register!$V$5:$V$404,ROW()-59),Register!$V$5:$V$404,0)),"")</f>
        <v/>
      </c>
      <c r="D62" s="23">
        <f>IFERROR(INDEX(Register!$F$5:$F$404,MATCH(SMALL(Register!$V$5:$V$404,ROW()-59),Register!$V$5:$V$404,0)),"")</f>
        <v/>
      </c>
      <c r="E62" s="23">
        <f>IFERROR(INDEX(Register!$H$5:$H$404,MATCH(SMALL(Register!$V$5:$V$404,ROW()-59),Register!$V$5:$V$404,0)),"")</f>
        <v/>
      </c>
      <c r="F62" s="24">
        <f>IFERROR(INDEX(Register!$K$5:$K$404,MATCH(SMALL(Register!$V$5:$V$404,ROW()-59),Register!$V$5:$V$404,0)),"")</f>
        <v/>
      </c>
      <c r="G62" s="22">
        <f>IFERROR(INDEX(Register!$O$5:$O$404,MATCH(SMALL(Register!$V$5:$V$404,ROW()-59),Register!$V$5:$V$404,0)),"")</f>
        <v/>
      </c>
      <c r="H62" s="22">
        <f>IFERROR(INDEX(Register!$P$5:$P$404,MATCH(SMALL(Register!$V$5:$V$404,ROW()-59),Register!$V$5:$V$404,0)),"")</f>
        <v/>
      </c>
      <c r="I62" s="25">
        <f>IFERROR(INDEX(Register!$Q$5:$Q$404,MATCH(SMALL(Register!$V$5:$V$404,ROW()-59),Register!$V$5:$V$404,0)),"")</f>
        <v/>
      </c>
    </row>
    <row r="63">
      <c r="A63" s="22">
        <f>IFERROR(INDEX(Register!$B$5:$B$404,MATCH(SMALL(Register!$V$5:$V$404,ROW()-59),Register!$V$5:$V$404,0)),"")</f>
        <v/>
      </c>
      <c r="B63" s="22">
        <f>IFERROR(INDEX(Register!$E$5:$E$404,MATCH(SMALL(Register!$V$5:$V$404,ROW()-59),Register!$V$5:$V$404,0)),"")</f>
        <v/>
      </c>
      <c r="C63" s="23">
        <f>IFERROR(INDEX(Register!$D$5:$D$404,MATCH(SMALL(Register!$V$5:$V$404,ROW()-59),Register!$V$5:$V$404,0)),"")</f>
        <v/>
      </c>
      <c r="D63" s="23">
        <f>IFERROR(INDEX(Register!$F$5:$F$404,MATCH(SMALL(Register!$V$5:$V$404,ROW()-59),Register!$V$5:$V$404,0)),"")</f>
        <v/>
      </c>
      <c r="E63" s="23">
        <f>IFERROR(INDEX(Register!$H$5:$H$404,MATCH(SMALL(Register!$V$5:$V$404,ROW()-59),Register!$V$5:$V$404,0)),"")</f>
        <v/>
      </c>
      <c r="F63" s="24">
        <f>IFERROR(INDEX(Register!$K$5:$K$404,MATCH(SMALL(Register!$V$5:$V$404,ROW()-59),Register!$V$5:$V$404,0)),"")</f>
        <v/>
      </c>
      <c r="G63" s="22">
        <f>IFERROR(INDEX(Register!$O$5:$O$404,MATCH(SMALL(Register!$V$5:$V$404,ROW()-59),Register!$V$5:$V$404,0)),"")</f>
        <v/>
      </c>
      <c r="H63" s="22">
        <f>IFERROR(INDEX(Register!$P$5:$P$404,MATCH(SMALL(Register!$V$5:$V$404,ROW()-59),Register!$V$5:$V$404,0)),"")</f>
        <v/>
      </c>
      <c r="I63" s="25">
        <f>IFERROR(INDEX(Register!$Q$5:$Q$404,MATCH(SMALL(Register!$V$5:$V$404,ROW()-59),Register!$V$5:$V$404,0)),"")</f>
        <v/>
      </c>
    </row>
    <row r="64">
      <c r="A64" s="22">
        <f>IFERROR(INDEX(Register!$B$5:$B$404,MATCH(SMALL(Register!$V$5:$V$404,ROW()-59),Register!$V$5:$V$404,0)),"")</f>
        <v/>
      </c>
      <c r="B64" s="22">
        <f>IFERROR(INDEX(Register!$E$5:$E$404,MATCH(SMALL(Register!$V$5:$V$404,ROW()-59),Register!$V$5:$V$404,0)),"")</f>
        <v/>
      </c>
      <c r="C64" s="23">
        <f>IFERROR(INDEX(Register!$D$5:$D$404,MATCH(SMALL(Register!$V$5:$V$404,ROW()-59),Register!$V$5:$V$404,0)),"")</f>
        <v/>
      </c>
      <c r="D64" s="23">
        <f>IFERROR(INDEX(Register!$F$5:$F$404,MATCH(SMALL(Register!$V$5:$V$404,ROW()-59),Register!$V$5:$V$404,0)),"")</f>
        <v/>
      </c>
      <c r="E64" s="23">
        <f>IFERROR(INDEX(Register!$H$5:$H$404,MATCH(SMALL(Register!$V$5:$V$404,ROW()-59),Register!$V$5:$V$404,0)),"")</f>
        <v/>
      </c>
      <c r="F64" s="24">
        <f>IFERROR(INDEX(Register!$K$5:$K$404,MATCH(SMALL(Register!$V$5:$V$404,ROW()-59),Register!$V$5:$V$404,0)),"")</f>
        <v/>
      </c>
      <c r="G64" s="22">
        <f>IFERROR(INDEX(Register!$O$5:$O$404,MATCH(SMALL(Register!$V$5:$V$404,ROW()-59),Register!$V$5:$V$404,0)),"")</f>
        <v/>
      </c>
      <c r="H64" s="22">
        <f>IFERROR(INDEX(Register!$P$5:$P$404,MATCH(SMALL(Register!$V$5:$V$404,ROW()-59),Register!$V$5:$V$404,0)),"")</f>
        <v/>
      </c>
      <c r="I64" s="25">
        <f>IFERROR(INDEX(Register!$Q$5:$Q$404,MATCH(SMALL(Register!$V$5:$V$404,ROW()-59),Register!$V$5:$V$404,0)),"")</f>
        <v/>
      </c>
    </row>
    <row r="65">
      <c r="A65" s="22">
        <f>IFERROR(INDEX(Register!$B$5:$B$404,MATCH(SMALL(Register!$V$5:$V$404,ROW()-59),Register!$V$5:$V$404,0)),"")</f>
        <v/>
      </c>
      <c r="B65" s="22">
        <f>IFERROR(INDEX(Register!$E$5:$E$404,MATCH(SMALL(Register!$V$5:$V$404,ROW()-59),Register!$V$5:$V$404,0)),"")</f>
        <v/>
      </c>
      <c r="C65" s="23">
        <f>IFERROR(INDEX(Register!$D$5:$D$404,MATCH(SMALL(Register!$V$5:$V$404,ROW()-59),Register!$V$5:$V$404,0)),"")</f>
        <v/>
      </c>
      <c r="D65" s="23">
        <f>IFERROR(INDEX(Register!$F$5:$F$404,MATCH(SMALL(Register!$V$5:$V$404,ROW()-59),Register!$V$5:$V$404,0)),"")</f>
        <v/>
      </c>
      <c r="E65" s="23">
        <f>IFERROR(INDEX(Register!$H$5:$H$404,MATCH(SMALL(Register!$V$5:$V$404,ROW()-59),Register!$V$5:$V$404,0)),"")</f>
        <v/>
      </c>
      <c r="F65" s="24">
        <f>IFERROR(INDEX(Register!$K$5:$K$404,MATCH(SMALL(Register!$V$5:$V$404,ROW()-59),Register!$V$5:$V$404,0)),"")</f>
        <v/>
      </c>
      <c r="G65" s="22">
        <f>IFERROR(INDEX(Register!$O$5:$O$404,MATCH(SMALL(Register!$V$5:$V$404,ROW()-59),Register!$V$5:$V$404,0)),"")</f>
        <v/>
      </c>
      <c r="H65" s="22">
        <f>IFERROR(INDEX(Register!$P$5:$P$404,MATCH(SMALL(Register!$V$5:$V$404,ROW()-59),Register!$V$5:$V$404,0)),"")</f>
        <v/>
      </c>
      <c r="I65" s="25">
        <f>IFERROR(INDEX(Register!$Q$5:$Q$404,MATCH(SMALL(Register!$V$5:$V$404,ROW()-59),Register!$V$5:$V$404,0)),"")</f>
        <v/>
      </c>
    </row>
    <row r="66">
      <c r="A66" s="22">
        <f>IFERROR(INDEX(Register!$B$5:$B$404,MATCH(SMALL(Register!$V$5:$V$404,ROW()-59),Register!$V$5:$V$404,0)),"")</f>
        <v/>
      </c>
      <c r="B66" s="22">
        <f>IFERROR(INDEX(Register!$E$5:$E$404,MATCH(SMALL(Register!$V$5:$V$404,ROW()-59),Register!$V$5:$V$404,0)),"")</f>
        <v/>
      </c>
      <c r="C66" s="23">
        <f>IFERROR(INDEX(Register!$D$5:$D$404,MATCH(SMALL(Register!$V$5:$V$404,ROW()-59),Register!$V$5:$V$404,0)),"")</f>
        <v/>
      </c>
      <c r="D66" s="23">
        <f>IFERROR(INDEX(Register!$F$5:$F$404,MATCH(SMALL(Register!$V$5:$V$404,ROW()-59),Register!$V$5:$V$404,0)),"")</f>
        <v/>
      </c>
      <c r="E66" s="23">
        <f>IFERROR(INDEX(Register!$H$5:$H$404,MATCH(SMALL(Register!$V$5:$V$404,ROW()-59),Register!$V$5:$V$404,0)),"")</f>
        <v/>
      </c>
      <c r="F66" s="24">
        <f>IFERROR(INDEX(Register!$K$5:$K$404,MATCH(SMALL(Register!$V$5:$V$404,ROW()-59),Register!$V$5:$V$404,0)),"")</f>
        <v/>
      </c>
      <c r="G66" s="22">
        <f>IFERROR(INDEX(Register!$O$5:$O$404,MATCH(SMALL(Register!$V$5:$V$404,ROW()-59),Register!$V$5:$V$404,0)),"")</f>
        <v/>
      </c>
      <c r="H66" s="22">
        <f>IFERROR(INDEX(Register!$P$5:$P$404,MATCH(SMALL(Register!$V$5:$V$404,ROW()-59),Register!$V$5:$V$404,0)),"")</f>
        <v/>
      </c>
      <c r="I66" s="25">
        <f>IFERROR(INDEX(Register!$Q$5:$Q$404,MATCH(SMALL(Register!$V$5:$V$404,ROW()-59),Register!$V$5:$V$404,0)),"")</f>
        <v/>
      </c>
    </row>
    <row r="67">
      <c r="A67" s="22">
        <f>IFERROR(INDEX(Register!$B$5:$B$404,MATCH(SMALL(Register!$V$5:$V$404,ROW()-59),Register!$V$5:$V$404,0)),"")</f>
        <v/>
      </c>
      <c r="B67" s="22">
        <f>IFERROR(INDEX(Register!$E$5:$E$404,MATCH(SMALL(Register!$V$5:$V$404,ROW()-59),Register!$V$5:$V$404,0)),"")</f>
        <v/>
      </c>
      <c r="C67" s="23">
        <f>IFERROR(INDEX(Register!$D$5:$D$404,MATCH(SMALL(Register!$V$5:$V$404,ROW()-59),Register!$V$5:$V$404,0)),"")</f>
        <v/>
      </c>
      <c r="D67" s="23">
        <f>IFERROR(INDEX(Register!$F$5:$F$404,MATCH(SMALL(Register!$V$5:$V$404,ROW()-59),Register!$V$5:$V$404,0)),"")</f>
        <v/>
      </c>
      <c r="E67" s="23">
        <f>IFERROR(INDEX(Register!$H$5:$H$404,MATCH(SMALL(Register!$V$5:$V$404,ROW()-59),Register!$V$5:$V$404,0)),"")</f>
        <v/>
      </c>
      <c r="F67" s="24">
        <f>IFERROR(INDEX(Register!$K$5:$K$404,MATCH(SMALL(Register!$V$5:$V$404,ROW()-59),Register!$V$5:$V$404,0)),"")</f>
        <v/>
      </c>
      <c r="G67" s="22">
        <f>IFERROR(INDEX(Register!$O$5:$O$404,MATCH(SMALL(Register!$V$5:$V$404,ROW()-59),Register!$V$5:$V$404,0)),"")</f>
        <v/>
      </c>
      <c r="H67" s="22">
        <f>IFERROR(INDEX(Register!$P$5:$P$404,MATCH(SMALL(Register!$V$5:$V$404,ROW()-59),Register!$V$5:$V$404,0)),"")</f>
        <v/>
      </c>
      <c r="I67" s="25">
        <f>IFERROR(INDEX(Register!$Q$5:$Q$404,MATCH(SMALL(Register!$V$5:$V$404,ROW()-59),Register!$V$5:$V$404,0)),"")</f>
        <v/>
      </c>
    </row>
    <row r="68">
      <c r="A68" s="22">
        <f>IFERROR(INDEX(Register!$B$5:$B$404,MATCH(SMALL(Register!$V$5:$V$404,ROW()-59),Register!$V$5:$V$404,0)),"")</f>
        <v/>
      </c>
      <c r="B68" s="22">
        <f>IFERROR(INDEX(Register!$E$5:$E$404,MATCH(SMALL(Register!$V$5:$V$404,ROW()-59),Register!$V$5:$V$404,0)),"")</f>
        <v/>
      </c>
      <c r="C68" s="23">
        <f>IFERROR(INDEX(Register!$D$5:$D$404,MATCH(SMALL(Register!$V$5:$V$404,ROW()-59),Register!$V$5:$V$404,0)),"")</f>
        <v/>
      </c>
      <c r="D68" s="23">
        <f>IFERROR(INDEX(Register!$F$5:$F$404,MATCH(SMALL(Register!$V$5:$V$404,ROW()-59),Register!$V$5:$V$404,0)),"")</f>
        <v/>
      </c>
      <c r="E68" s="23">
        <f>IFERROR(INDEX(Register!$H$5:$H$404,MATCH(SMALL(Register!$V$5:$V$404,ROW()-59),Register!$V$5:$V$404,0)),"")</f>
        <v/>
      </c>
      <c r="F68" s="24">
        <f>IFERROR(INDEX(Register!$K$5:$K$404,MATCH(SMALL(Register!$V$5:$V$404,ROW()-59),Register!$V$5:$V$404,0)),"")</f>
        <v/>
      </c>
      <c r="G68" s="22">
        <f>IFERROR(INDEX(Register!$O$5:$O$404,MATCH(SMALL(Register!$V$5:$V$404,ROW()-59),Register!$V$5:$V$404,0)),"")</f>
        <v/>
      </c>
      <c r="H68" s="22">
        <f>IFERROR(INDEX(Register!$P$5:$P$404,MATCH(SMALL(Register!$V$5:$V$404,ROW()-59),Register!$V$5:$V$404,0)),"")</f>
        <v/>
      </c>
      <c r="I68" s="25">
        <f>IFERROR(INDEX(Register!$Q$5:$Q$404,MATCH(SMALL(Register!$V$5:$V$404,ROW()-59),Register!$V$5:$V$404,0)),"")</f>
        <v/>
      </c>
    </row>
    <row r="69">
      <c r="A69" s="22">
        <f>IFERROR(INDEX(Register!$B$5:$B$404,MATCH(SMALL(Register!$V$5:$V$404,ROW()-59),Register!$V$5:$V$404,0)),"")</f>
        <v/>
      </c>
      <c r="B69" s="22">
        <f>IFERROR(INDEX(Register!$E$5:$E$404,MATCH(SMALL(Register!$V$5:$V$404,ROW()-59),Register!$V$5:$V$404,0)),"")</f>
        <v/>
      </c>
      <c r="C69" s="23">
        <f>IFERROR(INDEX(Register!$D$5:$D$404,MATCH(SMALL(Register!$V$5:$V$404,ROW()-59),Register!$V$5:$V$404,0)),"")</f>
        <v/>
      </c>
      <c r="D69" s="23">
        <f>IFERROR(INDEX(Register!$F$5:$F$404,MATCH(SMALL(Register!$V$5:$V$404,ROW()-59),Register!$V$5:$V$404,0)),"")</f>
        <v/>
      </c>
      <c r="E69" s="23">
        <f>IFERROR(INDEX(Register!$H$5:$H$404,MATCH(SMALL(Register!$V$5:$V$404,ROW()-59),Register!$V$5:$V$404,0)),"")</f>
        <v/>
      </c>
      <c r="F69" s="24">
        <f>IFERROR(INDEX(Register!$K$5:$K$404,MATCH(SMALL(Register!$V$5:$V$404,ROW()-59),Register!$V$5:$V$404,0)),"")</f>
        <v/>
      </c>
      <c r="G69" s="22">
        <f>IFERROR(INDEX(Register!$O$5:$O$404,MATCH(SMALL(Register!$V$5:$V$404,ROW()-59),Register!$V$5:$V$404,0)),"")</f>
        <v/>
      </c>
      <c r="H69" s="22">
        <f>IFERROR(INDEX(Register!$P$5:$P$404,MATCH(SMALL(Register!$V$5:$V$404,ROW()-59),Register!$V$5:$V$404,0)),"")</f>
        <v/>
      </c>
      <c r="I69" s="25">
        <f>IFERROR(INDEX(Register!$Q$5:$Q$404,MATCH(SMALL(Register!$V$5:$V$404,ROW()-59),Register!$V$5:$V$404,0)),"")</f>
        <v/>
      </c>
    </row>
    <row r="70">
      <c r="A70" s="22">
        <f>IFERROR(INDEX(Register!$B$5:$B$404,MATCH(SMALL(Register!$V$5:$V$404,ROW()-59),Register!$V$5:$V$404,0)),"")</f>
        <v/>
      </c>
      <c r="B70" s="22">
        <f>IFERROR(INDEX(Register!$E$5:$E$404,MATCH(SMALL(Register!$V$5:$V$404,ROW()-59),Register!$V$5:$V$404,0)),"")</f>
        <v/>
      </c>
      <c r="C70" s="23">
        <f>IFERROR(INDEX(Register!$D$5:$D$404,MATCH(SMALL(Register!$V$5:$V$404,ROW()-59),Register!$V$5:$V$404,0)),"")</f>
        <v/>
      </c>
      <c r="D70" s="23">
        <f>IFERROR(INDEX(Register!$F$5:$F$404,MATCH(SMALL(Register!$V$5:$V$404,ROW()-59),Register!$V$5:$V$404,0)),"")</f>
        <v/>
      </c>
      <c r="E70" s="23">
        <f>IFERROR(INDEX(Register!$H$5:$H$404,MATCH(SMALL(Register!$V$5:$V$404,ROW()-59),Register!$V$5:$V$404,0)),"")</f>
        <v/>
      </c>
      <c r="F70" s="24">
        <f>IFERROR(INDEX(Register!$K$5:$K$404,MATCH(SMALL(Register!$V$5:$V$404,ROW()-59),Register!$V$5:$V$404,0)),"")</f>
        <v/>
      </c>
      <c r="G70" s="22">
        <f>IFERROR(INDEX(Register!$O$5:$O$404,MATCH(SMALL(Register!$V$5:$V$404,ROW()-59),Register!$V$5:$V$404,0)),"")</f>
        <v/>
      </c>
      <c r="H70" s="22">
        <f>IFERROR(INDEX(Register!$P$5:$P$404,MATCH(SMALL(Register!$V$5:$V$404,ROW()-59),Register!$V$5:$V$404,0)),"")</f>
        <v/>
      </c>
      <c r="I70" s="25">
        <f>IFERROR(INDEX(Register!$Q$5:$Q$404,MATCH(SMALL(Register!$V$5:$V$404,ROW()-59),Register!$V$5:$V$404,0)),"")</f>
        <v/>
      </c>
    </row>
    <row r="71">
      <c r="A71" s="22">
        <f>IFERROR(INDEX(Register!$B$5:$B$404,MATCH(SMALL(Register!$V$5:$V$404,ROW()-59),Register!$V$5:$V$404,0)),"")</f>
        <v/>
      </c>
      <c r="B71" s="22">
        <f>IFERROR(INDEX(Register!$E$5:$E$404,MATCH(SMALL(Register!$V$5:$V$404,ROW()-59),Register!$V$5:$V$404,0)),"")</f>
        <v/>
      </c>
      <c r="C71" s="23">
        <f>IFERROR(INDEX(Register!$D$5:$D$404,MATCH(SMALL(Register!$V$5:$V$404,ROW()-59),Register!$V$5:$V$404,0)),"")</f>
        <v/>
      </c>
      <c r="D71" s="23">
        <f>IFERROR(INDEX(Register!$F$5:$F$404,MATCH(SMALL(Register!$V$5:$V$404,ROW()-59),Register!$V$5:$V$404,0)),"")</f>
        <v/>
      </c>
      <c r="E71" s="23">
        <f>IFERROR(INDEX(Register!$H$5:$H$404,MATCH(SMALL(Register!$V$5:$V$404,ROW()-59),Register!$V$5:$V$404,0)),"")</f>
        <v/>
      </c>
      <c r="F71" s="24">
        <f>IFERROR(INDEX(Register!$K$5:$K$404,MATCH(SMALL(Register!$V$5:$V$404,ROW()-59),Register!$V$5:$V$404,0)),"")</f>
        <v/>
      </c>
      <c r="G71" s="22">
        <f>IFERROR(INDEX(Register!$O$5:$O$404,MATCH(SMALL(Register!$V$5:$V$404,ROW()-59),Register!$V$5:$V$404,0)),"")</f>
        <v/>
      </c>
      <c r="H71" s="22">
        <f>IFERROR(INDEX(Register!$P$5:$P$404,MATCH(SMALL(Register!$V$5:$V$404,ROW()-59),Register!$V$5:$V$404,0)),"")</f>
        <v/>
      </c>
      <c r="I71" s="25">
        <f>IFERROR(INDEX(Register!$Q$5:$Q$404,MATCH(SMALL(Register!$V$5:$V$404,ROW()-59),Register!$V$5:$V$404,0)),"")</f>
        <v/>
      </c>
    </row>
    <row r="72">
      <c r="A72" s="22">
        <f>IFERROR(INDEX(Register!$B$5:$B$404,MATCH(SMALL(Register!$V$5:$V$404,ROW()-59),Register!$V$5:$V$404,0)),"")</f>
        <v/>
      </c>
      <c r="B72" s="22">
        <f>IFERROR(INDEX(Register!$E$5:$E$404,MATCH(SMALL(Register!$V$5:$V$404,ROW()-59),Register!$V$5:$V$404,0)),"")</f>
        <v/>
      </c>
      <c r="C72" s="23">
        <f>IFERROR(INDEX(Register!$D$5:$D$404,MATCH(SMALL(Register!$V$5:$V$404,ROW()-59),Register!$V$5:$V$404,0)),"")</f>
        <v/>
      </c>
      <c r="D72" s="23">
        <f>IFERROR(INDEX(Register!$F$5:$F$404,MATCH(SMALL(Register!$V$5:$V$404,ROW()-59),Register!$V$5:$V$404,0)),"")</f>
        <v/>
      </c>
      <c r="E72" s="23">
        <f>IFERROR(INDEX(Register!$H$5:$H$404,MATCH(SMALL(Register!$V$5:$V$404,ROW()-59),Register!$V$5:$V$404,0)),"")</f>
        <v/>
      </c>
      <c r="F72" s="24">
        <f>IFERROR(INDEX(Register!$K$5:$K$404,MATCH(SMALL(Register!$V$5:$V$404,ROW()-59),Register!$V$5:$V$404,0)),"")</f>
        <v/>
      </c>
      <c r="G72" s="22">
        <f>IFERROR(INDEX(Register!$O$5:$O$404,MATCH(SMALL(Register!$V$5:$V$404,ROW()-59),Register!$V$5:$V$404,0)),"")</f>
        <v/>
      </c>
      <c r="H72" s="22">
        <f>IFERROR(INDEX(Register!$P$5:$P$404,MATCH(SMALL(Register!$V$5:$V$404,ROW()-59),Register!$V$5:$V$404,0)),"")</f>
        <v/>
      </c>
      <c r="I72" s="25">
        <f>IFERROR(INDEX(Register!$Q$5:$Q$404,MATCH(SMALL(Register!$V$5:$V$404,ROW()-59),Register!$V$5:$V$404,0)),"")</f>
        <v/>
      </c>
    </row>
    <row r="73">
      <c r="A73" s="22">
        <f>IFERROR(INDEX(Register!$B$5:$B$404,MATCH(SMALL(Register!$V$5:$V$404,ROW()-59),Register!$V$5:$V$404,0)),"")</f>
        <v/>
      </c>
      <c r="B73" s="22">
        <f>IFERROR(INDEX(Register!$E$5:$E$404,MATCH(SMALL(Register!$V$5:$V$404,ROW()-59),Register!$V$5:$V$404,0)),"")</f>
        <v/>
      </c>
      <c r="C73" s="23">
        <f>IFERROR(INDEX(Register!$D$5:$D$404,MATCH(SMALL(Register!$V$5:$V$404,ROW()-59),Register!$V$5:$V$404,0)),"")</f>
        <v/>
      </c>
      <c r="D73" s="23">
        <f>IFERROR(INDEX(Register!$F$5:$F$404,MATCH(SMALL(Register!$V$5:$V$404,ROW()-59),Register!$V$5:$V$404,0)),"")</f>
        <v/>
      </c>
      <c r="E73" s="23">
        <f>IFERROR(INDEX(Register!$H$5:$H$404,MATCH(SMALL(Register!$V$5:$V$404,ROW()-59),Register!$V$5:$V$404,0)),"")</f>
        <v/>
      </c>
      <c r="F73" s="24">
        <f>IFERROR(INDEX(Register!$K$5:$K$404,MATCH(SMALL(Register!$V$5:$V$404,ROW()-59),Register!$V$5:$V$404,0)),"")</f>
        <v/>
      </c>
      <c r="G73" s="22">
        <f>IFERROR(INDEX(Register!$O$5:$O$404,MATCH(SMALL(Register!$V$5:$V$404,ROW()-59),Register!$V$5:$V$404,0)),"")</f>
        <v/>
      </c>
      <c r="H73" s="22">
        <f>IFERROR(INDEX(Register!$P$5:$P$404,MATCH(SMALL(Register!$V$5:$V$404,ROW()-59),Register!$V$5:$V$404,0)),"")</f>
        <v/>
      </c>
      <c r="I73" s="25">
        <f>IFERROR(INDEX(Register!$Q$5:$Q$404,MATCH(SMALL(Register!$V$5:$V$404,ROW()-59),Register!$V$5:$V$404,0)),"")</f>
        <v/>
      </c>
    </row>
    <row r="74">
      <c r="A74" s="22">
        <f>IFERROR(INDEX(Register!$B$5:$B$404,MATCH(SMALL(Register!$V$5:$V$404,ROW()-59),Register!$V$5:$V$404,0)),"")</f>
        <v/>
      </c>
      <c r="B74" s="22">
        <f>IFERROR(INDEX(Register!$E$5:$E$404,MATCH(SMALL(Register!$V$5:$V$404,ROW()-59),Register!$V$5:$V$404,0)),"")</f>
        <v/>
      </c>
      <c r="C74" s="23">
        <f>IFERROR(INDEX(Register!$D$5:$D$404,MATCH(SMALL(Register!$V$5:$V$404,ROW()-59),Register!$V$5:$V$404,0)),"")</f>
        <v/>
      </c>
      <c r="D74" s="23">
        <f>IFERROR(INDEX(Register!$F$5:$F$404,MATCH(SMALL(Register!$V$5:$V$404,ROW()-59),Register!$V$5:$V$404,0)),"")</f>
        <v/>
      </c>
      <c r="E74" s="23">
        <f>IFERROR(INDEX(Register!$H$5:$H$404,MATCH(SMALL(Register!$V$5:$V$404,ROW()-59),Register!$V$5:$V$404,0)),"")</f>
        <v/>
      </c>
      <c r="F74" s="24">
        <f>IFERROR(INDEX(Register!$K$5:$K$404,MATCH(SMALL(Register!$V$5:$V$404,ROW()-59),Register!$V$5:$V$404,0)),"")</f>
        <v/>
      </c>
      <c r="G74" s="22">
        <f>IFERROR(INDEX(Register!$O$5:$O$404,MATCH(SMALL(Register!$V$5:$V$404,ROW()-59),Register!$V$5:$V$404,0)),"")</f>
        <v/>
      </c>
      <c r="H74" s="22">
        <f>IFERROR(INDEX(Register!$P$5:$P$404,MATCH(SMALL(Register!$V$5:$V$404,ROW()-59),Register!$V$5:$V$404,0)),"")</f>
        <v/>
      </c>
      <c r="I74" s="25">
        <f>IFERROR(INDEX(Register!$Q$5:$Q$404,MATCH(SMALL(Register!$V$5:$V$404,ROW()-59),Register!$V$5:$V$404,0)),"")</f>
        <v/>
      </c>
    </row>
    <row r="75">
      <c r="A75" s="22">
        <f>IFERROR(INDEX(Register!$B$5:$B$404,MATCH(SMALL(Register!$V$5:$V$404,ROW()-59),Register!$V$5:$V$404,0)),"")</f>
        <v/>
      </c>
      <c r="B75" s="22">
        <f>IFERROR(INDEX(Register!$E$5:$E$404,MATCH(SMALL(Register!$V$5:$V$404,ROW()-59),Register!$V$5:$V$404,0)),"")</f>
        <v/>
      </c>
      <c r="C75" s="23">
        <f>IFERROR(INDEX(Register!$D$5:$D$404,MATCH(SMALL(Register!$V$5:$V$404,ROW()-59),Register!$V$5:$V$404,0)),"")</f>
        <v/>
      </c>
      <c r="D75" s="23">
        <f>IFERROR(INDEX(Register!$F$5:$F$404,MATCH(SMALL(Register!$V$5:$V$404,ROW()-59),Register!$V$5:$V$404,0)),"")</f>
        <v/>
      </c>
      <c r="E75" s="23">
        <f>IFERROR(INDEX(Register!$H$5:$H$404,MATCH(SMALL(Register!$V$5:$V$404,ROW()-59),Register!$V$5:$V$404,0)),"")</f>
        <v/>
      </c>
      <c r="F75" s="24">
        <f>IFERROR(INDEX(Register!$K$5:$K$404,MATCH(SMALL(Register!$V$5:$V$404,ROW()-59),Register!$V$5:$V$404,0)),"")</f>
        <v/>
      </c>
      <c r="G75" s="22">
        <f>IFERROR(INDEX(Register!$O$5:$O$404,MATCH(SMALL(Register!$V$5:$V$404,ROW()-59),Register!$V$5:$V$404,0)),"")</f>
        <v/>
      </c>
      <c r="H75" s="22">
        <f>IFERROR(INDEX(Register!$P$5:$P$404,MATCH(SMALL(Register!$V$5:$V$404,ROW()-59),Register!$V$5:$V$404,0)),"")</f>
        <v/>
      </c>
      <c r="I75" s="25">
        <f>IFERROR(INDEX(Register!$Q$5:$Q$404,MATCH(SMALL(Register!$V$5:$V$404,ROW()-59),Register!$V$5:$V$404,0)),"")</f>
        <v/>
      </c>
    </row>
    <row r="76">
      <c r="A76" s="22">
        <f>IFERROR(INDEX(Register!$B$5:$B$404,MATCH(SMALL(Register!$V$5:$V$404,ROW()-59),Register!$V$5:$V$404,0)),"")</f>
        <v/>
      </c>
      <c r="B76" s="22">
        <f>IFERROR(INDEX(Register!$E$5:$E$404,MATCH(SMALL(Register!$V$5:$V$404,ROW()-59),Register!$V$5:$V$404,0)),"")</f>
        <v/>
      </c>
      <c r="C76" s="23">
        <f>IFERROR(INDEX(Register!$D$5:$D$404,MATCH(SMALL(Register!$V$5:$V$404,ROW()-59),Register!$V$5:$V$404,0)),"")</f>
        <v/>
      </c>
      <c r="D76" s="23">
        <f>IFERROR(INDEX(Register!$F$5:$F$404,MATCH(SMALL(Register!$V$5:$V$404,ROW()-59),Register!$V$5:$V$404,0)),"")</f>
        <v/>
      </c>
      <c r="E76" s="23">
        <f>IFERROR(INDEX(Register!$H$5:$H$404,MATCH(SMALL(Register!$V$5:$V$404,ROW()-59),Register!$V$5:$V$404,0)),"")</f>
        <v/>
      </c>
      <c r="F76" s="24">
        <f>IFERROR(INDEX(Register!$K$5:$K$404,MATCH(SMALL(Register!$V$5:$V$404,ROW()-59),Register!$V$5:$V$404,0)),"")</f>
        <v/>
      </c>
      <c r="G76" s="22">
        <f>IFERROR(INDEX(Register!$O$5:$O$404,MATCH(SMALL(Register!$V$5:$V$404,ROW()-59),Register!$V$5:$V$404,0)),"")</f>
        <v/>
      </c>
      <c r="H76" s="22">
        <f>IFERROR(INDEX(Register!$P$5:$P$404,MATCH(SMALL(Register!$V$5:$V$404,ROW()-59),Register!$V$5:$V$404,0)),"")</f>
        <v/>
      </c>
      <c r="I76" s="25">
        <f>IFERROR(INDEX(Register!$Q$5:$Q$404,MATCH(SMALL(Register!$V$5:$V$404,ROW()-59),Register!$V$5:$V$404,0)),"")</f>
        <v/>
      </c>
    </row>
    <row r="77">
      <c r="A77" s="22">
        <f>IFERROR(INDEX(Register!$B$5:$B$404,MATCH(SMALL(Register!$V$5:$V$404,ROW()-59),Register!$V$5:$V$404,0)),"")</f>
        <v/>
      </c>
      <c r="B77" s="22">
        <f>IFERROR(INDEX(Register!$E$5:$E$404,MATCH(SMALL(Register!$V$5:$V$404,ROW()-59),Register!$V$5:$V$404,0)),"")</f>
        <v/>
      </c>
      <c r="C77" s="23">
        <f>IFERROR(INDEX(Register!$D$5:$D$404,MATCH(SMALL(Register!$V$5:$V$404,ROW()-59),Register!$V$5:$V$404,0)),"")</f>
        <v/>
      </c>
      <c r="D77" s="23">
        <f>IFERROR(INDEX(Register!$F$5:$F$404,MATCH(SMALL(Register!$V$5:$V$404,ROW()-59),Register!$V$5:$V$404,0)),"")</f>
        <v/>
      </c>
      <c r="E77" s="23">
        <f>IFERROR(INDEX(Register!$H$5:$H$404,MATCH(SMALL(Register!$V$5:$V$404,ROW()-59),Register!$V$5:$V$404,0)),"")</f>
        <v/>
      </c>
      <c r="F77" s="24">
        <f>IFERROR(INDEX(Register!$K$5:$K$404,MATCH(SMALL(Register!$V$5:$V$404,ROW()-59),Register!$V$5:$V$404,0)),"")</f>
        <v/>
      </c>
      <c r="G77" s="22">
        <f>IFERROR(INDEX(Register!$O$5:$O$404,MATCH(SMALL(Register!$V$5:$V$404,ROW()-59),Register!$V$5:$V$404,0)),"")</f>
        <v/>
      </c>
      <c r="H77" s="22">
        <f>IFERROR(INDEX(Register!$P$5:$P$404,MATCH(SMALL(Register!$V$5:$V$404,ROW()-59),Register!$V$5:$V$404,0)),"")</f>
        <v/>
      </c>
      <c r="I77" s="25">
        <f>IFERROR(INDEX(Register!$Q$5:$Q$404,MATCH(SMALL(Register!$V$5:$V$404,ROW()-59),Register!$V$5:$V$404,0)),"")</f>
        <v/>
      </c>
    </row>
    <row r="78">
      <c r="A78" s="22">
        <f>IFERROR(INDEX(Register!$B$5:$B$404,MATCH(SMALL(Register!$V$5:$V$404,ROW()-59),Register!$V$5:$V$404,0)),"")</f>
        <v/>
      </c>
      <c r="B78" s="22">
        <f>IFERROR(INDEX(Register!$E$5:$E$404,MATCH(SMALL(Register!$V$5:$V$404,ROW()-59),Register!$V$5:$V$404,0)),"")</f>
        <v/>
      </c>
      <c r="C78" s="23">
        <f>IFERROR(INDEX(Register!$D$5:$D$404,MATCH(SMALL(Register!$V$5:$V$404,ROW()-59),Register!$V$5:$V$404,0)),"")</f>
        <v/>
      </c>
      <c r="D78" s="23">
        <f>IFERROR(INDEX(Register!$F$5:$F$404,MATCH(SMALL(Register!$V$5:$V$404,ROW()-59),Register!$V$5:$V$404,0)),"")</f>
        <v/>
      </c>
      <c r="E78" s="23">
        <f>IFERROR(INDEX(Register!$H$5:$H$404,MATCH(SMALL(Register!$V$5:$V$404,ROW()-59),Register!$V$5:$V$404,0)),"")</f>
        <v/>
      </c>
      <c r="F78" s="24">
        <f>IFERROR(INDEX(Register!$K$5:$K$404,MATCH(SMALL(Register!$V$5:$V$404,ROW()-59),Register!$V$5:$V$404,0)),"")</f>
        <v/>
      </c>
      <c r="G78" s="22">
        <f>IFERROR(INDEX(Register!$O$5:$O$404,MATCH(SMALL(Register!$V$5:$V$404,ROW()-59),Register!$V$5:$V$404,0)),"")</f>
        <v/>
      </c>
      <c r="H78" s="22">
        <f>IFERROR(INDEX(Register!$P$5:$P$404,MATCH(SMALL(Register!$V$5:$V$404,ROW()-59),Register!$V$5:$V$404,0)),"")</f>
        <v/>
      </c>
      <c r="I78" s="25">
        <f>IFERROR(INDEX(Register!$Q$5:$Q$404,MATCH(SMALL(Register!$V$5:$V$404,ROW()-59),Register!$V$5:$V$404,0)),"")</f>
        <v/>
      </c>
    </row>
    <row r="79">
      <c r="A79" s="22">
        <f>IFERROR(INDEX(Register!$B$5:$B$404,MATCH(SMALL(Register!$V$5:$V$404,ROW()-59),Register!$V$5:$V$404,0)),"")</f>
        <v/>
      </c>
      <c r="B79" s="22">
        <f>IFERROR(INDEX(Register!$E$5:$E$404,MATCH(SMALL(Register!$V$5:$V$404,ROW()-59),Register!$V$5:$V$404,0)),"")</f>
        <v/>
      </c>
      <c r="C79" s="23">
        <f>IFERROR(INDEX(Register!$D$5:$D$404,MATCH(SMALL(Register!$V$5:$V$404,ROW()-59),Register!$V$5:$V$404,0)),"")</f>
        <v/>
      </c>
      <c r="D79" s="23">
        <f>IFERROR(INDEX(Register!$F$5:$F$404,MATCH(SMALL(Register!$V$5:$V$404,ROW()-59),Register!$V$5:$V$404,0)),"")</f>
        <v/>
      </c>
      <c r="E79" s="23">
        <f>IFERROR(INDEX(Register!$H$5:$H$404,MATCH(SMALL(Register!$V$5:$V$404,ROW()-59),Register!$V$5:$V$404,0)),"")</f>
        <v/>
      </c>
      <c r="F79" s="24">
        <f>IFERROR(INDEX(Register!$K$5:$K$404,MATCH(SMALL(Register!$V$5:$V$404,ROW()-59),Register!$V$5:$V$404,0)),"")</f>
        <v/>
      </c>
      <c r="G79" s="22">
        <f>IFERROR(INDEX(Register!$O$5:$O$404,MATCH(SMALL(Register!$V$5:$V$404,ROW()-59),Register!$V$5:$V$404,0)),"")</f>
        <v/>
      </c>
      <c r="H79" s="22">
        <f>IFERROR(INDEX(Register!$P$5:$P$404,MATCH(SMALL(Register!$V$5:$V$404,ROW()-59),Register!$V$5:$V$404,0)),"")</f>
        <v/>
      </c>
      <c r="I79" s="25">
        <f>IFERROR(INDEX(Register!$Q$5:$Q$404,MATCH(SMALL(Register!$V$5:$V$404,ROW()-59),Register!$V$5:$V$404,0)),"")</f>
        <v/>
      </c>
    </row>
    <row r="80">
      <c r="A80" s="22">
        <f>IFERROR(INDEX(Register!$B$5:$B$404,MATCH(SMALL(Register!$V$5:$V$404,ROW()-59),Register!$V$5:$V$404,0)),"")</f>
        <v/>
      </c>
      <c r="B80" s="22">
        <f>IFERROR(INDEX(Register!$E$5:$E$404,MATCH(SMALL(Register!$V$5:$V$404,ROW()-59),Register!$V$5:$V$404,0)),"")</f>
        <v/>
      </c>
      <c r="C80" s="23">
        <f>IFERROR(INDEX(Register!$D$5:$D$404,MATCH(SMALL(Register!$V$5:$V$404,ROW()-59),Register!$V$5:$V$404,0)),"")</f>
        <v/>
      </c>
      <c r="D80" s="23">
        <f>IFERROR(INDEX(Register!$F$5:$F$404,MATCH(SMALL(Register!$V$5:$V$404,ROW()-59),Register!$V$5:$V$404,0)),"")</f>
        <v/>
      </c>
      <c r="E80" s="23">
        <f>IFERROR(INDEX(Register!$H$5:$H$404,MATCH(SMALL(Register!$V$5:$V$404,ROW()-59),Register!$V$5:$V$404,0)),"")</f>
        <v/>
      </c>
      <c r="F80" s="24">
        <f>IFERROR(INDEX(Register!$K$5:$K$404,MATCH(SMALL(Register!$V$5:$V$404,ROW()-59),Register!$V$5:$V$404,0)),"")</f>
        <v/>
      </c>
      <c r="G80" s="22">
        <f>IFERROR(INDEX(Register!$O$5:$O$404,MATCH(SMALL(Register!$V$5:$V$404,ROW()-59),Register!$V$5:$V$404,0)),"")</f>
        <v/>
      </c>
      <c r="H80" s="22">
        <f>IFERROR(INDEX(Register!$P$5:$P$404,MATCH(SMALL(Register!$V$5:$V$404,ROW()-59),Register!$V$5:$V$404,0)),"")</f>
        <v/>
      </c>
      <c r="I80" s="25">
        <f>IFERROR(INDEX(Register!$Q$5:$Q$404,MATCH(SMALL(Register!$V$5:$V$404,ROW()-59),Register!$V$5:$V$404,0)),"")</f>
        <v/>
      </c>
    </row>
    <row r="81">
      <c r="A81" s="22">
        <f>IFERROR(INDEX(Register!$B$5:$B$404,MATCH(SMALL(Register!$V$5:$V$404,ROW()-59),Register!$V$5:$V$404,0)),"")</f>
        <v/>
      </c>
      <c r="B81" s="22">
        <f>IFERROR(INDEX(Register!$E$5:$E$404,MATCH(SMALL(Register!$V$5:$V$404,ROW()-59),Register!$V$5:$V$404,0)),"")</f>
        <v/>
      </c>
      <c r="C81" s="23">
        <f>IFERROR(INDEX(Register!$D$5:$D$404,MATCH(SMALL(Register!$V$5:$V$404,ROW()-59),Register!$V$5:$V$404,0)),"")</f>
        <v/>
      </c>
      <c r="D81" s="23">
        <f>IFERROR(INDEX(Register!$F$5:$F$404,MATCH(SMALL(Register!$V$5:$V$404,ROW()-59),Register!$V$5:$V$404,0)),"")</f>
        <v/>
      </c>
      <c r="E81" s="23">
        <f>IFERROR(INDEX(Register!$H$5:$H$404,MATCH(SMALL(Register!$V$5:$V$404,ROW()-59),Register!$V$5:$V$404,0)),"")</f>
        <v/>
      </c>
      <c r="F81" s="24">
        <f>IFERROR(INDEX(Register!$K$5:$K$404,MATCH(SMALL(Register!$V$5:$V$404,ROW()-59),Register!$V$5:$V$404,0)),"")</f>
        <v/>
      </c>
      <c r="G81" s="22">
        <f>IFERROR(INDEX(Register!$O$5:$O$404,MATCH(SMALL(Register!$V$5:$V$404,ROW()-59),Register!$V$5:$V$404,0)),"")</f>
        <v/>
      </c>
      <c r="H81" s="22">
        <f>IFERROR(INDEX(Register!$P$5:$P$404,MATCH(SMALL(Register!$V$5:$V$404,ROW()-59),Register!$V$5:$V$404,0)),"")</f>
        <v/>
      </c>
      <c r="I81" s="25">
        <f>IFERROR(INDEX(Register!$Q$5:$Q$404,MATCH(SMALL(Register!$V$5:$V$404,ROW()-59),Register!$V$5:$V$404,0)),"")</f>
        <v/>
      </c>
    </row>
    <row r="82">
      <c r="A82" s="22">
        <f>IFERROR(INDEX(Register!$B$5:$B$404,MATCH(SMALL(Register!$V$5:$V$404,ROW()-59),Register!$V$5:$V$404,0)),"")</f>
        <v/>
      </c>
      <c r="B82" s="22">
        <f>IFERROR(INDEX(Register!$E$5:$E$404,MATCH(SMALL(Register!$V$5:$V$404,ROW()-59),Register!$V$5:$V$404,0)),"")</f>
        <v/>
      </c>
      <c r="C82" s="23">
        <f>IFERROR(INDEX(Register!$D$5:$D$404,MATCH(SMALL(Register!$V$5:$V$404,ROW()-59),Register!$V$5:$V$404,0)),"")</f>
        <v/>
      </c>
      <c r="D82" s="23">
        <f>IFERROR(INDEX(Register!$F$5:$F$404,MATCH(SMALL(Register!$V$5:$V$404,ROW()-59),Register!$V$5:$V$404,0)),"")</f>
        <v/>
      </c>
      <c r="E82" s="23">
        <f>IFERROR(INDEX(Register!$H$5:$H$404,MATCH(SMALL(Register!$V$5:$V$404,ROW()-59),Register!$V$5:$V$404,0)),"")</f>
        <v/>
      </c>
      <c r="F82" s="24">
        <f>IFERROR(INDEX(Register!$K$5:$K$404,MATCH(SMALL(Register!$V$5:$V$404,ROW()-59),Register!$V$5:$V$404,0)),"")</f>
        <v/>
      </c>
      <c r="G82" s="22">
        <f>IFERROR(INDEX(Register!$O$5:$O$404,MATCH(SMALL(Register!$V$5:$V$404,ROW()-59),Register!$V$5:$V$404,0)),"")</f>
        <v/>
      </c>
      <c r="H82" s="22">
        <f>IFERROR(INDEX(Register!$P$5:$P$404,MATCH(SMALL(Register!$V$5:$V$404,ROW()-59),Register!$V$5:$V$404,0)),"")</f>
        <v/>
      </c>
      <c r="I82" s="25">
        <f>IFERROR(INDEX(Register!$Q$5:$Q$404,MATCH(SMALL(Register!$V$5:$V$404,ROW()-59),Register!$V$5:$V$404,0)),"")</f>
        <v/>
      </c>
    </row>
    <row r="83">
      <c r="A83" s="22">
        <f>IFERROR(INDEX(Register!$B$5:$B$404,MATCH(SMALL(Register!$V$5:$V$404,ROW()-59),Register!$V$5:$V$404,0)),"")</f>
        <v/>
      </c>
      <c r="B83" s="22">
        <f>IFERROR(INDEX(Register!$E$5:$E$404,MATCH(SMALL(Register!$V$5:$V$404,ROW()-59),Register!$V$5:$V$404,0)),"")</f>
        <v/>
      </c>
      <c r="C83" s="23">
        <f>IFERROR(INDEX(Register!$D$5:$D$404,MATCH(SMALL(Register!$V$5:$V$404,ROW()-59),Register!$V$5:$V$404,0)),"")</f>
        <v/>
      </c>
      <c r="D83" s="23">
        <f>IFERROR(INDEX(Register!$F$5:$F$404,MATCH(SMALL(Register!$V$5:$V$404,ROW()-59),Register!$V$5:$V$404,0)),"")</f>
        <v/>
      </c>
      <c r="E83" s="23">
        <f>IFERROR(INDEX(Register!$H$5:$H$404,MATCH(SMALL(Register!$V$5:$V$404,ROW()-59),Register!$V$5:$V$404,0)),"")</f>
        <v/>
      </c>
      <c r="F83" s="24">
        <f>IFERROR(INDEX(Register!$K$5:$K$404,MATCH(SMALL(Register!$V$5:$V$404,ROW()-59),Register!$V$5:$V$404,0)),"")</f>
        <v/>
      </c>
      <c r="G83" s="22">
        <f>IFERROR(INDEX(Register!$O$5:$O$404,MATCH(SMALL(Register!$V$5:$V$404,ROW()-59),Register!$V$5:$V$404,0)),"")</f>
        <v/>
      </c>
      <c r="H83" s="22">
        <f>IFERROR(INDEX(Register!$P$5:$P$404,MATCH(SMALL(Register!$V$5:$V$404,ROW()-59),Register!$V$5:$V$404,0)),"")</f>
        <v/>
      </c>
      <c r="I83" s="25">
        <f>IFERROR(INDEX(Register!$Q$5:$Q$404,MATCH(SMALL(Register!$V$5:$V$404,ROW()-59),Register!$V$5:$V$404,0)),"")</f>
        <v/>
      </c>
    </row>
    <row r="84">
      <c r="A84" s="22">
        <f>IFERROR(INDEX(Register!$B$5:$B$404,MATCH(SMALL(Register!$V$5:$V$404,ROW()-59),Register!$V$5:$V$404,0)),"")</f>
        <v/>
      </c>
      <c r="B84" s="22">
        <f>IFERROR(INDEX(Register!$E$5:$E$404,MATCH(SMALL(Register!$V$5:$V$404,ROW()-59),Register!$V$5:$V$404,0)),"")</f>
        <v/>
      </c>
      <c r="C84" s="23">
        <f>IFERROR(INDEX(Register!$D$5:$D$404,MATCH(SMALL(Register!$V$5:$V$404,ROW()-59),Register!$V$5:$V$404,0)),"")</f>
        <v/>
      </c>
      <c r="D84" s="23">
        <f>IFERROR(INDEX(Register!$F$5:$F$404,MATCH(SMALL(Register!$V$5:$V$404,ROW()-59),Register!$V$5:$V$404,0)),"")</f>
        <v/>
      </c>
      <c r="E84" s="23">
        <f>IFERROR(INDEX(Register!$H$5:$H$404,MATCH(SMALL(Register!$V$5:$V$404,ROW()-59),Register!$V$5:$V$404,0)),"")</f>
        <v/>
      </c>
      <c r="F84" s="24">
        <f>IFERROR(INDEX(Register!$K$5:$K$404,MATCH(SMALL(Register!$V$5:$V$404,ROW()-59),Register!$V$5:$V$404,0)),"")</f>
        <v/>
      </c>
      <c r="G84" s="22">
        <f>IFERROR(INDEX(Register!$O$5:$O$404,MATCH(SMALL(Register!$V$5:$V$404,ROW()-59),Register!$V$5:$V$404,0)),"")</f>
        <v/>
      </c>
      <c r="H84" s="22">
        <f>IFERROR(INDEX(Register!$P$5:$P$404,MATCH(SMALL(Register!$V$5:$V$404,ROW()-59),Register!$V$5:$V$404,0)),"")</f>
        <v/>
      </c>
      <c r="I84" s="25">
        <f>IFERROR(INDEX(Register!$Q$5:$Q$404,MATCH(SMALL(Register!$V$5:$V$404,ROW()-59),Register!$V$5:$V$404,0)),"")</f>
        <v/>
      </c>
    </row>
    <row r="85">
      <c r="A85" s="22">
        <f>IFERROR(INDEX(Register!$B$5:$B$404,MATCH(SMALL(Register!$V$5:$V$404,ROW()-59),Register!$V$5:$V$404,0)),"")</f>
        <v/>
      </c>
      <c r="B85" s="22">
        <f>IFERROR(INDEX(Register!$E$5:$E$404,MATCH(SMALL(Register!$V$5:$V$404,ROW()-59),Register!$V$5:$V$404,0)),"")</f>
        <v/>
      </c>
      <c r="C85" s="23">
        <f>IFERROR(INDEX(Register!$D$5:$D$404,MATCH(SMALL(Register!$V$5:$V$404,ROW()-59),Register!$V$5:$V$404,0)),"")</f>
        <v/>
      </c>
      <c r="D85" s="23">
        <f>IFERROR(INDEX(Register!$F$5:$F$404,MATCH(SMALL(Register!$V$5:$V$404,ROW()-59),Register!$V$5:$V$404,0)),"")</f>
        <v/>
      </c>
      <c r="E85" s="23">
        <f>IFERROR(INDEX(Register!$H$5:$H$404,MATCH(SMALL(Register!$V$5:$V$404,ROW()-59),Register!$V$5:$V$404,0)),"")</f>
        <v/>
      </c>
      <c r="F85" s="24">
        <f>IFERROR(INDEX(Register!$K$5:$K$404,MATCH(SMALL(Register!$V$5:$V$404,ROW()-59),Register!$V$5:$V$404,0)),"")</f>
        <v/>
      </c>
      <c r="G85" s="22">
        <f>IFERROR(INDEX(Register!$O$5:$O$404,MATCH(SMALL(Register!$V$5:$V$404,ROW()-59),Register!$V$5:$V$404,0)),"")</f>
        <v/>
      </c>
      <c r="H85" s="22">
        <f>IFERROR(INDEX(Register!$P$5:$P$404,MATCH(SMALL(Register!$V$5:$V$404,ROW()-59),Register!$V$5:$V$404,0)),"")</f>
        <v/>
      </c>
      <c r="I85" s="25">
        <f>IFERROR(INDEX(Register!$Q$5:$Q$404,MATCH(SMALL(Register!$V$5:$V$404,ROW()-59),Register!$V$5:$V$404,0)),"")</f>
        <v/>
      </c>
    </row>
    <row r="86">
      <c r="A86" s="22">
        <f>IFERROR(INDEX(Register!$B$5:$B$404,MATCH(SMALL(Register!$V$5:$V$404,ROW()-59),Register!$V$5:$V$404,0)),"")</f>
        <v/>
      </c>
      <c r="B86" s="22">
        <f>IFERROR(INDEX(Register!$E$5:$E$404,MATCH(SMALL(Register!$V$5:$V$404,ROW()-59),Register!$V$5:$V$404,0)),"")</f>
        <v/>
      </c>
      <c r="C86" s="23">
        <f>IFERROR(INDEX(Register!$D$5:$D$404,MATCH(SMALL(Register!$V$5:$V$404,ROW()-59),Register!$V$5:$V$404,0)),"")</f>
        <v/>
      </c>
      <c r="D86" s="23">
        <f>IFERROR(INDEX(Register!$F$5:$F$404,MATCH(SMALL(Register!$V$5:$V$404,ROW()-59),Register!$V$5:$V$404,0)),"")</f>
        <v/>
      </c>
      <c r="E86" s="23">
        <f>IFERROR(INDEX(Register!$H$5:$H$404,MATCH(SMALL(Register!$V$5:$V$404,ROW()-59),Register!$V$5:$V$404,0)),"")</f>
        <v/>
      </c>
      <c r="F86" s="24">
        <f>IFERROR(INDEX(Register!$K$5:$K$404,MATCH(SMALL(Register!$V$5:$V$404,ROW()-59),Register!$V$5:$V$404,0)),"")</f>
        <v/>
      </c>
      <c r="G86" s="22">
        <f>IFERROR(INDEX(Register!$O$5:$O$404,MATCH(SMALL(Register!$V$5:$V$404,ROW()-59),Register!$V$5:$V$404,0)),"")</f>
        <v/>
      </c>
      <c r="H86" s="22">
        <f>IFERROR(INDEX(Register!$P$5:$P$404,MATCH(SMALL(Register!$V$5:$V$404,ROW()-59),Register!$V$5:$V$404,0)),"")</f>
        <v/>
      </c>
      <c r="I86" s="25">
        <f>IFERROR(INDEX(Register!$Q$5:$Q$404,MATCH(SMALL(Register!$V$5:$V$404,ROW()-59),Register!$V$5:$V$404,0)),"")</f>
        <v/>
      </c>
    </row>
    <row r="87">
      <c r="A87" s="22">
        <f>IFERROR(INDEX(Register!$B$5:$B$404,MATCH(SMALL(Register!$V$5:$V$404,ROW()-59),Register!$V$5:$V$404,0)),"")</f>
        <v/>
      </c>
      <c r="B87" s="22">
        <f>IFERROR(INDEX(Register!$E$5:$E$404,MATCH(SMALL(Register!$V$5:$V$404,ROW()-59),Register!$V$5:$V$404,0)),"")</f>
        <v/>
      </c>
      <c r="C87" s="23">
        <f>IFERROR(INDEX(Register!$D$5:$D$404,MATCH(SMALL(Register!$V$5:$V$404,ROW()-59),Register!$V$5:$V$404,0)),"")</f>
        <v/>
      </c>
      <c r="D87" s="23">
        <f>IFERROR(INDEX(Register!$F$5:$F$404,MATCH(SMALL(Register!$V$5:$V$404,ROW()-59),Register!$V$5:$V$404,0)),"")</f>
        <v/>
      </c>
      <c r="E87" s="23">
        <f>IFERROR(INDEX(Register!$H$5:$H$404,MATCH(SMALL(Register!$V$5:$V$404,ROW()-59),Register!$V$5:$V$404,0)),"")</f>
        <v/>
      </c>
      <c r="F87" s="24">
        <f>IFERROR(INDEX(Register!$K$5:$K$404,MATCH(SMALL(Register!$V$5:$V$404,ROW()-59),Register!$V$5:$V$404,0)),"")</f>
        <v/>
      </c>
      <c r="G87" s="22">
        <f>IFERROR(INDEX(Register!$O$5:$O$404,MATCH(SMALL(Register!$V$5:$V$404,ROW()-59),Register!$V$5:$V$404,0)),"")</f>
        <v/>
      </c>
      <c r="H87" s="22">
        <f>IFERROR(INDEX(Register!$P$5:$P$404,MATCH(SMALL(Register!$V$5:$V$404,ROW()-59),Register!$V$5:$V$404,0)),"")</f>
        <v/>
      </c>
      <c r="I87" s="25">
        <f>IFERROR(INDEX(Register!$Q$5:$Q$404,MATCH(SMALL(Register!$V$5:$V$404,ROW()-59),Register!$V$5:$V$404,0)),"")</f>
        <v/>
      </c>
    </row>
    <row r="88">
      <c r="A88" s="22">
        <f>IFERROR(INDEX(Register!$B$5:$B$404,MATCH(SMALL(Register!$V$5:$V$404,ROW()-59),Register!$V$5:$V$404,0)),"")</f>
        <v/>
      </c>
      <c r="B88" s="22">
        <f>IFERROR(INDEX(Register!$E$5:$E$404,MATCH(SMALL(Register!$V$5:$V$404,ROW()-59),Register!$V$5:$V$404,0)),"")</f>
        <v/>
      </c>
      <c r="C88" s="23">
        <f>IFERROR(INDEX(Register!$D$5:$D$404,MATCH(SMALL(Register!$V$5:$V$404,ROW()-59),Register!$V$5:$V$404,0)),"")</f>
        <v/>
      </c>
      <c r="D88" s="23">
        <f>IFERROR(INDEX(Register!$F$5:$F$404,MATCH(SMALL(Register!$V$5:$V$404,ROW()-59),Register!$V$5:$V$404,0)),"")</f>
        <v/>
      </c>
      <c r="E88" s="23">
        <f>IFERROR(INDEX(Register!$H$5:$H$404,MATCH(SMALL(Register!$V$5:$V$404,ROW()-59),Register!$V$5:$V$404,0)),"")</f>
        <v/>
      </c>
      <c r="F88" s="24">
        <f>IFERROR(INDEX(Register!$K$5:$K$404,MATCH(SMALL(Register!$V$5:$V$404,ROW()-59),Register!$V$5:$V$404,0)),"")</f>
        <v/>
      </c>
      <c r="G88" s="22">
        <f>IFERROR(INDEX(Register!$O$5:$O$404,MATCH(SMALL(Register!$V$5:$V$404,ROW()-59),Register!$V$5:$V$404,0)),"")</f>
        <v/>
      </c>
      <c r="H88" s="22">
        <f>IFERROR(INDEX(Register!$P$5:$P$404,MATCH(SMALL(Register!$V$5:$V$404,ROW()-59),Register!$V$5:$V$404,0)),"")</f>
        <v/>
      </c>
      <c r="I88" s="25">
        <f>IFERROR(INDEX(Register!$Q$5:$Q$404,MATCH(SMALL(Register!$V$5:$V$404,ROW()-59),Register!$V$5:$V$404,0)),"")</f>
        <v/>
      </c>
    </row>
    <row r="89">
      <c r="A89" s="22">
        <f>IFERROR(INDEX(Register!$B$5:$B$404,MATCH(SMALL(Register!$V$5:$V$404,ROW()-59),Register!$V$5:$V$404,0)),"")</f>
        <v/>
      </c>
      <c r="B89" s="22">
        <f>IFERROR(INDEX(Register!$E$5:$E$404,MATCH(SMALL(Register!$V$5:$V$404,ROW()-59),Register!$V$5:$V$404,0)),"")</f>
        <v/>
      </c>
      <c r="C89" s="23">
        <f>IFERROR(INDEX(Register!$D$5:$D$404,MATCH(SMALL(Register!$V$5:$V$404,ROW()-59),Register!$V$5:$V$404,0)),"")</f>
        <v/>
      </c>
      <c r="D89" s="23">
        <f>IFERROR(INDEX(Register!$F$5:$F$404,MATCH(SMALL(Register!$V$5:$V$404,ROW()-59),Register!$V$5:$V$404,0)),"")</f>
        <v/>
      </c>
      <c r="E89" s="23">
        <f>IFERROR(INDEX(Register!$H$5:$H$404,MATCH(SMALL(Register!$V$5:$V$404,ROW()-59),Register!$V$5:$V$404,0)),"")</f>
        <v/>
      </c>
      <c r="F89" s="24">
        <f>IFERROR(INDEX(Register!$K$5:$K$404,MATCH(SMALL(Register!$V$5:$V$404,ROW()-59),Register!$V$5:$V$404,0)),"")</f>
        <v/>
      </c>
      <c r="G89" s="22">
        <f>IFERROR(INDEX(Register!$O$5:$O$404,MATCH(SMALL(Register!$V$5:$V$404,ROW()-59),Register!$V$5:$V$404,0)),"")</f>
        <v/>
      </c>
      <c r="H89" s="22">
        <f>IFERROR(INDEX(Register!$P$5:$P$404,MATCH(SMALL(Register!$V$5:$V$404,ROW()-59),Register!$V$5:$V$404,0)),"")</f>
        <v/>
      </c>
      <c r="I89" s="25">
        <f>IFERROR(INDEX(Register!$Q$5:$Q$404,MATCH(SMALL(Register!$V$5:$V$404,ROW()-59),Register!$V$5:$V$404,0)),"")</f>
        <v/>
      </c>
    </row>
    <row r="92">
      <c r="A92" s="26" t="inlineStr">
        <is>
          <t>Who renews it / ใครต่ออายุ</t>
        </is>
      </c>
    </row>
    <row r="93">
      <c r="A93" s="27" t="inlineStr">
        <is>
          <t>Owner</t>
        </is>
      </c>
      <c r="B93" s="4" t="inlineStr">
        <is>
          <t>the asset company (AMH …): building, entity, taxes, asset insurance, head agreements — เจ้าของอาคาร</t>
        </is>
      </c>
    </row>
    <row r="94">
      <c r="A94" s="28" t="inlineStr">
        <is>
          <t>Property</t>
        </is>
      </c>
      <c r="B94" s="4" t="inlineStr">
        <is>
          <t>the hotel operation: guest-facing licences, staff, suppliers, OTAs — ฝ่ายโรงแรม</t>
        </is>
      </c>
    </row>
    <row r="96">
      <c r="A96" s="26" t="inlineStr">
        <is>
          <t>Colours / สีบอกสถานะ</t>
        </is>
      </c>
    </row>
    <row r="97">
      <c r="A97" s="29" t="inlineStr">
        <is>
          <t>Expired</t>
        </is>
      </c>
      <c r="B97" s="4" t="inlineStr">
        <is>
          <t>past the expiry date — เลยกำหนดแล้ว</t>
        </is>
      </c>
    </row>
    <row r="98">
      <c r="A98" s="30" t="inlineStr">
        <is>
          <t>Urgent</t>
        </is>
      </c>
      <c r="B98" s="4" t="inlineStr">
        <is>
          <t>expires within 30 days — ครบกำหนดใน 30 วัน</t>
        </is>
      </c>
    </row>
    <row r="99">
      <c r="A99" s="31" t="inlineStr">
        <is>
          <t>Due soon</t>
        </is>
      </c>
      <c r="B99" s="4" t="inlineStr">
        <is>
          <t>expires within 90 days — ครบกำหนดใน 90 วัน</t>
        </is>
      </c>
    </row>
    <row r="100">
      <c r="A100" s="32" t="inlineStr">
        <is>
          <t>OK</t>
        </is>
      </c>
      <c r="B100" s="4" t="inlineStr">
        <is>
          <t>more than 90 days left — ยังมีเวลา</t>
        </is>
      </c>
    </row>
    <row r="101">
      <c r="A101" s="33" t="inlineStr">
        <is>
          <t>No date</t>
        </is>
      </c>
      <c r="B101" s="4" t="inlineStr">
        <is>
          <t>expiry date not filled in yet — ยังไม่ได้ใส่วันหมดอายุ</t>
        </is>
      </c>
    </row>
  </sheetData>
  <mergeCells count="9">
    <mergeCell ref="B99:H99"/>
    <mergeCell ref="B101:H101"/>
    <mergeCell ref="B93:H93"/>
    <mergeCell ref="B94:H94"/>
    <mergeCell ref="A2:I2"/>
    <mergeCell ref="B97:H97"/>
    <mergeCell ref="A1:I1"/>
    <mergeCell ref="B100:H100"/>
    <mergeCell ref="B98:H98"/>
  </mergeCells>
  <conditionalFormatting sqref="B8:B12">
    <cfRule type="expression" priority="1" dxfId="0">
      <formula>B8&gt;0</formula>
    </cfRule>
  </conditionalFormatting>
  <conditionalFormatting sqref="C8:C12">
    <cfRule type="expression" priority="2" dxfId="1">
      <formula>C8&gt;0</formula>
    </cfRule>
  </conditionalFormatting>
  <conditionalFormatting sqref="D8:D12">
    <cfRule type="expression" priority="3" dxfId="2">
      <formula>D8&gt;0</formula>
    </cfRule>
  </conditionalFormatting>
  <conditionalFormatting sqref="E8:E12">
    <cfRule type="expression" priority="4" dxfId="3">
      <formula>E8&gt;0</formula>
    </cfRule>
  </conditionalFormatting>
  <conditionalFormatting sqref="B15:B25">
    <cfRule type="expression" priority="5" dxfId="0">
      <formula>B15&gt;0</formula>
    </cfRule>
  </conditionalFormatting>
  <conditionalFormatting sqref="C15:C25">
    <cfRule type="expression" priority="6" dxfId="1">
      <formula>C15&gt;0</formula>
    </cfRule>
  </conditionalFormatting>
  <conditionalFormatting sqref="D15:D25">
    <cfRule type="expression" priority="7" dxfId="2">
      <formula>D15&gt;0</formula>
    </cfRule>
  </conditionalFormatting>
  <conditionalFormatting sqref="E15:E25">
    <cfRule type="expression" priority="8" dxfId="3">
      <formula>E15&gt;0</formula>
    </cfRule>
  </conditionalFormatting>
  <conditionalFormatting sqref="B29:B33">
    <cfRule type="expression" priority="9" dxfId="0">
      <formula>B29&gt;0</formula>
    </cfRule>
  </conditionalFormatting>
  <conditionalFormatting sqref="C29:C33">
    <cfRule type="expression" priority="10" dxfId="1">
      <formula>C29&gt;0</formula>
    </cfRule>
  </conditionalFormatting>
  <conditionalFormatting sqref="D29:D33">
    <cfRule type="expression" priority="11" dxfId="2">
      <formula>D29&gt;0</formula>
    </cfRule>
  </conditionalFormatting>
  <conditionalFormatting sqref="E29:E33">
    <cfRule type="expression" priority="12" dxfId="3">
      <formula>E29&gt;0</formula>
    </cfRule>
  </conditionalFormatting>
  <conditionalFormatting sqref="B36:B46">
    <cfRule type="expression" priority="13" dxfId="0">
      <formula>B36&gt;0</formula>
    </cfRule>
  </conditionalFormatting>
  <conditionalFormatting sqref="C36:C46">
    <cfRule type="expression" priority="14" dxfId="1">
      <formula>C36&gt;0</formula>
    </cfRule>
  </conditionalFormatting>
  <conditionalFormatting sqref="D36:D46">
    <cfRule type="expression" priority="15" dxfId="2">
      <formula>D36&gt;0</formula>
    </cfRule>
  </conditionalFormatting>
  <conditionalFormatting sqref="E36:E46">
    <cfRule type="expression" priority="16" dxfId="3">
      <formula>E36&gt;0</formula>
    </cfRule>
  </conditionalFormatting>
  <conditionalFormatting sqref="B50:B54">
    <cfRule type="expression" priority="17" dxfId="0">
      <formula>B50&gt;0</formula>
    </cfRule>
  </conditionalFormatting>
  <conditionalFormatting sqref="C50:C54">
    <cfRule type="expression" priority="18" dxfId="1">
      <formula>C50&gt;0</formula>
    </cfRule>
  </conditionalFormatting>
  <conditionalFormatting sqref="D50:D54">
    <cfRule type="expression" priority="19" dxfId="2">
      <formula>D50&gt;0</formula>
    </cfRule>
  </conditionalFormatting>
  <conditionalFormatting sqref="E50:E54">
    <cfRule type="expression" priority="20" dxfId="3">
      <formula>E50&gt;0</formula>
    </cfRule>
  </conditionalFormatting>
  <conditionalFormatting sqref="B60:B89">
    <cfRule type="expression" priority="21" dxfId="4" stopIfTrue="1">
      <formula>$B60="Owner"</formula>
    </cfRule>
    <cfRule type="expression" priority="22" dxfId="5" stopIfTrue="1">
      <formula>$B60="Property"</formula>
    </cfRule>
  </conditionalFormatting>
  <conditionalFormatting sqref="A60:I89">
    <cfRule type="expression" priority="23" dxfId="0">
      <formula>$H60="Expired"</formula>
    </cfRule>
    <cfRule type="expression" priority="24" dxfId="1">
      <formula>$H60="Urgent"</formula>
    </cfRule>
    <cfRule type="expression" priority="25" dxfId="2">
      <formula>$H60="Due soon"</formula>
    </cfRule>
    <cfRule type="expression" priority="26" dxfId="3">
      <formula>$H60="OK"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4"/>
  <sheetViews>
    <sheetView zoomScale="9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22" customWidth="1" min="4" max="4"/>
    <col width="11" customWidth="1" min="5" max="5"/>
    <col width="40" customWidth="1" min="6" max="6"/>
    <col width="34" customWidth="1" min="7" max="7"/>
    <col width="34" customWidth="1" min="8" max="8"/>
    <col width="2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1" customWidth="1" min="15" max="15"/>
    <col width="12" customWidth="1" min="16" max="16"/>
    <col width="16" customWidth="1" min="17" max="17"/>
    <col width="16" customWidth="1" min="18" max="18"/>
    <col width="12" customWidth="1" min="19" max="19"/>
    <col width="26" customWidth="1" min="20" max="20"/>
    <col width="40" customWidth="1" min="21" max="21"/>
    <col hidden="1" width="10" customWidth="1" min="22" max="22"/>
  </cols>
  <sheetData>
    <row r="1" ht="24" customHeight="1">
      <c r="A1" s="1" t="inlineStr">
        <is>
          <t>Licence &amp; Contract Register — Mitsui Thailand portfolio</t>
        </is>
      </c>
    </row>
    <row r="2">
      <c r="A2" s="4" t="inlineStr">
        <is>
          <t>Type into the white columns only. Days left / Action by / Status calculate themselves. ใส่ข้อมูลเฉพาะช่องสีขาว ช่องสูตรจะคำนวณเอง</t>
        </is>
      </c>
    </row>
    <row r="3" ht="6" customHeight="1"/>
    <row r="4" ht="30" customHeight="1">
      <c r="A4" s="8" t="inlineStr">
        <is>
          <t>No.</t>
        </is>
      </c>
      <c r="B4" s="8" t="inlineStr">
        <is>
          <t>Property</t>
        </is>
      </c>
      <c r="C4" s="8" t="inlineStr">
        <is>
          <t>Legal entity</t>
        </is>
      </c>
      <c r="D4" s="8" t="inlineStr">
        <is>
          <t>Category</t>
        </is>
      </c>
      <c r="E4" s="8" t="inlineStr">
        <is>
          <t>Renew by</t>
        </is>
      </c>
      <c r="F4" s="8" t="inlineStr">
        <is>
          <t>Item (EN)</t>
        </is>
      </c>
      <c r="G4" s="8" t="inlineStr">
        <is>
          <t>รายการ (TH)</t>
        </is>
      </c>
      <c r="H4" s="8" t="inlineStr">
        <is>
          <t>Authority / Counterparty</t>
        </is>
      </c>
      <c r="I4" s="8" t="inlineStr">
        <is>
          <t>Reference / Licence no.</t>
        </is>
      </c>
      <c r="J4" s="8" t="inlineStr">
        <is>
          <t>Issue date</t>
        </is>
      </c>
      <c r="K4" s="8" t="inlineStr">
        <is>
          <t>Expiry date</t>
        </is>
      </c>
      <c r="L4" s="8" t="inlineStr">
        <is>
          <t>Renewal cycle</t>
        </is>
      </c>
      <c r="M4" s="8" t="inlineStr">
        <is>
          <t>Notice (days)</t>
        </is>
      </c>
      <c r="N4" s="8" t="inlineStr">
        <is>
          <t>Action by</t>
        </is>
      </c>
      <c r="O4" s="8" t="inlineStr">
        <is>
          <t>Days left</t>
        </is>
      </c>
      <c r="P4" s="8" t="inlineStr">
        <is>
          <t>Status</t>
        </is>
      </c>
      <c r="Q4" s="8" t="inlineStr">
        <is>
          <t>Responsible</t>
        </is>
      </c>
      <c r="R4" s="8" t="inlineStr">
        <is>
          <t>Fee / Value (THB)</t>
        </is>
      </c>
      <c r="S4" s="8" t="inlineStr">
        <is>
          <t>Auto-renew</t>
        </is>
      </c>
      <c r="T4" s="8" t="inlineStr">
        <is>
          <t>Document location</t>
        </is>
      </c>
      <c r="U4" s="8" t="inlineStr">
        <is>
          <t>Notes</t>
        </is>
      </c>
      <c r="V4" s="8" t="inlineStr">
        <is>
          <t>SortKey</t>
        </is>
      </c>
    </row>
    <row r="5">
      <c r="A5" s="10">
        <f>IF(F5="","",COUNTA($F$5:F5))</f>
        <v/>
      </c>
      <c r="B5" s="34" t="inlineStr">
        <is>
          <t>SR9</t>
        </is>
      </c>
      <c r="C5" s="34" t="inlineStr">
        <is>
          <t>AMH Ratchada Co., Ltd.</t>
        </is>
      </c>
      <c r="D5" s="34" t="inlineStr">
        <is>
          <t>Licence</t>
        </is>
      </c>
      <c r="E5" s="35" t="inlineStr">
        <is>
          <t>Owner</t>
        </is>
      </c>
      <c r="F5" s="35" t="inlineStr">
        <is>
          <t>Hotel operating licence</t>
        </is>
      </c>
      <c r="G5" s="35" t="inlineStr">
        <is>
          <t>ใบอนุญาตประกอบธุรกิจโรงแรม</t>
        </is>
      </c>
      <c r="H5" s="34" t="inlineStr">
        <is>
          <t>Dept. of Provincial Administration / District Office</t>
        </is>
      </c>
      <c r="I5" s="34" t="n"/>
      <c r="J5" s="36" t="n"/>
      <c r="K5" s="36" t="n"/>
      <c r="L5" s="34" t="inlineStr">
        <is>
          <t>Every 5 years</t>
        </is>
      </c>
      <c r="M5" s="34" t="n">
        <v>60</v>
      </c>
      <c r="N5" s="36">
        <f>IF(K5="","",K5-IF(M5="",0,M5))</f>
        <v/>
      </c>
      <c r="O5" s="37">
        <f>IF(K5="","",K5-TODAY())</f>
        <v/>
      </c>
      <c r="P5" s="10">
        <f>IF(F5="","",IF(K5="","No date",IF(O5&lt;0,"Expired",IF(O5&lt;=30,"Urgent",IF(O5&lt;=90,"Due soon","OK")))))</f>
        <v/>
      </c>
      <c r="Q5" s="34" t="n"/>
      <c r="R5" s="38" t="n"/>
      <c r="S5" s="34" t="n"/>
      <c r="T5" s="35" t="n"/>
      <c r="U5" s="34" t="n"/>
      <c r="V5" s="34">
        <f>IF(F5="","",IF(K5="","",O5+ROW()/100000))</f>
        <v/>
      </c>
    </row>
    <row r="6">
      <c r="A6" s="10">
        <f>IF(F6="","",COUNTA($F$5:F6))</f>
        <v/>
      </c>
      <c r="B6" s="34" t="inlineStr">
        <is>
          <t>SR9</t>
        </is>
      </c>
      <c r="C6" s="34" t="inlineStr">
        <is>
          <t>AMH Ratchada Co., Ltd.</t>
        </is>
      </c>
      <c r="D6" s="34" t="inlineStr">
        <is>
          <t>Permit</t>
        </is>
      </c>
      <c r="E6" s="35" t="inlineStr">
        <is>
          <t>Owner</t>
        </is>
      </c>
      <c r="F6" s="35" t="inlineStr">
        <is>
          <t>Building construction permit (อ.1)</t>
        </is>
      </c>
      <c r="G6" s="35" t="inlineStr">
        <is>
          <t>ใบอนุญาตก่อสร้างอาคาร (อ.1)</t>
        </is>
      </c>
      <c r="H6" s="34" t="inlineStr">
        <is>
          <t>Local authority (BMA / City Municipality)</t>
        </is>
      </c>
      <c r="I6" s="34" t="n"/>
      <c r="J6" s="36" t="n"/>
      <c r="K6" s="36" t="n"/>
      <c r="L6" s="34" t="inlineStr">
        <is>
          <t>One-off</t>
        </is>
      </c>
      <c r="M6" s="34" t="n">
        <v>60</v>
      </c>
      <c r="N6" s="36">
        <f>IF(K6="","",K6-IF(M6="",0,M6))</f>
        <v/>
      </c>
      <c r="O6" s="37">
        <f>IF(K6="","",K6-TODAY())</f>
        <v/>
      </c>
      <c r="P6" s="10">
        <f>IF(F6="","",IF(K6="","No date",IF(O6&lt;0,"Expired",IF(O6&lt;=30,"Urgent",IF(O6&lt;=90,"Due soon","OK")))))</f>
        <v/>
      </c>
      <c r="Q6" s="34" t="n"/>
      <c r="R6" s="38" t="n"/>
      <c r="S6" s="34" t="n"/>
      <c r="T6" s="35" t="n"/>
      <c r="U6" s="34" t="n"/>
      <c r="V6" s="34">
        <f>IF(F6="","",IF(K6="","",O6+ROW()/100000))</f>
        <v/>
      </c>
    </row>
    <row r="7">
      <c r="A7" s="10">
        <f>IF(F7="","",COUNTA($F$5:F7))</f>
        <v/>
      </c>
      <c r="B7" s="34" t="inlineStr">
        <is>
          <t>SR9</t>
        </is>
      </c>
      <c r="C7" s="34" t="inlineStr">
        <is>
          <t>AMH Ratchada Co., Ltd.</t>
        </is>
      </c>
      <c r="D7" s="34" t="inlineStr">
        <is>
          <t>Certificate</t>
        </is>
      </c>
      <c r="E7" s="35" t="inlineStr">
        <is>
          <t>Owner</t>
        </is>
      </c>
      <c r="F7" s="35" t="inlineStr">
        <is>
          <t>Certificate of building use (อ.6)</t>
        </is>
      </c>
      <c r="G7" s="35" t="inlineStr">
        <is>
          <t>ใบรับรองการใช้อาคาร (อ.6)</t>
        </is>
      </c>
      <c r="H7" s="34" t="inlineStr">
        <is>
          <t>Local authority (BMA / City Municipality)</t>
        </is>
      </c>
      <c r="I7" s="34" t="n"/>
      <c r="J7" s="36" t="n"/>
      <c r="K7" s="36" t="n"/>
      <c r="L7" s="34" t="inlineStr">
        <is>
          <t>One-off</t>
        </is>
      </c>
      <c r="M7" s="34" t="n">
        <v>60</v>
      </c>
      <c r="N7" s="36">
        <f>IF(K7="","",K7-IF(M7="",0,M7))</f>
        <v/>
      </c>
      <c r="O7" s="37">
        <f>IF(K7="","",K7-TODAY())</f>
        <v/>
      </c>
      <c r="P7" s="10">
        <f>IF(F7="","",IF(K7="","No date",IF(O7&lt;0,"Expired",IF(O7&lt;=30,"Urgent",IF(O7&lt;=90,"Due soon","OK")))))</f>
        <v/>
      </c>
      <c r="Q7" s="34" t="n"/>
      <c r="R7" s="38" t="n"/>
      <c r="S7" s="34" t="n"/>
      <c r="T7" s="35" t="n"/>
      <c r="U7" s="34" t="n"/>
      <c r="V7" s="34">
        <f>IF(F7="","",IF(K7="","",O7+ROW()/100000))</f>
        <v/>
      </c>
    </row>
    <row r="8">
      <c r="A8" s="10">
        <f>IF(F8="","",COUNTA($F$5:F8))</f>
        <v/>
      </c>
      <c r="B8" s="34" t="inlineStr">
        <is>
          <t>SR9</t>
        </is>
      </c>
      <c r="C8" s="34" t="inlineStr">
        <is>
          <t>AMH Ratchada Co., Ltd.</t>
        </is>
      </c>
      <c r="D8" s="34" t="inlineStr">
        <is>
          <t>Certificate</t>
        </is>
      </c>
      <c r="E8" s="35" t="inlineStr">
        <is>
          <t>Owner</t>
        </is>
      </c>
      <c r="F8" s="35" t="inlineStr">
        <is>
          <t>Annual building inspection report (ร.1)</t>
        </is>
      </c>
      <c r="G8" s="35" t="inlineStr">
        <is>
          <t>รายงานการตรวจสอบอาคารประจำปี (ร.1)</t>
        </is>
      </c>
      <c r="H8" s="34" t="inlineStr">
        <is>
          <t>Dept. of Public Works / local authority</t>
        </is>
      </c>
      <c r="I8" s="34" t="n"/>
      <c r="J8" s="36" t="n"/>
      <c r="K8" s="36" t="n"/>
      <c r="L8" s="34" t="inlineStr">
        <is>
          <t>Annual</t>
        </is>
      </c>
      <c r="M8" s="34" t="n">
        <v>60</v>
      </c>
      <c r="N8" s="36">
        <f>IF(K8="","",K8-IF(M8="",0,M8))</f>
        <v/>
      </c>
      <c r="O8" s="37">
        <f>IF(K8="","",K8-TODAY())</f>
        <v/>
      </c>
      <c r="P8" s="10">
        <f>IF(F8="","",IF(K8="","No date",IF(O8&lt;0,"Expired",IF(O8&lt;=30,"Urgent",IF(O8&lt;=90,"Due soon","OK")))))</f>
        <v/>
      </c>
      <c r="Q8" s="34" t="n"/>
      <c r="R8" s="38" t="n"/>
      <c r="S8" s="34" t="n"/>
      <c r="T8" s="35" t="n"/>
      <c r="U8" s="34" t="n"/>
      <c r="V8" s="34">
        <f>IF(F8="","",IF(K8="","",O8+ROW()/100000))</f>
        <v/>
      </c>
    </row>
    <row r="9">
      <c r="A9" s="10">
        <f>IF(F9="","",COUNTA($F$5:F9))</f>
        <v/>
      </c>
      <c r="B9" s="34" t="inlineStr">
        <is>
          <t>SR9</t>
        </is>
      </c>
      <c r="C9" s="34" t="inlineStr">
        <is>
          <t>AMH Ratchada Co., Ltd.</t>
        </is>
      </c>
      <c r="D9" s="34" t="inlineStr">
        <is>
          <t>Certificate</t>
        </is>
      </c>
      <c r="E9" s="35" t="inlineStr">
        <is>
          <t>Owner</t>
        </is>
      </c>
      <c r="F9" s="35" t="inlineStr">
        <is>
          <t>Fire protection system inspection</t>
        </is>
      </c>
      <c r="G9" s="35" t="inlineStr">
        <is>
          <t>การตรวจสอบระบบป้องกันอัคคีภัย</t>
        </is>
      </c>
      <c r="H9" s="34" t="inlineStr">
        <is>
          <t>Licensed inspector</t>
        </is>
      </c>
      <c r="I9" s="34" t="n"/>
      <c r="J9" s="36" t="n"/>
      <c r="K9" s="36" t="n"/>
      <c r="L9" s="34" t="inlineStr">
        <is>
          <t>Annual</t>
        </is>
      </c>
      <c r="M9" s="34" t="n">
        <v>60</v>
      </c>
      <c r="N9" s="36">
        <f>IF(K9="","",K9-IF(M9="",0,M9))</f>
        <v/>
      </c>
      <c r="O9" s="37">
        <f>IF(K9="","",K9-TODAY())</f>
        <v/>
      </c>
      <c r="P9" s="10">
        <f>IF(F9="","",IF(K9="","No date",IF(O9&lt;0,"Expired",IF(O9&lt;=30,"Urgent",IF(O9&lt;=90,"Due soon","OK")))))</f>
        <v/>
      </c>
      <c r="Q9" s="34" t="n"/>
      <c r="R9" s="38" t="n"/>
      <c r="S9" s="34" t="n"/>
      <c r="T9" s="35" t="n"/>
      <c r="U9" s="34" t="n"/>
      <c r="V9" s="34">
        <f>IF(F9="","",IF(K9="","",O9+ROW()/100000))</f>
        <v/>
      </c>
    </row>
    <row r="10">
      <c r="A10" s="10">
        <f>IF(F10="","",COUNTA($F$5:F10))</f>
        <v/>
      </c>
      <c r="B10" s="34" t="inlineStr">
        <is>
          <t>SR9</t>
        </is>
      </c>
      <c r="C10" s="34" t="inlineStr">
        <is>
          <t>AMH Ratchada Co., Ltd.</t>
        </is>
      </c>
      <c r="D10" s="34" t="inlineStr">
        <is>
          <t>Certificate</t>
        </is>
      </c>
      <c r="E10" s="35" t="inlineStr">
        <is>
          <t>Owner</t>
        </is>
      </c>
      <c r="F10" s="35" t="inlineStr">
        <is>
          <t>Lift / elevator inspection certificate</t>
        </is>
      </c>
      <c r="G10" s="35" t="inlineStr">
        <is>
          <t>ใบรับรองการตรวจสอบลิฟต์</t>
        </is>
      </c>
      <c r="H10" s="34" t="inlineStr">
        <is>
          <t>Licensed engineer</t>
        </is>
      </c>
      <c r="I10" s="34" t="n"/>
      <c r="J10" s="36" t="n"/>
      <c r="K10" s="36" t="n"/>
      <c r="L10" s="34" t="inlineStr">
        <is>
          <t>Annual</t>
        </is>
      </c>
      <c r="M10" s="34" t="n">
        <v>60</v>
      </c>
      <c r="N10" s="36">
        <f>IF(K10="","",K10-IF(M10="",0,M10))</f>
        <v/>
      </c>
      <c r="O10" s="37">
        <f>IF(K10="","",K10-TODAY())</f>
        <v/>
      </c>
      <c r="P10" s="10">
        <f>IF(F10="","",IF(K10="","No date",IF(O10&lt;0,"Expired",IF(O10&lt;=30,"Urgent",IF(O10&lt;=90,"Due soon","OK")))))</f>
        <v/>
      </c>
      <c r="Q10" s="34" t="n"/>
      <c r="R10" s="38" t="n"/>
      <c r="S10" s="34" t="n"/>
      <c r="T10" s="35" t="n"/>
      <c r="U10" s="34" t="n"/>
      <c r="V10" s="34">
        <f>IF(F10="","",IF(K10="","",O10+ROW()/100000))</f>
        <v/>
      </c>
    </row>
    <row r="11">
      <c r="A11" s="10">
        <f>IF(F11="","",COUNTA($F$5:F11))</f>
        <v/>
      </c>
      <c r="B11" s="34" t="inlineStr">
        <is>
          <t>SR9</t>
        </is>
      </c>
      <c r="C11" s="34" t="inlineStr">
        <is>
          <t>AMH Ratchada Co., Ltd.</t>
        </is>
      </c>
      <c r="D11" s="34" t="inlineStr">
        <is>
          <t>Certificate</t>
        </is>
      </c>
      <c r="E11" s="35" t="inlineStr">
        <is>
          <t>Owner</t>
        </is>
      </c>
      <c r="F11" s="35" t="inlineStr">
        <is>
          <t>Electrical system inspection</t>
        </is>
      </c>
      <c r="G11" s="35" t="inlineStr">
        <is>
          <t>การตรวจสอบระบบไฟฟ้า</t>
        </is>
      </c>
      <c r="H11" s="34" t="inlineStr">
        <is>
          <t>Licensed engineer</t>
        </is>
      </c>
      <c r="I11" s="34" t="n"/>
      <c r="J11" s="36" t="n"/>
      <c r="K11" s="36" t="n"/>
      <c r="L11" s="34" t="inlineStr">
        <is>
          <t>Annual</t>
        </is>
      </c>
      <c r="M11" s="34" t="n">
        <v>60</v>
      </c>
      <c r="N11" s="36">
        <f>IF(K11="","",K11-IF(M11="",0,M11))</f>
        <v/>
      </c>
      <c r="O11" s="37">
        <f>IF(K11="","",K11-TODAY())</f>
        <v/>
      </c>
      <c r="P11" s="10">
        <f>IF(F11="","",IF(K11="","No date",IF(O11&lt;0,"Expired",IF(O11&lt;=30,"Urgent",IF(O11&lt;=90,"Due soon","OK")))))</f>
        <v/>
      </c>
      <c r="Q11" s="34" t="n"/>
      <c r="R11" s="38" t="n"/>
      <c r="S11" s="34" t="n"/>
      <c r="T11" s="35" t="n"/>
      <c r="U11" s="34" t="n"/>
      <c r="V11" s="34">
        <f>IF(F11="","",IF(K11="","",O11+ROW()/100000))</f>
        <v/>
      </c>
    </row>
    <row r="12">
      <c r="A12" s="10">
        <f>IF(F12="","",COUNTA($F$5:F12))</f>
        <v/>
      </c>
      <c r="B12" s="34" t="inlineStr">
        <is>
          <t>SR9</t>
        </is>
      </c>
      <c r="C12" s="34" t="inlineStr">
        <is>
          <t>AMH Ratchada Co., Ltd.</t>
        </is>
      </c>
      <c r="D12" s="34" t="inlineStr">
        <is>
          <t>Certificate</t>
        </is>
      </c>
      <c r="E12" s="35" t="inlineStr">
        <is>
          <t>Owner</t>
        </is>
      </c>
      <c r="F12" s="35" t="inlineStr">
        <is>
          <t>Generator / fuel storage permit</t>
        </is>
      </c>
      <c r="G12" s="35" t="inlineStr">
        <is>
          <t>ใบอนุญาตเครื่องกำเนิดไฟฟ้า / เก็บน้ำมันเชื้อเพลิง</t>
        </is>
      </c>
      <c r="H12" s="34" t="inlineStr">
        <is>
          <t>Dept. of Energy Business / local authority</t>
        </is>
      </c>
      <c r="I12" s="34" t="n"/>
      <c r="J12" s="36" t="n"/>
      <c r="K12" s="36" t="n"/>
      <c r="L12" s="34" t="inlineStr">
        <is>
          <t>Annual</t>
        </is>
      </c>
      <c r="M12" s="34" t="n">
        <v>60</v>
      </c>
      <c r="N12" s="36">
        <f>IF(K12="","",K12-IF(M12="",0,M12))</f>
        <v/>
      </c>
      <c r="O12" s="37">
        <f>IF(K12="","",K12-TODAY())</f>
        <v/>
      </c>
      <c r="P12" s="10">
        <f>IF(F12="","",IF(K12="","No date",IF(O12&lt;0,"Expired",IF(O12&lt;=30,"Urgent",IF(O12&lt;=90,"Due soon","OK")))))</f>
        <v/>
      </c>
      <c r="Q12" s="34" t="n"/>
      <c r="R12" s="38" t="n"/>
      <c r="S12" s="34" t="n"/>
      <c r="T12" s="35" t="n"/>
      <c r="U12" s="34" t="n"/>
      <c r="V12" s="34">
        <f>IF(F12="","",IF(K12="","",O12+ROW()/100000))</f>
        <v/>
      </c>
    </row>
    <row r="13">
      <c r="A13" s="10">
        <f>IF(F13="","",COUNTA($F$5:F13))</f>
        <v/>
      </c>
      <c r="B13" s="34" t="inlineStr">
        <is>
          <t>SR9</t>
        </is>
      </c>
      <c r="C13" s="34" t="inlineStr">
        <is>
          <t>AMH Ratchada Co., Ltd.</t>
        </is>
      </c>
      <c r="D13" s="34" t="inlineStr">
        <is>
          <t>Certificate</t>
        </is>
      </c>
      <c r="E13" s="35" t="inlineStr">
        <is>
          <t>Owner</t>
        </is>
      </c>
      <c r="F13" s="35" t="inlineStr">
        <is>
          <t>Boiler / pressure vessel inspection</t>
        </is>
      </c>
      <c r="G13" s="35" t="inlineStr">
        <is>
          <t>การตรวจสอบหม้อไอน้ำ / ภาชนะรับแรงดัน</t>
        </is>
      </c>
      <c r="H13" s="34" t="inlineStr">
        <is>
          <t>Licensed engineer</t>
        </is>
      </c>
      <c r="I13" s="34" t="n"/>
      <c r="J13" s="36" t="n"/>
      <c r="K13" s="36" t="n"/>
      <c r="L13" s="34" t="inlineStr">
        <is>
          <t>Annual</t>
        </is>
      </c>
      <c r="M13" s="34" t="n">
        <v>60</v>
      </c>
      <c r="N13" s="36">
        <f>IF(K13="","",K13-IF(M13="",0,M13))</f>
        <v/>
      </c>
      <c r="O13" s="37">
        <f>IF(K13="","",K13-TODAY())</f>
        <v/>
      </c>
      <c r="P13" s="10">
        <f>IF(F13="","",IF(K13="","No date",IF(O13&lt;0,"Expired",IF(O13&lt;=30,"Urgent",IF(O13&lt;=90,"Due soon","OK")))))</f>
        <v/>
      </c>
      <c r="Q13" s="34" t="n"/>
      <c r="R13" s="38" t="n"/>
      <c r="S13" s="34" t="n"/>
      <c r="T13" s="35" t="n"/>
      <c r="U13" s="34" t="n"/>
      <c r="V13" s="34">
        <f>IF(F13="","",IF(K13="","",O13+ROW()/100000))</f>
        <v/>
      </c>
    </row>
    <row r="14">
      <c r="A14" s="10">
        <f>IF(F14="","",COUNTA($F$5:F14))</f>
        <v/>
      </c>
      <c r="B14" s="34" t="inlineStr">
        <is>
          <t>SR9</t>
        </is>
      </c>
      <c r="C14" s="34" t="inlineStr">
        <is>
          <t>AMH Ratchada Co., Ltd.</t>
        </is>
      </c>
      <c r="D14" s="34" t="inlineStr">
        <is>
          <t>Certificate</t>
        </is>
      </c>
      <c r="E14" s="35" t="inlineStr">
        <is>
          <t>Owner</t>
        </is>
      </c>
      <c r="F14" s="35" t="inlineStr">
        <is>
          <t>EIA environmental monitoring report</t>
        </is>
      </c>
      <c r="G14" s="35" t="inlineStr">
        <is>
          <t>รายงานผลการปฏิบัติตามมาตรการ EIA</t>
        </is>
      </c>
      <c r="H14" s="34" t="inlineStr">
        <is>
          <t>Office of Natural Resources &amp; Environmental Policy (ONEP)</t>
        </is>
      </c>
      <c r="I14" s="34" t="n"/>
      <c r="J14" s="36" t="n"/>
      <c r="K14" s="36" t="n"/>
      <c r="L14" s="34" t="inlineStr">
        <is>
          <t>Other</t>
        </is>
      </c>
      <c r="M14" s="34" t="n">
        <v>60</v>
      </c>
      <c r="N14" s="36">
        <f>IF(K14="","",K14-IF(M14="",0,M14))</f>
        <v/>
      </c>
      <c r="O14" s="37">
        <f>IF(K14="","",K14-TODAY())</f>
        <v/>
      </c>
      <c r="P14" s="10">
        <f>IF(F14="","",IF(K14="","No date",IF(O14&lt;0,"Expired",IF(O14&lt;=30,"Urgent",IF(O14&lt;=90,"Due soon","OK")))))</f>
        <v/>
      </c>
      <c r="Q14" s="34" t="n"/>
      <c r="R14" s="38" t="n"/>
      <c r="S14" s="34" t="n"/>
      <c r="T14" s="35" t="n"/>
      <c r="U14" s="34" t="n"/>
      <c r="V14" s="34">
        <f>IF(F14="","",IF(K14="","",O14+ROW()/100000))</f>
        <v/>
      </c>
    </row>
    <row r="15">
      <c r="A15" s="10">
        <f>IF(F15="","",COUNTA($F$5:F15))</f>
        <v/>
      </c>
      <c r="B15" s="34" t="inlineStr">
        <is>
          <t>SR9</t>
        </is>
      </c>
      <c r="C15" s="34" t="inlineStr">
        <is>
          <t>AMH Ratchada Co., Ltd.</t>
        </is>
      </c>
      <c r="D15" s="34" t="inlineStr">
        <is>
          <t>Tax / Registration</t>
        </is>
      </c>
      <c r="E15" s="35" t="inlineStr">
        <is>
          <t>Owner</t>
        </is>
      </c>
      <c r="F15" s="35" t="inlineStr">
        <is>
          <t>Signage tax (billboard)</t>
        </is>
      </c>
      <c r="G15" s="35" t="inlineStr">
        <is>
          <t>ภาษีป้าย</t>
        </is>
      </c>
      <c r="H15" s="34" t="inlineStr">
        <is>
          <t>Local authority</t>
        </is>
      </c>
      <c r="I15" s="34" t="n"/>
      <c r="J15" s="36" t="n"/>
      <c r="K15" s="36" t="n"/>
      <c r="L15" s="34" t="inlineStr">
        <is>
          <t>Annual</t>
        </is>
      </c>
      <c r="M15" s="34" t="n">
        <v>60</v>
      </c>
      <c r="N15" s="36">
        <f>IF(K15="","",K15-IF(M15="",0,M15))</f>
        <v/>
      </c>
      <c r="O15" s="37">
        <f>IF(K15="","",K15-TODAY())</f>
        <v/>
      </c>
      <c r="P15" s="10">
        <f>IF(F15="","",IF(K15="","No date",IF(O15&lt;0,"Expired",IF(O15&lt;=30,"Urgent",IF(O15&lt;=90,"Due soon","OK")))))</f>
        <v/>
      </c>
      <c r="Q15" s="34" t="n"/>
      <c r="R15" s="38" t="n"/>
      <c r="S15" s="34" t="n"/>
      <c r="T15" s="35" t="n"/>
      <c r="U15" s="34" t="n"/>
      <c r="V15" s="34">
        <f>IF(F15="","",IF(K15="","",O15+ROW()/100000))</f>
        <v/>
      </c>
    </row>
    <row r="16">
      <c r="A16" s="10">
        <f>IF(F16="","",COUNTA($F$5:F16))</f>
        <v/>
      </c>
      <c r="B16" s="34" t="inlineStr">
        <is>
          <t>SR9</t>
        </is>
      </c>
      <c r="C16" s="34" t="inlineStr">
        <is>
          <t>AMH Ratchada Co., Ltd.</t>
        </is>
      </c>
      <c r="D16" s="34" t="inlineStr">
        <is>
          <t>Tax / Registration</t>
        </is>
      </c>
      <c r="E16" s="35" t="inlineStr">
        <is>
          <t>Owner</t>
        </is>
      </c>
      <c r="F16" s="35" t="inlineStr">
        <is>
          <t>Land &amp; building tax</t>
        </is>
      </c>
      <c r="G16" s="35" t="inlineStr">
        <is>
          <t>ภาษีที่ดินและสิ่งปลูกสร้าง</t>
        </is>
      </c>
      <c r="H16" s="34" t="inlineStr">
        <is>
          <t>Local authority</t>
        </is>
      </c>
      <c r="I16" s="34" t="n"/>
      <c r="J16" s="36" t="n"/>
      <c r="K16" s="36" t="n"/>
      <c r="L16" s="34" t="inlineStr">
        <is>
          <t>Annual</t>
        </is>
      </c>
      <c r="M16" s="34" t="n">
        <v>60</v>
      </c>
      <c r="N16" s="36">
        <f>IF(K16="","",K16-IF(M16="",0,M16))</f>
        <v/>
      </c>
      <c r="O16" s="37">
        <f>IF(K16="","",K16-TODAY())</f>
        <v/>
      </c>
      <c r="P16" s="10">
        <f>IF(F16="","",IF(K16="","No date",IF(O16&lt;0,"Expired",IF(O16&lt;=30,"Urgent",IF(O16&lt;=90,"Due soon","OK")))))</f>
        <v/>
      </c>
      <c r="Q16" s="34" t="n"/>
      <c r="R16" s="38" t="n"/>
      <c r="S16" s="34" t="n"/>
      <c r="T16" s="35" t="n"/>
      <c r="U16" s="34" t="n"/>
      <c r="V16" s="34">
        <f>IF(F16="","",IF(K16="","",O16+ROW()/100000))</f>
        <v/>
      </c>
    </row>
    <row r="17">
      <c r="A17" s="10">
        <f>IF(F17="","",COUNTA($F$5:F17))</f>
        <v/>
      </c>
      <c r="B17" s="34" t="inlineStr">
        <is>
          <t>SR9</t>
        </is>
      </c>
      <c r="C17" s="34" t="inlineStr">
        <is>
          <t>AMH Ratchada Co., Ltd.</t>
        </is>
      </c>
      <c r="D17" s="34" t="inlineStr">
        <is>
          <t>Tax / Registration</t>
        </is>
      </c>
      <c r="E17" s="35" t="inlineStr">
        <is>
          <t>Owner</t>
        </is>
      </c>
      <c r="F17" s="35" t="inlineStr">
        <is>
          <t>VAT registration (ภ.พ.20)</t>
        </is>
      </c>
      <c r="G17" s="35" t="inlineStr">
        <is>
          <t>ใบทะเบียนภาษีมูลค่าเพิ่ม (ภ.พ.20)</t>
        </is>
      </c>
      <c r="H17" s="34" t="inlineStr">
        <is>
          <t>Revenue Department</t>
        </is>
      </c>
      <c r="I17" s="34" t="n"/>
      <c r="J17" s="36" t="n"/>
      <c r="K17" s="36" t="n"/>
      <c r="L17" s="34" t="inlineStr">
        <is>
          <t>One-off</t>
        </is>
      </c>
      <c r="M17" s="34" t="n">
        <v>60</v>
      </c>
      <c r="N17" s="36">
        <f>IF(K17="","",K17-IF(M17="",0,M17))</f>
        <v/>
      </c>
      <c r="O17" s="37">
        <f>IF(K17="","",K17-TODAY())</f>
        <v/>
      </c>
      <c r="P17" s="10">
        <f>IF(F17="","",IF(K17="","No date",IF(O17&lt;0,"Expired",IF(O17&lt;=30,"Urgent",IF(O17&lt;=90,"Due soon","OK")))))</f>
        <v/>
      </c>
      <c r="Q17" s="34" t="n"/>
      <c r="R17" s="38" t="n"/>
      <c r="S17" s="34" t="n"/>
      <c r="T17" s="35" t="n"/>
      <c r="U17" s="34" t="n"/>
      <c r="V17" s="34">
        <f>IF(F17="","",IF(K17="","",O17+ROW()/100000))</f>
        <v/>
      </c>
    </row>
    <row r="18">
      <c r="A18" s="10">
        <f>IF(F18="","",COUNTA($F$5:F18))</f>
        <v/>
      </c>
      <c r="B18" s="34" t="inlineStr">
        <is>
          <t>SR9</t>
        </is>
      </c>
      <c r="C18" s="34" t="inlineStr">
        <is>
          <t>AMH Ratchada Co., Ltd.</t>
        </is>
      </c>
      <c r="D18" s="34" t="inlineStr">
        <is>
          <t>Tax / Registration</t>
        </is>
      </c>
      <c r="E18" s="35" t="inlineStr">
        <is>
          <t>Owner</t>
        </is>
      </c>
      <c r="F18" s="35" t="inlineStr">
        <is>
          <t>Company registration / affidavit</t>
        </is>
      </c>
      <c r="G18" s="35" t="inlineStr">
        <is>
          <t>หนังสือรับรองบริษัท</t>
        </is>
      </c>
      <c r="H18" s="34" t="inlineStr">
        <is>
          <t>Dept. of Business Development</t>
        </is>
      </c>
      <c r="I18" s="34" t="n"/>
      <c r="J18" s="36" t="n"/>
      <c r="K18" s="36" t="n"/>
      <c r="L18" s="34" t="inlineStr">
        <is>
          <t>Other</t>
        </is>
      </c>
      <c r="M18" s="34" t="n">
        <v>60</v>
      </c>
      <c r="N18" s="36">
        <f>IF(K18="","",K18-IF(M18="",0,M18))</f>
        <v/>
      </c>
      <c r="O18" s="37">
        <f>IF(K18="","",K18-TODAY())</f>
        <v/>
      </c>
      <c r="P18" s="10">
        <f>IF(F18="","",IF(K18="","No date",IF(O18&lt;0,"Expired",IF(O18&lt;=30,"Urgent",IF(O18&lt;=90,"Due soon","OK")))))</f>
        <v/>
      </c>
      <c r="Q18" s="34" t="n"/>
      <c r="R18" s="38" t="n"/>
      <c r="S18" s="34" t="n"/>
      <c r="T18" s="35" t="n"/>
      <c r="U18" s="34" t="n"/>
      <c r="V18" s="34">
        <f>IF(F18="","",IF(K18="","",O18+ROW()/100000))</f>
        <v/>
      </c>
    </row>
    <row r="19">
      <c r="A19" s="10">
        <f>IF(F19="","",COUNTA($F$5:F19))</f>
        <v/>
      </c>
      <c r="B19" s="34" t="inlineStr">
        <is>
          <t>SR9</t>
        </is>
      </c>
      <c r="C19" s="34" t="inlineStr">
        <is>
          <t>AMH Ratchada Co., Ltd.</t>
        </is>
      </c>
      <c r="D19" s="34" t="inlineStr">
        <is>
          <t>Tax / Registration</t>
        </is>
      </c>
      <c r="E19" s="35" t="inlineStr">
        <is>
          <t>Owner</t>
        </is>
      </c>
      <c r="F19" s="35" t="inlineStr">
        <is>
          <t>Social security registration</t>
        </is>
      </c>
      <c r="G19" s="35" t="inlineStr">
        <is>
          <t>ทะเบียนนายจ้างประกันสังคม</t>
        </is>
      </c>
      <c r="H19" s="34" t="inlineStr">
        <is>
          <t>Social Security Office</t>
        </is>
      </c>
      <c r="I19" s="34" t="n"/>
      <c r="J19" s="36" t="n"/>
      <c r="K19" s="36" t="n"/>
      <c r="L19" s="34" t="inlineStr">
        <is>
          <t>One-off</t>
        </is>
      </c>
      <c r="M19" s="34" t="n">
        <v>60</v>
      </c>
      <c r="N19" s="36">
        <f>IF(K19="","",K19-IF(M19="",0,M19))</f>
        <v/>
      </c>
      <c r="O19" s="37">
        <f>IF(K19="","",K19-TODAY())</f>
        <v/>
      </c>
      <c r="P19" s="10">
        <f>IF(F19="","",IF(K19="","No date",IF(O19&lt;0,"Expired",IF(O19&lt;=30,"Urgent",IF(O19&lt;=90,"Due soon","OK")))))</f>
        <v/>
      </c>
      <c r="Q19" s="34" t="n"/>
      <c r="R19" s="38" t="n"/>
      <c r="S19" s="34" t="n"/>
      <c r="T19" s="35" t="n"/>
      <c r="U19" s="34" t="n"/>
      <c r="V19" s="34">
        <f>IF(F19="","",IF(K19="","",O19+ROW()/100000))</f>
        <v/>
      </c>
    </row>
    <row r="20">
      <c r="A20" s="10">
        <f>IF(F20="","",COUNTA($F$5:F20))</f>
        <v/>
      </c>
      <c r="B20" s="34" t="inlineStr">
        <is>
          <t>SR9</t>
        </is>
      </c>
      <c r="C20" s="34" t="inlineStr">
        <is>
          <t>AMH Ratchada Co., Ltd.</t>
        </is>
      </c>
      <c r="D20" s="34" t="inlineStr">
        <is>
          <t>Insurance</t>
        </is>
      </c>
      <c r="E20" s="35" t="inlineStr">
        <is>
          <t>Owner</t>
        </is>
      </c>
      <c r="F20" s="35" t="inlineStr">
        <is>
          <t>Property all-risk insurance</t>
        </is>
      </c>
      <c r="G20" s="35" t="inlineStr">
        <is>
          <t>ประกันภัยทรัพย์สินแบบ All Risk</t>
        </is>
      </c>
      <c r="H20" s="34" t="inlineStr">
        <is>
          <t>Insurer / broker</t>
        </is>
      </c>
      <c r="I20" s="34" t="n"/>
      <c r="J20" s="36" t="n"/>
      <c r="K20" s="36" t="n"/>
      <c r="L20" s="34" t="inlineStr">
        <is>
          <t>Annual</t>
        </is>
      </c>
      <c r="M20" s="34" t="n">
        <v>60</v>
      </c>
      <c r="N20" s="36">
        <f>IF(K20="","",K20-IF(M20="",0,M20))</f>
        <v/>
      </c>
      <c r="O20" s="37">
        <f>IF(K20="","",K20-TODAY())</f>
        <v/>
      </c>
      <c r="P20" s="10">
        <f>IF(F20="","",IF(K20="","No date",IF(O20&lt;0,"Expired",IF(O20&lt;=30,"Urgent",IF(O20&lt;=90,"Due soon","OK")))))</f>
        <v/>
      </c>
      <c r="Q20" s="34" t="n"/>
      <c r="R20" s="38" t="n"/>
      <c r="S20" s="34" t="n"/>
      <c r="T20" s="35" t="n"/>
      <c r="U20" s="34" t="n"/>
      <c r="V20" s="34">
        <f>IF(F20="","",IF(K20="","",O20+ROW()/100000))</f>
        <v/>
      </c>
    </row>
    <row r="21">
      <c r="A21" s="10">
        <f>IF(F21="","",COUNTA($F$5:F21))</f>
        <v/>
      </c>
      <c r="B21" s="34" t="inlineStr">
        <is>
          <t>SR9</t>
        </is>
      </c>
      <c r="C21" s="34" t="inlineStr">
        <is>
          <t>AMH Ratchada Co., Ltd.</t>
        </is>
      </c>
      <c r="D21" s="34" t="inlineStr">
        <is>
          <t>Insurance</t>
        </is>
      </c>
      <c r="E21" s="35" t="inlineStr">
        <is>
          <t>Owner</t>
        </is>
      </c>
      <c r="F21" s="35" t="inlineStr">
        <is>
          <t>Public liability insurance</t>
        </is>
      </c>
      <c r="G21" s="35" t="inlineStr">
        <is>
          <t>ประกันภัยความรับผิดต่อบุคคลภายนอก</t>
        </is>
      </c>
      <c r="H21" s="34" t="inlineStr">
        <is>
          <t>Insurer / broker</t>
        </is>
      </c>
      <c r="I21" s="34" t="n"/>
      <c r="J21" s="36" t="n"/>
      <c r="K21" s="36" t="n"/>
      <c r="L21" s="34" t="inlineStr">
        <is>
          <t>Annual</t>
        </is>
      </c>
      <c r="M21" s="34" t="n">
        <v>60</v>
      </c>
      <c r="N21" s="36">
        <f>IF(K21="","",K21-IF(M21="",0,M21))</f>
        <v/>
      </c>
      <c r="O21" s="37">
        <f>IF(K21="","",K21-TODAY())</f>
        <v/>
      </c>
      <c r="P21" s="10">
        <f>IF(F21="","",IF(K21="","No date",IF(O21&lt;0,"Expired",IF(O21&lt;=30,"Urgent",IF(O21&lt;=90,"Due soon","OK")))))</f>
        <v/>
      </c>
      <c r="Q21" s="34" t="n"/>
      <c r="R21" s="38" t="n"/>
      <c r="S21" s="34" t="n"/>
      <c r="T21" s="35" t="n"/>
      <c r="U21" s="34" t="n"/>
      <c r="V21" s="34">
        <f>IF(F21="","",IF(K21="","",O21+ROW()/100000))</f>
        <v/>
      </c>
    </row>
    <row r="22">
      <c r="A22" s="10">
        <f>IF(F22="","",COUNTA($F$5:F22))</f>
        <v/>
      </c>
      <c r="B22" s="34" t="inlineStr">
        <is>
          <t>SR9</t>
        </is>
      </c>
      <c r="C22" s="34" t="inlineStr">
        <is>
          <t>AMH Ratchada Co., Ltd.</t>
        </is>
      </c>
      <c r="D22" s="34" t="inlineStr">
        <is>
          <t>Insurance</t>
        </is>
      </c>
      <c r="E22" s="35" t="inlineStr">
        <is>
          <t>Owner</t>
        </is>
      </c>
      <c r="F22" s="35" t="inlineStr">
        <is>
          <t>Business interruption insurance</t>
        </is>
      </c>
      <c r="G22" s="35" t="inlineStr">
        <is>
          <t>ประกันภัยธุรกิจหยุดชะงัก</t>
        </is>
      </c>
      <c r="H22" s="34" t="inlineStr">
        <is>
          <t>Insurer / broker</t>
        </is>
      </c>
      <c r="I22" s="34" t="n"/>
      <c r="J22" s="36" t="n"/>
      <c r="K22" s="36" t="n"/>
      <c r="L22" s="34" t="inlineStr">
        <is>
          <t>Annual</t>
        </is>
      </c>
      <c r="M22" s="34" t="n">
        <v>60</v>
      </c>
      <c r="N22" s="36">
        <f>IF(K22="","",K22-IF(M22="",0,M22))</f>
        <v/>
      </c>
      <c r="O22" s="37">
        <f>IF(K22="","",K22-TODAY())</f>
        <v/>
      </c>
      <c r="P22" s="10">
        <f>IF(F22="","",IF(K22="","No date",IF(O22&lt;0,"Expired",IF(O22&lt;=30,"Urgent",IF(O22&lt;=90,"Due soon","OK")))))</f>
        <v/>
      </c>
      <c r="Q22" s="34" t="n"/>
      <c r="R22" s="38" t="n"/>
      <c r="S22" s="34" t="n"/>
      <c r="T22" s="35" t="n"/>
      <c r="U22" s="34" t="n"/>
      <c r="V22" s="34">
        <f>IF(F22="","",IF(K22="","",O22+ROW()/100000))</f>
        <v/>
      </c>
    </row>
    <row r="23">
      <c r="A23" s="10">
        <f>IF(F23="","",COUNTA($F$5:F23))</f>
        <v/>
      </c>
      <c r="B23" s="34" t="inlineStr">
        <is>
          <t>SR9</t>
        </is>
      </c>
      <c r="C23" s="34" t="inlineStr">
        <is>
          <t>AMH Ratchada Co., Ltd.</t>
        </is>
      </c>
      <c r="D23" s="34" t="inlineStr">
        <is>
          <t>Contract - Management</t>
        </is>
      </c>
      <c r="E23" s="35" t="inlineStr">
        <is>
          <t>Owner</t>
        </is>
      </c>
      <c r="F23" s="35" t="inlineStr">
        <is>
          <t>Hotel management agreement</t>
        </is>
      </c>
      <c r="G23" s="35" t="inlineStr">
        <is>
          <t>สัญญาบริหารโรงแรม</t>
        </is>
      </c>
      <c r="H23" s="34" t="inlineStr">
        <is>
          <t>Ascott International Management (Thailand) Ltd.</t>
        </is>
      </c>
      <c r="I23" s="34" t="n"/>
      <c r="J23" s="36" t="n"/>
      <c r="K23" s="36" t="n"/>
      <c r="L23" s="34" t="inlineStr">
        <is>
          <t>Rolling / evergreen</t>
        </is>
      </c>
      <c r="M23" s="34" t="n">
        <v>60</v>
      </c>
      <c r="N23" s="36">
        <f>IF(K23="","",K23-IF(M23="",0,M23))</f>
        <v/>
      </c>
      <c r="O23" s="37">
        <f>IF(K23="","",K23-TODAY())</f>
        <v/>
      </c>
      <c r="P23" s="10">
        <f>IF(F23="","",IF(K23="","No date",IF(O23&lt;0,"Expired",IF(O23&lt;=30,"Urgent",IF(O23&lt;=90,"Due soon","OK")))))</f>
        <v/>
      </c>
      <c r="Q23" s="34" t="n"/>
      <c r="R23" s="38" t="n"/>
      <c r="S23" s="34" t="n"/>
      <c r="T23" s="35" t="n"/>
      <c r="U23" s="34" t="n"/>
      <c r="V23" s="34">
        <f>IF(F23="","",IF(K23="","",O23+ROW()/100000))</f>
        <v/>
      </c>
    </row>
    <row r="24">
      <c r="A24" s="10">
        <f>IF(F24="","",COUNTA($F$5:F24))</f>
        <v/>
      </c>
      <c r="B24" s="34" t="inlineStr">
        <is>
          <t>SR9</t>
        </is>
      </c>
      <c r="C24" s="34" t="inlineStr">
        <is>
          <t>AMH Ratchada Co., Ltd.</t>
        </is>
      </c>
      <c r="D24" s="34" t="inlineStr">
        <is>
          <t>Contract - Management</t>
        </is>
      </c>
      <c r="E24" s="35" t="inlineStr">
        <is>
          <t>Owner</t>
        </is>
      </c>
      <c r="F24" s="35" t="inlineStr">
        <is>
          <t>Technical services / central fee agreement</t>
        </is>
      </c>
      <c r="G24" s="35" t="inlineStr">
        <is>
          <t>สัญญาค่าบริการส่วนกลาง</t>
        </is>
      </c>
      <c r="H24" s="34" t="inlineStr">
        <is>
          <t>Ascott International Management (Thailand) Ltd.</t>
        </is>
      </c>
      <c r="I24" s="34" t="n"/>
      <c r="J24" s="36" t="n"/>
      <c r="K24" s="36" t="n"/>
      <c r="L24" s="34" t="inlineStr">
        <is>
          <t>Rolling / evergreen</t>
        </is>
      </c>
      <c r="M24" s="34" t="n">
        <v>60</v>
      </c>
      <c r="N24" s="36">
        <f>IF(K24="","",K24-IF(M24="",0,M24))</f>
        <v/>
      </c>
      <c r="O24" s="37">
        <f>IF(K24="","",K24-TODAY())</f>
        <v/>
      </c>
      <c r="P24" s="10">
        <f>IF(F24="","",IF(K24="","No date",IF(O24&lt;0,"Expired",IF(O24&lt;=30,"Urgent",IF(O24&lt;=90,"Due soon","OK")))))</f>
        <v/>
      </c>
      <c r="Q24" s="34" t="n"/>
      <c r="R24" s="38" t="n"/>
      <c r="S24" s="34" t="n"/>
      <c r="T24" s="35" t="n"/>
      <c r="U24" s="34" t="n"/>
      <c r="V24" s="34">
        <f>IF(F24="","",IF(K24="","",O24+ROW()/100000))</f>
        <v/>
      </c>
    </row>
    <row r="25">
      <c r="A25" s="10">
        <f>IF(F25="","",COUNTA($F$5:F25))</f>
        <v/>
      </c>
      <c r="B25" s="34" t="inlineStr">
        <is>
          <t>SR9</t>
        </is>
      </c>
      <c r="C25" s="34" t="inlineStr">
        <is>
          <t>AMH Ratchada Co., Ltd.</t>
        </is>
      </c>
      <c r="D25" s="34" t="inlineStr">
        <is>
          <t>Contract - Service</t>
        </is>
      </c>
      <c r="E25" s="35" t="inlineStr">
        <is>
          <t>Owner</t>
        </is>
      </c>
      <c r="F25" s="35" t="inlineStr">
        <is>
          <t>Lift maintenance</t>
        </is>
      </c>
      <c r="G25" s="35" t="inlineStr">
        <is>
          <t>สัญญาบำรุงรักษาลิฟต์</t>
        </is>
      </c>
      <c r="H25" s="34" t="n"/>
      <c r="I25" s="34" t="n"/>
      <c r="J25" s="36" t="n"/>
      <c r="K25" s="36" t="n"/>
      <c r="L25" s="34" t="inlineStr">
        <is>
          <t>Annual</t>
        </is>
      </c>
      <c r="M25" s="34" t="n">
        <v>60</v>
      </c>
      <c r="N25" s="36">
        <f>IF(K25="","",K25-IF(M25="",0,M25))</f>
        <v/>
      </c>
      <c r="O25" s="37">
        <f>IF(K25="","",K25-TODAY())</f>
        <v/>
      </c>
      <c r="P25" s="10">
        <f>IF(F25="","",IF(K25="","No date",IF(O25&lt;0,"Expired",IF(O25&lt;=30,"Urgent",IF(O25&lt;=90,"Due soon","OK")))))</f>
        <v/>
      </c>
      <c r="Q25" s="34" t="n"/>
      <c r="R25" s="38" t="n"/>
      <c r="S25" s="34" t="n"/>
      <c r="T25" s="35" t="n"/>
      <c r="U25" s="34" t="n"/>
      <c r="V25" s="34">
        <f>IF(F25="","",IF(K25="","",O25+ROW()/100000))</f>
        <v/>
      </c>
    </row>
    <row r="26">
      <c r="A26" s="10">
        <f>IF(F26="","",COUNTA($F$5:F26))</f>
        <v/>
      </c>
      <c r="B26" s="34" t="inlineStr">
        <is>
          <t>SR9</t>
        </is>
      </c>
      <c r="C26" s="34" t="inlineStr">
        <is>
          <t>AMH Ratchada Co., Ltd.</t>
        </is>
      </c>
      <c r="D26" s="34" t="inlineStr">
        <is>
          <t>Contract - Service</t>
        </is>
      </c>
      <c r="E26" s="35" t="inlineStr">
        <is>
          <t>Owner</t>
        </is>
      </c>
      <c r="F26" s="35" t="inlineStr">
        <is>
          <t>HVAC / chiller maintenance</t>
        </is>
      </c>
      <c r="G26" s="35" t="inlineStr">
        <is>
          <t>สัญญาบำรุงรักษาระบบปรับอากาศ</t>
        </is>
      </c>
      <c r="H26" s="34" t="n"/>
      <c r="I26" s="34" t="n"/>
      <c r="J26" s="36" t="n"/>
      <c r="K26" s="36" t="n"/>
      <c r="L26" s="34" t="inlineStr">
        <is>
          <t>Annual</t>
        </is>
      </c>
      <c r="M26" s="34" t="n">
        <v>60</v>
      </c>
      <c r="N26" s="36">
        <f>IF(K26="","",K26-IF(M26="",0,M26))</f>
        <v/>
      </c>
      <c r="O26" s="37">
        <f>IF(K26="","",K26-TODAY())</f>
        <v/>
      </c>
      <c r="P26" s="10">
        <f>IF(F26="","",IF(K26="","No date",IF(O26&lt;0,"Expired",IF(O26&lt;=30,"Urgent",IF(O26&lt;=90,"Due soon","OK")))))</f>
        <v/>
      </c>
      <c r="Q26" s="34" t="n"/>
      <c r="R26" s="38" t="n"/>
      <c r="S26" s="34" t="n"/>
      <c r="T26" s="35" t="n"/>
      <c r="U26" s="34" t="n"/>
      <c r="V26" s="34">
        <f>IF(F26="","",IF(K26="","",O26+ROW()/100000))</f>
        <v/>
      </c>
    </row>
    <row r="27">
      <c r="A27" s="10">
        <f>IF(F27="","",COUNTA($F$5:F27))</f>
        <v/>
      </c>
      <c r="B27" s="34" t="inlineStr">
        <is>
          <t>SR9</t>
        </is>
      </c>
      <c r="C27" s="34" t="inlineStr">
        <is>
          <t>AMH Ratchada Co., Ltd.</t>
        </is>
      </c>
      <c r="D27" s="34" t="inlineStr">
        <is>
          <t>Contract - Service</t>
        </is>
      </c>
      <c r="E27" s="35" t="inlineStr">
        <is>
          <t>Owner</t>
        </is>
      </c>
      <c r="F27" s="35" t="inlineStr">
        <is>
          <t>Fire system maintenance</t>
        </is>
      </c>
      <c r="G27" s="35" t="inlineStr">
        <is>
          <t>สัญญาบำรุงรักษาระบบดับเพลิง</t>
        </is>
      </c>
      <c r="H27" s="34" t="n"/>
      <c r="I27" s="34" t="n"/>
      <c r="J27" s="36" t="n"/>
      <c r="K27" s="36" t="n"/>
      <c r="L27" s="34" t="inlineStr">
        <is>
          <t>Annual</t>
        </is>
      </c>
      <c r="M27" s="34" t="n">
        <v>60</v>
      </c>
      <c r="N27" s="36">
        <f>IF(K27="","",K27-IF(M27="",0,M27))</f>
        <v/>
      </c>
      <c r="O27" s="37">
        <f>IF(K27="","",K27-TODAY())</f>
        <v/>
      </c>
      <c r="P27" s="10">
        <f>IF(F27="","",IF(K27="","No date",IF(O27&lt;0,"Expired",IF(O27&lt;=30,"Urgent",IF(O27&lt;=90,"Due soon","OK")))))</f>
        <v/>
      </c>
      <c r="Q27" s="34" t="n"/>
      <c r="R27" s="38" t="n"/>
      <c r="S27" s="34" t="n"/>
      <c r="T27" s="35" t="n"/>
      <c r="U27" s="34" t="n"/>
      <c r="V27" s="34">
        <f>IF(F27="","",IF(K27="","",O27+ROW()/100000))</f>
        <v/>
      </c>
    </row>
    <row r="28">
      <c r="A28" s="10">
        <f>IF(F28="","",COUNTA($F$5:F28))</f>
        <v/>
      </c>
      <c r="B28" s="34" t="inlineStr">
        <is>
          <t>SR9</t>
        </is>
      </c>
      <c r="C28" s="34" t="inlineStr">
        <is>
          <t>AMH Ratchada Co., Ltd.</t>
        </is>
      </c>
      <c r="D28" s="34" t="inlineStr">
        <is>
          <t>Contract - Service</t>
        </is>
      </c>
      <c r="E28" s="35" t="inlineStr">
        <is>
          <t>Owner</t>
        </is>
      </c>
      <c r="F28" s="35" t="inlineStr">
        <is>
          <t>External audit &amp; tax agent</t>
        </is>
      </c>
      <c r="G28" s="35" t="inlineStr">
        <is>
          <t>สัญญาผู้สอบบัญชีและที่ปรึกษาภาษี</t>
        </is>
      </c>
      <c r="H28" s="34" t="n"/>
      <c r="I28" s="34" t="n"/>
      <c r="J28" s="36" t="n"/>
      <c r="K28" s="36" t="n"/>
      <c r="L28" s="34" t="inlineStr">
        <is>
          <t>Annual</t>
        </is>
      </c>
      <c r="M28" s="34" t="n">
        <v>60</v>
      </c>
      <c r="N28" s="36">
        <f>IF(K28="","",K28-IF(M28="",0,M28))</f>
        <v/>
      </c>
      <c r="O28" s="37">
        <f>IF(K28="","",K28-TODAY())</f>
        <v/>
      </c>
      <c r="P28" s="10">
        <f>IF(F28="","",IF(K28="","No date",IF(O28&lt;0,"Expired",IF(O28&lt;=30,"Urgent",IF(O28&lt;=90,"Due soon","OK")))))</f>
        <v/>
      </c>
      <c r="Q28" s="34" t="n"/>
      <c r="R28" s="38" t="n"/>
      <c r="S28" s="34" t="n"/>
      <c r="T28" s="35" t="n"/>
      <c r="U28" s="34" t="n"/>
      <c r="V28" s="34">
        <f>IF(F28="","",IF(K28="","",O28+ROW()/100000))</f>
        <v/>
      </c>
    </row>
    <row r="29">
      <c r="A29" s="10">
        <f>IF(F29="","",COUNTA($F$5:F29))</f>
        <v/>
      </c>
      <c r="B29" s="34" t="inlineStr">
        <is>
          <t>SR9</t>
        </is>
      </c>
      <c r="C29" s="34" t="inlineStr">
        <is>
          <t>AMH Ratchada Co., Ltd.</t>
        </is>
      </c>
      <c r="D29" s="34" t="inlineStr">
        <is>
          <t>Contract - Utility</t>
        </is>
      </c>
      <c r="E29" s="35" t="inlineStr">
        <is>
          <t>Owner</t>
        </is>
      </c>
      <c r="F29" s="35" t="inlineStr">
        <is>
          <t>Electricity supply</t>
        </is>
      </c>
      <c r="G29" s="35" t="inlineStr">
        <is>
          <t>สัญญาไฟฟ้า</t>
        </is>
      </c>
      <c r="H29" s="34" t="n"/>
      <c r="I29" s="34" t="n"/>
      <c r="J29" s="36" t="n"/>
      <c r="K29" s="36" t="n"/>
      <c r="L29" s="34" t="inlineStr">
        <is>
          <t>Rolling / evergreen</t>
        </is>
      </c>
      <c r="M29" s="34" t="n">
        <v>60</v>
      </c>
      <c r="N29" s="36">
        <f>IF(K29="","",K29-IF(M29="",0,M29))</f>
        <v/>
      </c>
      <c r="O29" s="37">
        <f>IF(K29="","",K29-TODAY())</f>
        <v/>
      </c>
      <c r="P29" s="10">
        <f>IF(F29="","",IF(K29="","No date",IF(O29&lt;0,"Expired",IF(O29&lt;=30,"Urgent",IF(O29&lt;=90,"Due soon","OK")))))</f>
        <v/>
      </c>
      <c r="Q29" s="34" t="n"/>
      <c r="R29" s="38" t="n"/>
      <c r="S29" s="34" t="n"/>
      <c r="T29" s="35" t="n"/>
      <c r="U29" s="34" t="n"/>
      <c r="V29" s="34">
        <f>IF(F29="","",IF(K29="","",O29+ROW()/100000))</f>
        <v/>
      </c>
    </row>
    <row r="30">
      <c r="A30" s="10">
        <f>IF(F30="","",COUNTA($F$5:F30))</f>
        <v/>
      </c>
      <c r="B30" s="34" t="inlineStr">
        <is>
          <t>SR9</t>
        </is>
      </c>
      <c r="C30" s="34" t="inlineStr">
        <is>
          <t>AMH Ratchada Co., Ltd.</t>
        </is>
      </c>
      <c r="D30" s="34" t="inlineStr">
        <is>
          <t>Contract - Utility</t>
        </is>
      </c>
      <c r="E30" s="35" t="inlineStr">
        <is>
          <t>Owner</t>
        </is>
      </c>
      <c r="F30" s="35" t="inlineStr">
        <is>
          <t>Water supply</t>
        </is>
      </c>
      <c r="G30" s="35" t="inlineStr">
        <is>
          <t>สัญญาน้ำประปา</t>
        </is>
      </c>
      <c r="H30" s="34" t="n"/>
      <c r="I30" s="34" t="n"/>
      <c r="J30" s="36" t="n"/>
      <c r="K30" s="36" t="n"/>
      <c r="L30" s="34" t="inlineStr">
        <is>
          <t>Rolling / evergreen</t>
        </is>
      </c>
      <c r="M30" s="34" t="n">
        <v>60</v>
      </c>
      <c r="N30" s="36">
        <f>IF(K30="","",K30-IF(M30="",0,M30))</f>
        <v/>
      </c>
      <c r="O30" s="37">
        <f>IF(K30="","",K30-TODAY())</f>
        <v/>
      </c>
      <c r="P30" s="10">
        <f>IF(F30="","",IF(K30="","No date",IF(O30&lt;0,"Expired",IF(O30&lt;=30,"Urgent",IF(O30&lt;=90,"Due soon","OK")))))</f>
        <v/>
      </c>
      <c r="Q30" s="34" t="n"/>
      <c r="R30" s="38" t="n"/>
      <c r="S30" s="34" t="n"/>
      <c r="T30" s="35" t="n"/>
      <c r="U30" s="34" t="n"/>
      <c r="V30" s="34">
        <f>IF(F30="","",IF(K30="","",O30+ROW()/100000))</f>
        <v/>
      </c>
    </row>
    <row r="31">
      <c r="A31" s="10">
        <f>IF(F31="","",COUNTA($F$5:F31))</f>
        <v/>
      </c>
      <c r="B31" s="34" t="inlineStr">
        <is>
          <t>SR9</t>
        </is>
      </c>
      <c r="C31" s="34" t="inlineStr">
        <is>
          <t>AMH Ratchada Co., Ltd.</t>
        </is>
      </c>
      <c r="D31" s="34" t="inlineStr">
        <is>
          <t>Contract - Lease / Finance</t>
        </is>
      </c>
      <c r="E31" s="35" t="inlineStr">
        <is>
          <t>Owner</t>
        </is>
      </c>
      <c r="F31" s="35" t="inlineStr">
        <is>
          <t>Land / building lease</t>
        </is>
      </c>
      <c r="G31" s="35" t="inlineStr">
        <is>
          <t>สัญญาเช่าที่ดิน / อาคาร</t>
        </is>
      </c>
      <c r="H31" s="34" t="n"/>
      <c r="I31" s="34" t="n"/>
      <c r="J31" s="36" t="n"/>
      <c r="K31" s="36" t="n"/>
      <c r="L31" s="34" t="inlineStr">
        <is>
          <t>Other</t>
        </is>
      </c>
      <c r="M31" s="34" t="n">
        <v>60</v>
      </c>
      <c r="N31" s="36">
        <f>IF(K31="","",K31-IF(M31="",0,M31))</f>
        <v/>
      </c>
      <c r="O31" s="37">
        <f>IF(K31="","",K31-TODAY())</f>
        <v/>
      </c>
      <c r="P31" s="10">
        <f>IF(F31="","",IF(K31="","No date",IF(O31&lt;0,"Expired",IF(O31&lt;=30,"Urgent",IF(O31&lt;=90,"Due soon","OK")))))</f>
        <v/>
      </c>
      <c r="Q31" s="34" t="n"/>
      <c r="R31" s="38" t="n"/>
      <c r="S31" s="34" t="n"/>
      <c r="T31" s="35" t="n"/>
      <c r="U31" s="34" t="n"/>
      <c r="V31" s="34">
        <f>IF(F31="","",IF(K31="","",O31+ROW()/100000))</f>
        <v/>
      </c>
    </row>
    <row r="32">
      <c r="A32" s="10">
        <f>IF(F32="","",COUNTA($F$5:F32))</f>
        <v/>
      </c>
      <c r="B32" s="34" t="inlineStr">
        <is>
          <t>SR9</t>
        </is>
      </c>
      <c r="C32" s="34" t="inlineStr">
        <is>
          <t>AMH Ratchada Co., Ltd.</t>
        </is>
      </c>
      <c r="D32" s="34" t="inlineStr">
        <is>
          <t>Contract - Lease / Finance</t>
        </is>
      </c>
      <c r="E32" s="35" t="inlineStr">
        <is>
          <t>Owner</t>
        </is>
      </c>
      <c r="F32" s="35" t="inlineStr">
        <is>
          <t>Bank facility / loan agreement</t>
        </is>
      </c>
      <c r="G32" s="35" t="inlineStr">
        <is>
          <t>สัญญาสินเชื่อธนาคาร</t>
        </is>
      </c>
      <c r="H32" s="34" t="n"/>
      <c r="I32" s="34" t="n"/>
      <c r="J32" s="36" t="n"/>
      <c r="K32" s="36" t="n"/>
      <c r="L32" s="34" t="inlineStr">
        <is>
          <t>Other</t>
        </is>
      </c>
      <c r="M32" s="34" t="n">
        <v>60</v>
      </c>
      <c r="N32" s="36">
        <f>IF(K32="","",K32-IF(M32="",0,M32))</f>
        <v/>
      </c>
      <c r="O32" s="37">
        <f>IF(K32="","",K32-TODAY())</f>
        <v/>
      </c>
      <c r="P32" s="10">
        <f>IF(F32="","",IF(K32="","No date",IF(O32&lt;0,"Expired",IF(O32&lt;=30,"Urgent",IF(O32&lt;=90,"Due soon","OK")))))</f>
        <v/>
      </c>
      <c r="Q32" s="34" t="n"/>
      <c r="R32" s="38" t="n"/>
      <c r="S32" s="34" t="n"/>
      <c r="T32" s="35" t="n"/>
      <c r="U32" s="34" t="n"/>
      <c r="V32" s="34">
        <f>IF(F32="","",IF(K32="","",O32+ROW()/100000))</f>
        <v/>
      </c>
    </row>
    <row r="33">
      <c r="A33" s="10">
        <f>IF(F33="","",COUNTA($F$5:F33))</f>
        <v/>
      </c>
      <c r="B33" s="34" t="inlineStr">
        <is>
          <t>SR9</t>
        </is>
      </c>
      <c r="C33" s="34" t="inlineStr">
        <is>
          <t>AMH Ratchada Co., Ltd.</t>
        </is>
      </c>
      <c r="D33" s="34" t="inlineStr">
        <is>
          <t>Licence</t>
        </is>
      </c>
      <c r="E33" s="35" t="inlineStr">
        <is>
          <t>Property</t>
        </is>
      </c>
      <c r="F33" s="35" t="inlineStr">
        <is>
          <t>Hotel manager licence</t>
        </is>
      </c>
      <c r="G33" s="35" t="inlineStr">
        <is>
          <t>ใบอนุญาตผู้จัดการโรงแรม</t>
        </is>
      </c>
      <c r="H33" s="34" t="inlineStr">
        <is>
          <t>Dept. of Provincial Administration / District Office</t>
        </is>
      </c>
      <c r="I33" s="34" t="n"/>
      <c r="J33" s="36" t="n"/>
      <c r="K33" s="36" t="n"/>
      <c r="L33" s="34" t="inlineStr">
        <is>
          <t>Every 5 years</t>
        </is>
      </c>
      <c r="M33" s="34" t="n">
        <v>60</v>
      </c>
      <c r="N33" s="36">
        <f>IF(K33="","",K33-IF(M33="",0,M33))</f>
        <v/>
      </c>
      <c r="O33" s="37">
        <f>IF(K33="","",K33-TODAY())</f>
        <v/>
      </c>
      <c r="P33" s="10">
        <f>IF(F33="","",IF(K33="","No date",IF(O33&lt;0,"Expired",IF(O33&lt;=30,"Urgent",IF(O33&lt;=90,"Due soon","OK")))))</f>
        <v/>
      </c>
      <c r="Q33" s="34" t="n"/>
      <c r="R33" s="38" t="n"/>
      <c r="S33" s="34" t="n"/>
      <c r="T33" s="35" t="n"/>
      <c r="U33" s="34" t="n"/>
      <c r="V33" s="34">
        <f>IF(F33="","",IF(K33="","",O33+ROW()/100000))</f>
        <v/>
      </c>
    </row>
    <row r="34">
      <c r="A34" s="10">
        <f>IF(F34="","",COUNTA($F$5:F34))</f>
        <v/>
      </c>
      <c r="B34" s="34" t="inlineStr">
        <is>
          <t>SR9</t>
        </is>
      </c>
      <c r="C34" s="34" t="inlineStr">
        <is>
          <t>AMH Ratchada Co., Ltd.</t>
        </is>
      </c>
      <c r="D34" s="34" t="inlineStr">
        <is>
          <t>Licence</t>
        </is>
      </c>
      <c r="E34" s="35" t="inlineStr">
        <is>
          <t>Property</t>
        </is>
      </c>
      <c r="F34" s="35" t="inlineStr">
        <is>
          <t>Food establishment licence</t>
        </is>
      </c>
      <c r="G34" s="35" t="inlineStr">
        <is>
          <t>ใบอนุญาตสถานที่จำหน่ายอาหาร/สะสมอาหาร</t>
        </is>
      </c>
      <c r="H34" s="34" t="inlineStr">
        <is>
          <t>Local authority (BMA / City Municipality)</t>
        </is>
      </c>
      <c r="I34" s="34" t="n"/>
      <c r="J34" s="36" t="n"/>
      <c r="K34" s="36" t="n"/>
      <c r="L34" s="34" t="inlineStr">
        <is>
          <t>Annual</t>
        </is>
      </c>
      <c r="M34" s="34" t="n">
        <v>60</v>
      </c>
      <c r="N34" s="36">
        <f>IF(K34="","",K34-IF(M34="",0,M34))</f>
        <v/>
      </c>
      <c r="O34" s="37">
        <f>IF(K34="","",K34-TODAY())</f>
        <v/>
      </c>
      <c r="P34" s="10">
        <f>IF(F34="","",IF(K34="","No date",IF(O34&lt;0,"Expired",IF(O34&lt;=30,"Urgent",IF(O34&lt;=90,"Due soon","OK")))))</f>
        <v/>
      </c>
      <c r="Q34" s="34" t="n"/>
      <c r="R34" s="38" t="n"/>
      <c r="S34" s="34" t="n"/>
      <c r="T34" s="35" t="n"/>
      <c r="U34" s="34" t="n"/>
      <c r="V34" s="34">
        <f>IF(F34="","",IF(K34="","",O34+ROW()/100000))</f>
        <v/>
      </c>
    </row>
    <row r="35">
      <c r="A35" s="10">
        <f>IF(F35="","",COUNTA($F$5:F35))</f>
        <v/>
      </c>
      <c r="B35" s="34" t="inlineStr">
        <is>
          <t>SR9</t>
        </is>
      </c>
      <c r="C35" s="34" t="inlineStr">
        <is>
          <t>AMH Ratchada Co., Ltd.</t>
        </is>
      </c>
      <c r="D35" s="34" t="inlineStr">
        <is>
          <t>Licence</t>
        </is>
      </c>
      <c r="E35" s="35" t="inlineStr">
        <is>
          <t>Property</t>
        </is>
      </c>
      <c r="F35" s="35" t="inlineStr">
        <is>
          <t>Alcohol sale licence</t>
        </is>
      </c>
      <c r="G35" s="35" t="inlineStr">
        <is>
          <t>ใบอนุญาตขายสุรา</t>
        </is>
      </c>
      <c r="H35" s="34" t="inlineStr">
        <is>
          <t>Excise Department</t>
        </is>
      </c>
      <c r="I35" s="34" t="n"/>
      <c r="J35" s="36" t="n"/>
      <c r="K35" s="36" t="n"/>
      <c r="L35" s="34" t="inlineStr">
        <is>
          <t>Annual</t>
        </is>
      </c>
      <c r="M35" s="34" t="n">
        <v>60</v>
      </c>
      <c r="N35" s="36">
        <f>IF(K35="","",K35-IF(M35="",0,M35))</f>
        <v/>
      </c>
      <c r="O35" s="37">
        <f>IF(K35="","",K35-TODAY())</f>
        <v/>
      </c>
      <c r="P35" s="10">
        <f>IF(F35="","",IF(K35="","No date",IF(O35&lt;0,"Expired",IF(O35&lt;=30,"Urgent",IF(O35&lt;=90,"Due soon","OK")))))</f>
        <v/>
      </c>
      <c r="Q35" s="34" t="n"/>
      <c r="R35" s="38" t="n"/>
      <c r="S35" s="34" t="n"/>
      <c r="T35" s="35" t="n"/>
      <c r="U35" s="34" t="n"/>
      <c r="V35" s="34">
        <f>IF(F35="","",IF(K35="","",O35+ROW()/100000))</f>
        <v/>
      </c>
    </row>
    <row r="36">
      <c r="A36" s="10">
        <f>IF(F36="","",COUNTA($F$5:F36))</f>
        <v/>
      </c>
      <c r="B36" s="34" t="inlineStr">
        <is>
          <t>SR9</t>
        </is>
      </c>
      <c r="C36" s="34" t="inlineStr">
        <is>
          <t>AMH Ratchada Co., Ltd.</t>
        </is>
      </c>
      <c r="D36" s="34" t="inlineStr">
        <is>
          <t>Licence</t>
        </is>
      </c>
      <c r="E36" s="35" t="inlineStr">
        <is>
          <t>Property</t>
        </is>
      </c>
      <c r="F36" s="35" t="inlineStr">
        <is>
          <t>Tobacco sale licence</t>
        </is>
      </c>
      <c r="G36" s="35" t="inlineStr">
        <is>
          <t>ใบอนุญาตขายยาสูบ</t>
        </is>
      </c>
      <c r="H36" s="34" t="inlineStr">
        <is>
          <t>Excise Department</t>
        </is>
      </c>
      <c r="I36" s="34" t="n"/>
      <c r="J36" s="36" t="n"/>
      <c r="K36" s="36" t="n"/>
      <c r="L36" s="34" t="inlineStr">
        <is>
          <t>Annual</t>
        </is>
      </c>
      <c r="M36" s="34" t="n">
        <v>60</v>
      </c>
      <c r="N36" s="36">
        <f>IF(K36="","",K36-IF(M36="",0,M36))</f>
        <v/>
      </c>
      <c r="O36" s="37">
        <f>IF(K36="","",K36-TODAY())</f>
        <v/>
      </c>
      <c r="P36" s="10">
        <f>IF(F36="","",IF(K36="","No date",IF(O36&lt;0,"Expired",IF(O36&lt;=30,"Urgent",IF(O36&lt;=90,"Due soon","OK")))))</f>
        <v/>
      </c>
      <c r="Q36" s="34" t="n"/>
      <c r="R36" s="38" t="n"/>
      <c r="S36" s="34" t="n"/>
      <c r="T36" s="35" t="n"/>
      <c r="U36" s="34" t="n"/>
      <c r="V36" s="34">
        <f>IF(F36="","",IF(K36="","",O36+ROW()/100000))</f>
        <v/>
      </c>
    </row>
    <row r="37">
      <c r="A37" s="10">
        <f>IF(F37="","",COUNTA($F$5:F37))</f>
        <v/>
      </c>
      <c r="B37" s="34" t="inlineStr">
        <is>
          <t>SR9</t>
        </is>
      </c>
      <c r="C37" s="34" t="inlineStr">
        <is>
          <t>AMH Ratchada Co., Ltd.</t>
        </is>
      </c>
      <c r="D37" s="34" t="inlineStr">
        <is>
          <t>Licence</t>
        </is>
      </c>
      <c r="E37" s="35" t="inlineStr">
        <is>
          <t>Property</t>
        </is>
      </c>
      <c r="F37" s="35" t="inlineStr">
        <is>
          <t>Swimming pool / public place licence</t>
        </is>
      </c>
      <c r="G37" s="35" t="inlineStr">
        <is>
          <t>ใบอนุญาตสถานที่สาธารณะ (สระว่ายน้ำ)</t>
        </is>
      </c>
      <c r="H37" s="34" t="inlineStr">
        <is>
          <t>Local authority (BMA / City Municipality)</t>
        </is>
      </c>
      <c r="I37" s="34" t="n"/>
      <c r="J37" s="36" t="n"/>
      <c r="K37" s="36" t="n"/>
      <c r="L37" s="34" t="inlineStr">
        <is>
          <t>Annual</t>
        </is>
      </c>
      <c r="M37" s="34" t="n">
        <v>60</v>
      </c>
      <c r="N37" s="36">
        <f>IF(K37="","",K37-IF(M37="",0,M37))</f>
        <v/>
      </c>
      <c r="O37" s="37">
        <f>IF(K37="","",K37-TODAY())</f>
        <v/>
      </c>
      <c r="P37" s="10">
        <f>IF(F37="","",IF(K37="","No date",IF(O37&lt;0,"Expired",IF(O37&lt;=30,"Urgent",IF(O37&lt;=90,"Due soon","OK")))))</f>
        <v/>
      </c>
      <c r="Q37" s="34" t="n"/>
      <c r="R37" s="38" t="n"/>
      <c r="S37" s="34" t="n"/>
      <c r="T37" s="35" t="n"/>
      <c r="U37" s="34" t="n"/>
      <c r="V37" s="34">
        <f>IF(F37="","",IF(K37="","",O37+ROW()/100000))</f>
        <v/>
      </c>
    </row>
    <row r="38">
      <c r="A38" s="10">
        <f>IF(F38="","",COUNTA($F$5:F38))</f>
        <v/>
      </c>
      <c r="B38" s="34" t="inlineStr">
        <is>
          <t>SR9</t>
        </is>
      </c>
      <c r="C38" s="34" t="inlineStr">
        <is>
          <t>AMH Ratchada Co., Ltd.</t>
        </is>
      </c>
      <c r="D38" s="34" t="inlineStr">
        <is>
          <t>Licence</t>
        </is>
      </c>
      <c r="E38" s="35" t="inlineStr">
        <is>
          <t>Property</t>
        </is>
      </c>
      <c r="F38" s="35" t="inlineStr">
        <is>
          <t>Radio / walkie-talkie frequency licence</t>
        </is>
      </c>
      <c r="G38" s="35" t="inlineStr">
        <is>
          <t>ใบอนุญาตวิทยุคมนาคม</t>
        </is>
      </c>
      <c r="H38" s="34" t="inlineStr">
        <is>
          <t>NBTC</t>
        </is>
      </c>
      <c r="I38" s="34" t="n"/>
      <c r="J38" s="36" t="n"/>
      <c r="K38" s="36" t="n"/>
      <c r="L38" s="34" t="inlineStr">
        <is>
          <t>Annual</t>
        </is>
      </c>
      <c r="M38" s="34" t="n">
        <v>60</v>
      </c>
      <c r="N38" s="36">
        <f>IF(K38="","",K38-IF(M38="",0,M38))</f>
        <v/>
      </c>
      <c r="O38" s="37">
        <f>IF(K38="","",K38-TODAY())</f>
        <v/>
      </c>
      <c r="P38" s="10">
        <f>IF(F38="","",IF(K38="","No date",IF(O38&lt;0,"Expired",IF(O38&lt;=30,"Urgent",IF(O38&lt;=90,"Due soon","OK")))))</f>
        <v/>
      </c>
      <c r="Q38" s="34" t="n"/>
      <c r="R38" s="38" t="n"/>
      <c r="S38" s="34" t="n"/>
      <c r="T38" s="35" t="n"/>
      <c r="U38" s="34" t="n"/>
      <c r="V38" s="34">
        <f>IF(F38="","",IF(K38="","",O38+ROW()/100000))</f>
        <v/>
      </c>
    </row>
    <row r="39">
      <c r="A39" s="10">
        <f>IF(F39="","",COUNTA($F$5:F39))</f>
        <v/>
      </c>
      <c r="B39" s="34" t="inlineStr">
        <is>
          <t>SR9</t>
        </is>
      </c>
      <c r="C39" s="34" t="inlineStr">
        <is>
          <t>AMH Ratchada Co., Ltd.</t>
        </is>
      </c>
      <c r="D39" s="34" t="inlineStr">
        <is>
          <t>Licence</t>
        </is>
      </c>
      <c r="E39" s="35" t="inlineStr">
        <is>
          <t>Property</t>
        </is>
      </c>
      <c r="F39" s="35" t="inlineStr">
        <is>
          <t>Music / copyright public performance licence</t>
        </is>
      </c>
      <c r="G39" s="35" t="inlineStr">
        <is>
          <t>ใบอนุญาตเผยแพร่งานดนตรี (MCT / ลิขสิทธิ์)</t>
        </is>
      </c>
      <c r="H39" s="34" t="inlineStr">
        <is>
          <t>MCT / Phonorights / collecting societies</t>
        </is>
      </c>
      <c r="I39" s="34" t="n"/>
      <c r="J39" s="36" t="n"/>
      <c r="K39" s="36" t="n"/>
      <c r="L39" s="34" t="inlineStr">
        <is>
          <t>Annual</t>
        </is>
      </c>
      <c r="M39" s="34" t="n">
        <v>60</v>
      </c>
      <c r="N39" s="36">
        <f>IF(K39="","",K39-IF(M39="",0,M39))</f>
        <v/>
      </c>
      <c r="O39" s="37">
        <f>IF(K39="","",K39-TODAY())</f>
        <v/>
      </c>
      <c r="P39" s="10">
        <f>IF(F39="","",IF(K39="","No date",IF(O39&lt;0,"Expired",IF(O39&lt;=30,"Urgent",IF(O39&lt;=90,"Due soon","OK")))))</f>
        <v/>
      </c>
      <c r="Q39" s="34" t="n"/>
      <c r="R39" s="38" t="n"/>
      <c r="S39" s="34" t="n"/>
      <c r="T39" s="35" t="n"/>
      <c r="U39" s="34" t="n"/>
      <c r="V39" s="34">
        <f>IF(F39="","",IF(K39="","",O39+ROW()/100000))</f>
        <v/>
      </c>
    </row>
    <row r="40">
      <c r="A40" s="10">
        <f>IF(F40="","",COUNTA($F$5:F40))</f>
        <v/>
      </c>
      <c r="B40" s="34" t="inlineStr">
        <is>
          <t>SR9</t>
        </is>
      </c>
      <c r="C40" s="34" t="inlineStr">
        <is>
          <t>AMH Ratchada Co., Ltd.</t>
        </is>
      </c>
      <c r="D40" s="34" t="inlineStr">
        <is>
          <t>Permit</t>
        </is>
      </c>
      <c r="E40" s="35" t="inlineStr">
        <is>
          <t>Property</t>
        </is>
      </c>
      <c r="F40" s="35" t="inlineStr">
        <is>
          <t>Waste / refuse disposal permit</t>
        </is>
      </c>
      <c r="G40" s="35" t="inlineStr">
        <is>
          <t>ใบอนุญาตกำจัดสิ่งปฏิกูลและมูลฝอย</t>
        </is>
      </c>
      <c r="H40" s="34" t="inlineStr">
        <is>
          <t>Local authority</t>
        </is>
      </c>
      <c r="I40" s="34" t="n"/>
      <c r="J40" s="36" t="n"/>
      <c r="K40" s="36" t="n"/>
      <c r="L40" s="34" t="inlineStr">
        <is>
          <t>Annual</t>
        </is>
      </c>
      <c r="M40" s="34" t="n">
        <v>60</v>
      </c>
      <c r="N40" s="36">
        <f>IF(K40="","",K40-IF(M40="",0,M40))</f>
        <v/>
      </c>
      <c r="O40" s="37">
        <f>IF(K40="","",K40-TODAY())</f>
        <v/>
      </c>
      <c r="P40" s="10">
        <f>IF(F40="","",IF(K40="","No date",IF(O40&lt;0,"Expired",IF(O40&lt;=30,"Urgent",IF(O40&lt;=90,"Due soon","OK")))))</f>
        <v/>
      </c>
      <c r="Q40" s="34" t="n"/>
      <c r="R40" s="38" t="n"/>
      <c r="S40" s="34" t="n"/>
      <c r="T40" s="35" t="n"/>
      <c r="U40" s="34" t="n"/>
      <c r="V40" s="34">
        <f>IF(F40="","",IF(K40="","",O40+ROW()/100000))</f>
        <v/>
      </c>
    </row>
    <row r="41">
      <c r="A41" s="10">
        <f>IF(F41="","",COUNTA($F$5:F41))</f>
        <v/>
      </c>
      <c r="B41" s="34" t="inlineStr">
        <is>
          <t>SR9</t>
        </is>
      </c>
      <c r="C41" s="34" t="inlineStr">
        <is>
          <t>AMH Ratchada Co., Ltd.</t>
        </is>
      </c>
      <c r="D41" s="34" t="inlineStr">
        <is>
          <t>Permit</t>
        </is>
      </c>
      <c r="E41" s="35" t="inlineStr">
        <is>
          <t>Property</t>
        </is>
      </c>
      <c r="F41" s="35" t="inlineStr">
        <is>
          <t>Work permits / visas — foreign staff</t>
        </is>
      </c>
      <c r="G41" s="35" t="inlineStr">
        <is>
          <t>ใบอนุญาตทำงาน / วีซ่าพนักงานต่างชาติ</t>
        </is>
      </c>
      <c r="H41" s="34" t="inlineStr">
        <is>
          <t>Dept. of Employment / Immigration</t>
        </is>
      </c>
      <c r="I41" s="34" t="n"/>
      <c r="J41" s="36" t="n"/>
      <c r="K41" s="36" t="n"/>
      <c r="L41" s="34" t="inlineStr">
        <is>
          <t>Annual</t>
        </is>
      </c>
      <c r="M41" s="34" t="n">
        <v>60</v>
      </c>
      <c r="N41" s="36">
        <f>IF(K41="","",K41-IF(M41="",0,M41))</f>
        <v/>
      </c>
      <c r="O41" s="37">
        <f>IF(K41="","",K41-TODAY())</f>
        <v/>
      </c>
      <c r="P41" s="10">
        <f>IF(F41="","",IF(K41="","No date",IF(O41&lt;0,"Expired",IF(O41&lt;=30,"Urgent",IF(O41&lt;=90,"Due soon","OK")))))</f>
        <v/>
      </c>
      <c r="Q41" s="34" t="n"/>
      <c r="R41" s="38" t="n"/>
      <c r="S41" s="34" t="n"/>
      <c r="T41" s="35" t="n"/>
      <c r="U41" s="34" t="n"/>
      <c r="V41" s="34">
        <f>IF(F41="","",IF(K41="","",O41+ROW()/100000))</f>
        <v/>
      </c>
    </row>
    <row r="42">
      <c r="A42" s="10">
        <f>IF(F42="","",COUNTA($F$5:F42))</f>
        <v/>
      </c>
      <c r="B42" s="34" t="inlineStr">
        <is>
          <t>SR9</t>
        </is>
      </c>
      <c r="C42" s="34" t="inlineStr">
        <is>
          <t>AMH Ratchada Co., Ltd.</t>
        </is>
      </c>
      <c r="D42" s="34" t="inlineStr">
        <is>
          <t>Certificate</t>
        </is>
      </c>
      <c r="E42" s="35" t="inlineStr">
        <is>
          <t>Property</t>
        </is>
      </c>
      <c r="F42" s="35" t="inlineStr">
        <is>
          <t>Swimming pool water quality test</t>
        </is>
      </c>
      <c r="G42" s="35" t="inlineStr">
        <is>
          <t>ผลตรวจคุณภาพน้ำสระว่ายน้ำ</t>
        </is>
      </c>
      <c r="H42" s="34" t="inlineStr">
        <is>
          <t>Accredited laboratory</t>
        </is>
      </c>
      <c r="I42" s="34" t="n"/>
      <c r="J42" s="36" t="n"/>
      <c r="K42" s="36" t="n"/>
      <c r="L42" s="34" t="inlineStr">
        <is>
          <t>Other</t>
        </is>
      </c>
      <c r="M42" s="34" t="n">
        <v>60</v>
      </c>
      <c r="N42" s="36">
        <f>IF(K42="","",K42-IF(M42="",0,M42))</f>
        <v/>
      </c>
      <c r="O42" s="37">
        <f>IF(K42="","",K42-TODAY())</f>
        <v/>
      </c>
      <c r="P42" s="10">
        <f>IF(F42="","",IF(K42="","No date",IF(O42&lt;0,"Expired",IF(O42&lt;=30,"Urgent",IF(O42&lt;=90,"Due soon","OK")))))</f>
        <v/>
      </c>
      <c r="Q42" s="34" t="n"/>
      <c r="R42" s="38" t="n"/>
      <c r="S42" s="34" t="n"/>
      <c r="T42" s="35" t="n"/>
      <c r="U42" s="34" t="n"/>
      <c r="V42" s="34">
        <f>IF(F42="","",IF(K42="","",O42+ROW()/100000))</f>
        <v/>
      </c>
    </row>
    <row r="43">
      <c r="A43" s="10">
        <f>IF(F43="","",COUNTA($F$5:F43))</f>
        <v/>
      </c>
      <c r="B43" s="34" t="inlineStr">
        <is>
          <t>SR9</t>
        </is>
      </c>
      <c r="C43" s="34" t="inlineStr">
        <is>
          <t>AMH Ratchada Co., Ltd.</t>
        </is>
      </c>
      <c r="D43" s="34" t="inlineStr">
        <is>
          <t>Certificate</t>
        </is>
      </c>
      <c r="E43" s="35" t="inlineStr">
        <is>
          <t>Property</t>
        </is>
      </c>
      <c r="F43" s="35" t="inlineStr">
        <is>
          <t>Drinking / potable water quality test</t>
        </is>
      </c>
      <c r="G43" s="35" t="inlineStr">
        <is>
          <t>ผลตรวจคุณภาพน้ำดื่ม</t>
        </is>
      </c>
      <c r="H43" s="34" t="inlineStr">
        <is>
          <t>Accredited laboratory</t>
        </is>
      </c>
      <c r="I43" s="34" t="n"/>
      <c r="J43" s="36" t="n"/>
      <c r="K43" s="36" t="n"/>
      <c r="L43" s="34" t="inlineStr">
        <is>
          <t>Annual</t>
        </is>
      </c>
      <c r="M43" s="34" t="n">
        <v>60</v>
      </c>
      <c r="N43" s="36">
        <f>IF(K43="","",K43-IF(M43="",0,M43))</f>
        <v/>
      </c>
      <c r="O43" s="37">
        <f>IF(K43="","",K43-TODAY())</f>
        <v/>
      </c>
      <c r="P43" s="10">
        <f>IF(F43="","",IF(K43="","No date",IF(O43&lt;0,"Expired",IF(O43&lt;=30,"Urgent",IF(O43&lt;=90,"Due soon","OK")))))</f>
        <v/>
      </c>
      <c r="Q43" s="34" t="n"/>
      <c r="R43" s="38" t="n"/>
      <c r="S43" s="34" t="n"/>
      <c r="T43" s="35" t="n"/>
      <c r="U43" s="34" t="n"/>
      <c r="V43" s="34">
        <f>IF(F43="","",IF(K43="","",O43+ROW()/100000))</f>
        <v/>
      </c>
    </row>
    <row r="44">
      <c r="A44" s="10">
        <f>IF(F44="","",COUNTA($F$5:F44))</f>
        <v/>
      </c>
      <c r="B44" s="34" t="inlineStr">
        <is>
          <t>SR9</t>
        </is>
      </c>
      <c r="C44" s="34" t="inlineStr">
        <is>
          <t>AMH Ratchada Co., Ltd.</t>
        </is>
      </c>
      <c r="D44" s="34" t="inlineStr">
        <is>
          <t>Certificate</t>
        </is>
      </c>
      <c r="E44" s="35" t="inlineStr">
        <is>
          <t>Property</t>
        </is>
      </c>
      <c r="F44" s="35" t="inlineStr">
        <is>
          <t>Wastewater treatment monitoring report</t>
        </is>
      </c>
      <c r="G44" s="35" t="inlineStr">
        <is>
          <t>รายงานผลการตรวจวัดคุณภาพน้ำทิ้ง</t>
        </is>
      </c>
      <c r="H44" s="34" t="inlineStr">
        <is>
          <t>Dept. of Pollution Control / local authority</t>
        </is>
      </c>
      <c r="I44" s="34" t="n"/>
      <c r="J44" s="36" t="n"/>
      <c r="K44" s="36" t="n"/>
      <c r="L44" s="34" t="inlineStr">
        <is>
          <t>Other</t>
        </is>
      </c>
      <c r="M44" s="34" t="n">
        <v>60</v>
      </c>
      <c r="N44" s="36">
        <f>IF(K44="","",K44-IF(M44="",0,M44))</f>
        <v/>
      </c>
      <c r="O44" s="37">
        <f>IF(K44="","",K44-TODAY())</f>
        <v/>
      </c>
      <c r="P44" s="10">
        <f>IF(F44="","",IF(K44="","No date",IF(O44&lt;0,"Expired",IF(O44&lt;=30,"Urgent",IF(O44&lt;=90,"Due soon","OK")))))</f>
        <v/>
      </c>
      <c r="Q44" s="34" t="n"/>
      <c r="R44" s="38" t="n"/>
      <c r="S44" s="34" t="n"/>
      <c r="T44" s="35" t="n"/>
      <c r="U44" s="34" t="n"/>
      <c r="V44" s="34">
        <f>IF(F44="","",IF(K44="","",O44+ROW()/100000))</f>
        <v/>
      </c>
    </row>
    <row r="45">
      <c r="A45" s="10">
        <f>IF(F45="","",COUNTA($F$5:F45))</f>
        <v/>
      </c>
      <c r="B45" s="34" t="inlineStr">
        <is>
          <t>SR9</t>
        </is>
      </c>
      <c r="C45" s="34" t="inlineStr">
        <is>
          <t>AMH Ratchada Co., Ltd.</t>
        </is>
      </c>
      <c r="D45" s="34" t="inlineStr">
        <is>
          <t>Certificate</t>
        </is>
      </c>
      <c r="E45" s="35" t="inlineStr">
        <is>
          <t>Property</t>
        </is>
      </c>
      <c r="F45" s="35" t="inlineStr">
        <is>
          <t>Food handler health certificates</t>
        </is>
      </c>
      <c r="G45" s="35" t="inlineStr">
        <is>
          <t>ใบรับรองสุขภาพผู้สัมผัสอาหาร</t>
        </is>
      </c>
      <c r="H45" s="34" t="inlineStr">
        <is>
          <t>Public health office</t>
        </is>
      </c>
      <c r="I45" s="34" t="n"/>
      <c r="J45" s="36" t="n"/>
      <c r="K45" s="36" t="n"/>
      <c r="L45" s="34" t="inlineStr">
        <is>
          <t>Annual</t>
        </is>
      </c>
      <c r="M45" s="34" t="n">
        <v>60</v>
      </c>
      <c r="N45" s="36">
        <f>IF(K45="","",K45-IF(M45="",0,M45))</f>
        <v/>
      </c>
      <c r="O45" s="37">
        <f>IF(K45="","",K45-TODAY())</f>
        <v/>
      </c>
      <c r="P45" s="10">
        <f>IF(F45="","",IF(K45="","No date",IF(O45&lt;0,"Expired",IF(O45&lt;=30,"Urgent",IF(O45&lt;=90,"Due soon","OK")))))</f>
        <v/>
      </c>
      <c r="Q45" s="34" t="n"/>
      <c r="R45" s="38" t="n"/>
      <c r="S45" s="34" t="n"/>
      <c r="T45" s="35" t="n"/>
      <c r="U45" s="34" t="n"/>
      <c r="V45" s="34">
        <f>IF(F45="","",IF(K45="","",O45+ROW()/100000))</f>
        <v/>
      </c>
    </row>
    <row r="46">
      <c r="A46" s="10">
        <f>IF(F46="","",COUNTA($F$5:F46))</f>
        <v/>
      </c>
      <c r="B46" s="34" t="inlineStr">
        <is>
          <t>SR9</t>
        </is>
      </c>
      <c r="C46" s="34" t="inlineStr">
        <is>
          <t>AMH Ratchada Co., Ltd.</t>
        </is>
      </c>
      <c r="D46" s="34" t="inlineStr">
        <is>
          <t>Certificate</t>
        </is>
      </c>
      <c r="E46" s="35" t="inlineStr">
        <is>
          <t>Property</t>
        </is>
      </c>
      <c r="F46" s="35" t="inlineStr">
        <is>
          <t>Pest control service certificate</t>
        </is>
      </c>
      <c r="G46" s="35" t="inlineStr">
        <is>
          <t>ใบรับรองการกำจัดแมลงและสัตว์พาหะ</t>
        </is>
      </c>
      <c r="H46" s="34" t="inlineStr">
        <is>
          <t>Licensed contractor</t>
        </is>
      </c>
      <c r="I46" s="34" t="n"/>
      <c r="J46" s="36" t="n"/>
      <c r="K46" s="36" t="n"/>
      <c r="L46" s="34" t="inlineStr">
        <is>
          <t>Annual</t>
        </is>
      </c>
      <c r="M46" s="34" t="n">
        <v>60</v>
      </c>
      <c r="N46" s="36">
        <f>IF(K46="","",K46-IF(M46="",0,M46))</f>
        <v/>
      </c>
      <c r="O46" s="37">
        <f>IF(K46="","",K46-TODAY())</f>
        <v/>
      </c>
      <c r="P46" s="10">
        <f>IF(F46="","",IF(K46="","No date",IF(O46&lt;0,"Expired",IF(O46&lt;=30,"Urgent",IF(O46&lt;=90,"Due soon","OK")))))</f>
        <v/>
      </c>
      <c r="Q46" s="34" t="n"/>
      <c r="R46" s="38" t="n"/>
      <c r="S46" s="34" t="n"/>
      <c r="T46" s="35" t="n"/>
      <c r="U46" s="34" t="n"/>
      <c r="V46" s="34">
        <f>IF(F46="","",IF(K46="","",O46+ROW()/100000))</f>
        <v/>
      </c>
    </row>
    <row r="47">
      <c r="A47" s="10">
        <f>IF(F47="","",COUNTA($F$5:F47))</f>
        <v/>
      </c>
      <c r="B47" s="34" t="inlineStr">
        <is>
          <t>SR9</t>
        </is>
      </c>
      <c r="C47" s="34" t="inlineStr">
        <is>
          <t>AMH Ratchada Co., Ltd.</t>
        </is>
      </c>
      <c r="D47" s="34" t="inlineStr">
        <is>
          <t>Insurance</t>
        </is>
      </c>
      <c r="E47" s="35" t="inlineStr">
        <is>
          <t>Property</t>
        </is>
      </c>
      <c r="F47" s="35" t="inlineStr">
        <is>
          <t>Hotel guest / hotel-act compulsory insurance</t>
        </is>
      </c>
      <c r="G47" s="35" t="inlineStr">
        <is>
          <t>ประกันภัยตาม พ.ร.บ. โรงแรม</t>
        </is>
      </c>
      <c r="H47" s="34" t="inlineStr">
        <is>
          <t>Insurer / broker</t>
        </is>
      </c>
      <c r="I47" s="34" t="n"/>
      <c r="J47" s="36" t="n"/>
      <c r="K47" s="36" t="n"/>
      <c r="L47" s="34" t="inlineStr">
        <is>
          <t>Annual</t>
        </is>
      </c>
      <c r="M47" s="34" t="n">
        <v>60</v>
      </c>
      <c r="N47" s="36">
        <f>IF(K47="","",K47-IF(M47="",0,M47))</f>
        <v/>
      </c>
      <c r="O47" s="37">
        <f>IF(K47="","",K47-TODAY())</f>
        <v/>
      </c>
      <c r="P47" s="10">
        <f>IF(F47="","",IF(K47="","No date",IF(O47&lt;0,"Expired",IF(O47&lt;=30,"Urgent",IF(O47&lt;=90,"Due soon","OK")))))</f>
        <v/>
      </c>
      <c r="Q47" s="34" t="n"/>
      <c r="R47" s="38" t="n"/>
      <c r="S47" s="34" t="n"/>
      <c r="T47" s="35" t="n"/>
      <c r="U47" s="34" t="n"/>
      <c r="V47" s="34">
        <f>IF(F47="","",IF(K47="","",O47+ROW()/100000))</f>
        <v/>
      </c>
    </row>
    <row r="48">
      <c r="A48" s="10">
        <f>IF(F48="","",COUNTA($F$5:F48))</f>
        <v/>
      </c>
      <c r="B48" s="34" t="inlineStr">
        <is>
          <t>SR9</t>
        </is>
      </c>
      <c r="C48" s="34" t="inlineStr">
        <is>
          <t>AMH Ratchada Co., Ltd.</t>
        </is>
      </c>
      <c r="D48" s="34" t="inlineStr">
        <is>
          <t>Contract - OTA</t>
        </is>
      </c>
      <c r="E48" s="35" t="inlineStr">
        <is>
          <t>Property</t>
        </is>
      </c>
      <c r="F48" s="35" t="inlineStr">
        <is>
          <t>Booking.com accommodation agreement</t>
        </is>
      </c>
      <c r="G48" s="35" t="inlineStr">
        <is>
          <t>สัญญากับ Booking.com</t>
        </is>
      </c>
      <c r="H48" s="34" t="inlineStr">
        <is>
          <t>Booking.com B.V.</t>
        </is>
      </c>
      <c r="I48" s="34" t="n"/>
      <c r="J48" s="36" t="n"/>
      <c r="K48" s="36" t="n"/>
      <c r="L48" s="34" t="inlineStr">
        <is>
          <t>Rolling / evergreen</t>
        </is>
      </c>
      <c r="M48" s="34" t="n">
        <v>60</v>
      </c>
      <c r="N48" s="36">
        <f>IF(K48="","",K48-IF(M48="",0,M48))</f>
        <v/>
      </c>
      <c r="O48" s="37">
        <f>IF(K48="","",K48-TODAY())</f>
        <v/>
      </c>
      <c r="P48" s="10">
        <f>IF(F48="","",IF(K48="","No date",IF(O48&lt;0,"Expired",IF(O48&lt;=30,"Urgent",IF(O48&lt;=90,"Due soon","OK")))))</f>
        <v/>
      </c>
      <c r="Q48" s="34" t="n"/>
      <c r="R48" s="38" t="n"/>
      <c r="S48" s="34" t="n"/>
      <c r="T48" s="35" t="n"/>
      <c r="U48" s="34" t="n"/>
      <c r="V48" s="34">
        <f>IF(F48="","",IF(K48="","",O48+ROW()/100000))</f>
        <v/>
      </c>
    </row>
    <row r="49">
      <c r="A49" s="10">
        <f>IF(F49="","",COUNTA($F$5:F49))</f>
        <v/>
      </c>
      <c r="B49" s="34" t="inlineStr">
        <is>
          <t>SR9</t>
        </is>
      </c>
      <c r="C49" s="34" t="inlineStr">
        <is>
          <t>AMH Ratchada Co., Ltd.</t>
        </is>
      </c>
      <c r="D49" s="34" t="inlineStr">
        <is>
          <t>Contract - OTA</t>
        </is>
      </c>
      <c r="E49" s="35" t="inlineStr">
        <is>
          <t>Property</t>
        </is>
      </c>
      <c r="F49" s="35" t="inlineStr">
        <is>
          <t>Expedia lodging agreement</t>
        </is>
      </c>
      <c r="G49" s="35" t="inlineStr">
        <is>
          <t>สัญญากับ Expedia</t>
        </is>
      </c>
      <c r="H49" s="34" t="inlineStr">
        <is>
          <t>Travelscape LLC / Expedia (Thailand) Co., Ltd.</t>
        </is>
      </c>
      <c r="I49" s="34" t="n"/>
      <c r="J49" s="36" t="n"/>
      <c r="K49" s="36" t="n"/>
      <c r="L49" s="34" t="inlineStr">
        <is>
          <t>Rolling / evergreen</t>
        </is>
      </c>
      <c r="M49" s="34" t="n">
        <v>60</v>
      </c>
      <c r="N49" s="36">
        <f>IF(K49="","",K49-IF(M49="",0,M49))</f>
        <v/>
      </c>
      <c r="O49" s="37">
        <f>IF(K49="","",K49-TODAY())</f>
        <v/>
      </c>
      <c r="P49" s="10">
        <f>IF(F49="","",IF(K49="","No date",IF(O49&lt;0,"Expired",IF(O49&lt;=30,"Urgent",IF(O49&lt;=90,"Due soon","OK")))))</f>
        <v/>
      </c>
      <c r="Q49" s="34" t="n"/>
      <c r="R49" s="38" t="n"/>
      <c r="S49" s="34" t="n"/>
      <c r="T49" s="35" t="n"/>
      <c r="U49" s="34" t="n"/>
      <c r="V49" s="34">
        <f>IF(F49="","",IF(K49="","",O49+ROW()/100000))</f>
        <v/>
      </c>
    </row>
    <row r="50">
      <c r="A50" s="10">
        <f>IF(F50="","",COUNTA($F$5:F50))</f>
        <v/>
      </c>
      <c r="B50" s="34" t="inlineStr">
        <is>
          <t>SR9</t>
        </is>
      </c>
      <c r="C50" s="34" t="inlineStr">
        <is>
          <t>AMH Ratchada Co., Ltd.</t>
        </is>
      </c>
      <c r="D50" s="34" t="inlineStr">
        <is>
          <t>Contract - OTA</t>
        </is>
      </c>
      <c r="E50" s="35" t="inlineStr">
        <is>
          <t>Property</t>
        </is>
      </c>
      <c r="F50" s="35" t="inlineStr">
        <is>
          <t>Agoda accommodation agreement</t>
        </is>
      </c>
      <c r="G50" s="35" t="inlineStr">
        <is>
          <t>สัญญากับ Agoda</t>
        </is>
      </c>
      <c r="H50" s="34" t="inlineStr">
        <is>
          <t>Agoda Company Pte. Ltd.</t>
        </is>
      </c>
      <c r="I50" s="34" t="n"/>
      <c r="J50" s="36" t="n"/>
      <c r="K50" s="36" t="n"/>
      <c r="L50" s="34" t="inlineStr">
        <is>
          <t>Rolling / evergreen</t>
        </is>
      </c>
      <c r="M50" s="34" t="n">
        <v>60</v>
      </c>
      <c r="N50" s="36">
        <f>IF(K50="","",K50-IF(M50="",0,M50))</f>
        <v/>
      </c>
      <c r="O50" s="37">
        <f>IF(K50="","",K50-TODAY())</f>
        <v/>
      </c>
      <c r="P50" s="10">
        <f>IF(F50="","",IF(K50="","No date",IF(O50&lt;0,"Expired",IF(O50&lt;=30,"Urgent",IF(O50&lt;=90,"Due soon","OK")))))</f>
        <v/>
      </c>
      <c r="Q50" s="34" t="n"/>
      <c r="R50" s="38" t="n"/>
      <c r="S50" s="34" t="n"/>
      <c r="T50" s="35" t="n"/>
      <c r="U50" s="34" t="n"/>
      <c r="V50" s="34">
        <f>IF(F50="","",IF(K50="","",O50+ROW()/100000))</f>
        <v/>
      </c>
    </row>
    <row r="51">
      <c r="A51" s="10">
        <f>IF(F51="","",COUNTA($F$5:F51))</f>
        <v/>
      </c>
      <c r="B51" s="34" t="inlineStr">
        <is>
          <t>SR9</t>
        </is>
      </c>
      <c r="C51" s="34" t="inlineStr">
        <is>
          <t>AMH Ratchada Co., Ltd.</t>
        </is>
      </c>
      <c r="D51" s="34" t="inlineStr">
        <is>
          <t>Contract - Service</t>
        </is>
      </c>
      <c r="E51" s="35" t="inlineStr">
        <is>
          <t>Property</t>
        </is>
      </c>
      <c r="F51" s="35" t="inlineStr">
        <is>
          <t>Laundry &amp; linen services</t>
        </is>
      </c>
      <c r="G51" s="35" t="inlineStr">
        <is>
          <t>สัญญาบริการซักรีด</t>
        </is>
      </c>
      <c r="H51" s="34" t="inlineStr">
        <is>
          <t>Asset World Wex Co., Ltd.</t>
        </is>
      </c>
      <c r="I51" s="34" t="n"/>
      <c r="J51" s="36" t="n"/>
      <c r="K51" s="36" t="n"/>
      <c r="L51" s="34" t="inlineStr">
        <is>
          <t>Annual</t>
        </is>
      </c>
      <c r="M51" s="34" t="n">
        <v>60</v>
      </c>
      <c r="N51" s="36">
        <f>IF(K51="","",K51-IF(M51="",0,M51))</f>
        <v/>
      </c>
      <c r="O51" s="37">
        <f>IF(K51="","",K51-TODAY())</f>
        <v/>
      </c>
      <c r="P51" s="10">
        <f>IF(F51="","",IF(K51="","No date",IF(O51&lt;0,"Expired",IF(O51&lt;=30,"Urgent",IF(O51&lt;=90,"Due soon","OK")))))</f>
        <v/>
      </c>
      <c r="Q51" s="34" t="n"/>
      <c r="R51" s="38" t="n"/>
      <c r="S51" s="34" t="n"/>
      <c r="T51" s="35" t="n"/>
      <c r="U51" s="34" t="n"/>
      <c r="V51" s="34">
        <f>IF(F51="","",IF(K51="","",O51+ROW()/100000))</f>
        <v/>
      </c>
    </row>
    <row r="52">
      <c r="A52" s="10">
        <f>IF(F52="","",COUNTA($F$5:F52))</f>
        <v/>
      </c>
      <c r="B52" s="34" t="inlineStr">
        <is>
          <t>SR9</t>
        </is>
      </c>
      <c r="C52" s="34" t="inlineStr">
        <is>
          <t>AMH Ratchada Co., Ltd.</t>
        </is>
      </c>
      <c r="D52" s="34" t="inlineStr">
        <is>
          <t>Contract - Service</t>
        </is>
      </c>
      <c r="E52" s="35" t="inlineStr">
        <is>
          <t>Property</t>
        </is>
      </c>
      <c r="F52" s="35" t="inlineStr">
        <is>
          <t>F&amp;B outlet / catering operator</t>
        </is>
      </c>
      <c r="G52" s="35" t="inlineStr">
        <is>
          <t>สัญญาผู้ประกอบการอาหารและเครื่องดื่ม</t>
        </is>
      </c>
      <c r="H52" s="34" t="inlineStr">
        <is>
          <t>DK Wow Venture Co., Ltd.</t>
        </is>
      </c>
      <c r="I52" s="34" t="n"/>
      <c r="J52" s="36" t="n"/>
      <c r="K52" s="36" t="n"/>
      <c r="L52" s="34" t="inlineStr">
        <is>
          <t>Annual</t>
        </is>
      </c>
      <c r="M52" s="34" t="n">
        <v>60</v>
      </c>
      <c r="N52" s="36">
        <f>IF(K52="","",K52-IF(M52="",0,M52))</f>
        <v/>
      </c>
      <c r="O52" s="37">
        <f>IF(K52="","",K52-TODAY())</f>
        <v/>
      </c>
      <c r="P52" s="10">
        <f>IF(F52="","",IF(K52="","No date",IF(O52&lt;0,"Expired",IF(O52&lt;=30,"Urgent",IF(O52&lt;=90,"Due soon","OK")))))</f>
        <v/>
      </c>
      <c r="Q52" s="34" t="n"/>
      <c r="R52" s="38" t="n"/>
      <c r="S52" s="34" t="n"/>
      <c r="T52" s="35" t="n"/>
      <c r="U52" s="34" t="n"/>
      <c r="V52" s="34">
        <f>IF(F52="","",IF(K52="","",O52+ROW()/100000))</f>
        <v/>
      </c>
    </row>
    <row r="53">
      <c r="A53" s="10">
        <f>IF(F53="","",COUNTA($F$5:F53))</f>
        <v/>
      </c>
      <c r="B53" s="34" t="inlineStr">
        <is>
          <t>SR9</t>
        </is>
      </c>
      <c r="C53" s="34" t="inlineStr">
        <is>
          <t>AMH Ratchada Co., Ltd.</t>
        </is>
      </c>
      <c r="D53" s="34" t="inlineStr">
        <is>
          <t>Contract - Service</t>
        </is>
      </c>
      <c r="E53" s="35" t="inlineStr">
        <is>
          <t>Property</t>
        </is>
      </c>
      <c r="F53" s="35" t="inlineStr">
        <is>
          <t>Security services</t>
        </is>
      </c>
      <c r="G53" s="35" t="inlineStr">
        <is>
          <t>สัญญาบริการรักษาความปลอดภัย</t>
        </is>
      </c>
      <c r="H53" s="34" t="n"/>
      <c r="I53" s="34" t="n"/>
      <c r="J53" s="36" t="n"/>
      <c r="K53" s="36" t="n"/>
      <c r="L53" s="34" t="inlineStr">
        <is>
          <t>Annual</t>
        </is>
      </c>
      <c r="M53" s="34" t="n">
        <v>60</v>
      </c>
      <c r="N53" s="36">
        <f>IF(K53="","",K53-IF(M53="",0,M53))</f>
        <v/>
      </c>
      <c r="O53" s="37">
        <f>IF(K53="","",K53-TODAY())</f>
        <v/>
      </c>
      <c r="P53" s="10">
        <f>IF(F53="","",IF(K53="","No date",IF(O53&lt;0,"Expired",IF(O53&lt;=30,"Urgent",IF(O53&lt;=90,"Due soon","OK")))))</f>
        <v/>
      </c>
      <c r="Q53" s="34" t="n"/>
      <c r="R53" s="38" t="n"/>
      <c r="S53" s="34" t="n"/>
      <c r="T53" s="35" t="n"/>
      <c r="U53" s="34" t="n"/>
      <c r="V53" s="34">
        <f>IF(F53="","",IF(K53="","",O53+ROW()/100000))</f>
        <v/>
      </c>
    </row>
    <row r="54">
      <c r="A54" s="10">
        <f>IF(F54="","",COUNTA($F$5:F54))</f>
        <v/>
      </c>
      <c r="B54" s="34" t="inlineStr">
        <is>
          <t>SR9</t>
        </is>
      </c>
      <c r="C54" s="34" t="inlineStr">
        <is>
          <t>AMH Ratchada Co., Ltd.</t>
        </is>
      </c>
      <c r="D54" s="34" t="inlineStr">
        <is>
          <t>Contract - Service</t>
        </is>
      </c>
      <c r="E54" s="35" t="inlineStr">
        <is>
          <t>Property</t>
        </is>
      </c>
      <c r="F54" s="35" t="inlineStr">
        <is>
          <t>Cleaning / housekeeping outsource</t>
        </is>
      </c>
      <c r="G54" s="35" t="inlineStr">
        <is>
          <t>สัญญาบริการทำความสะอาด</t>
        </is>
      </c>
      <c r="H54" s="34" t="n"/>
      <c r="I54" s="34" t="n"/>
      <c r="J54" s="36" t="n"/>
      <c r="K54" s="36" t="n"/>
      <c r="L54" s="34" t="inlineStr">
        <is>
          <t>Annual</t>
        </is>
      </c>
      <c r="M54" s="34" t="n">
        <v>60</v>
      </c>
      <c r="N54" s="36">
        <f>IF(K54="","",K54-IF(M54="",0,M54))</f>
        <v/>
      </c>
      <c r="O54" s="37">
        <f>IF(K54="","",K54-TODAY())</f>
        <v/>
      </c>
      <c r="P54" s="10">
        <f>IF(F54="","",IF(K54="","No date",IF(O54&lt;0,"Expired",IF(O54&lt;=30,"Urgent",IF(O54&lt;=90,"Due soon","OK")))))</f>
        <v/>
      </c>
      <c r="Q54" s="34" t="n"/>
      <c r="R54" s="38" t="n"/>
      <c r="S54" s="34" t="n"/>
      <c r="T54" s="35" t="n"/>
      <c r="U54" s="34" t="n"/>
      <c r="V54" s="34">
        <f>IF(F54="","",IF(K54="","",O54+ROW()/100000))</f>
        <v/>
      </c>
    </row>
    <row r="55">
      <c r="A55" s="10">
        <f>IF(F55="","",COUNTA($F$5:F55))</f>
        <v/>
      </c>
      <c r="B55" s="34" t="inlineStr">
        <is>
          <t>SR9</t>
        </is>
      </c>
      <c r="C55" s="34" t="inlineStr">
        <is>
          <t>AMH Ratchada Co., Ltd.</t>
        </is>
      </c>
      <c r="D55" s="34" t="inlineStr">
        <is>
          <t>Contract - Service</t>
        </is>
      </c>
      <c r="E55" s="35" t="inlineStr">
        <is>
          <t>Property</t>
        </is>
      </c>
      <c r="F55" s="35" t="inlineStr">
        <is>
          <t>Pest control</t>
        </is>
      </c>
      <c r="G55" s="35" t="inlineStr">
        <is>
          <t>สัญญากำจัดแมลง</t>
        </is>
      </c>
      <c r="H55" s="34" t="n"/>
      <c r="I55" s="34" t="n"/>
      <c r="J55" s="36" t="n"/>
      <c r="K55" s="36" t="n"/>
      <c r="L55" s="34" t="inlineStr">
        <is>
          <t>Annual</t>
        </is>
      </c>
      <c r="M55" s="34" t="n">
        <v>60</v>
      </c>
      <c r="N55" s="36">
        <f>IF(K55="","",K55-IF(M55="",0,M55))</f>
        <v/>
      </c>
      <c r="O55" s="37">
        <f>IF(K55="","",K55-TODAY())</f>
        <v/>
      </c>
      <c r="P55" s="10">
        <f>IF(F55="","",IF(K55="","No date",IF(O55&lt;0,"Expired",IF(O55&lt;=30,"Urgent",IF(O55&lt;=90,"Due soon","OK")))))</f>
        <v/>
      </c>
      <c r="Q55" s="34" t="n"/>
      <c r="R55" s="38" t="n"/>
      <c r="S55" s="34" t="n"/>
      <c r="T55" s="35" t="n"/>
      <c r="U55" s="34" t="n"/>
      <c r="V55" s="34">
        <f>IF(F55="","",IF(K55="","",O55+ROW()/100000))</f>
        <v/>
      </c>
    </row>
    <row r="56">
      <c r="A56" s="10">
        <f>IF(F56="","",COUNTA($F$5:F56))</f>
        <v/>
      </c>
      <c r="B56" s="34" t="inlineStr">
        <is>
          <t>SR9</t>
        </is>
      </c>
      <c r="C56" s="34" t="inlineStr">
        <is>
          <t>AMH Ratchada Co., Ltd.</t>
        </is>
      </c>
      <c r="D56" s="34" t="inlineStr">
        <is>
          <t>Contract - Service</t>
        </is>
      </c>
      <c r="E56" s="35" t="inlineStr">
        <is>
          <t>Property</t>
        </is>
      </c>
      <c r="F56" s="35" t="inlineStr">
        <is>
          <t>Landscaping / plant care</t>
        </is>
      </c>
      <c r="G56" s="35" t="inlineStr">
        <is>
          <t>สัญญาดูแลต้นไม้และภูมิทัศน์</t>
        </is>
      </c>
      <c r="H56" s="34" t="n"/>
      <c r="I56" s="34" t="n"/>
      <c r="J56" s="36" t="n"/>
      <c r="K56" s="36" t="n"/>
      <c r="L56" s="34" t="inlineStr">
        <is>
          <t>Annual</t>
        </is>
      </c>
      <c r="M56" s="34" t="n">
        <v>60</v>
      </c>
      <c r="N56" s="36">
        <f>IF(K56="","",K56-IF(M56="",0,M56))</f>
        <v/>
      </c>
      <c r="O56" s="37">
        <f>IF(K56="","",K56-TODAY())</f>
        <v/>
      </c>
      <c r="P56" s="10">
        <f>IF(F56="","",IF(K56="","No date",IF(O56&lt;0,"Expired",IF(O56&lt;=30,"Urgent",IF(O56&lt;=90,"Due soon","OK")))))</f>
        <v/>
      </c>
      <c r="Q56" s="34" t="n"/>
      <c r="R56" s="38" t="n"/>
      <c r="S56" s="34" t="n"/>
      <c r="T56" s="35" t="n"/>
      <c r="U56" s="34" t="n"/>
      <c r="V56" s="34">
        <f>IF(F56="","",IF(K56="","",O56+ROW()/100000))</f>
        <v/>
      </c>
    </row>
    <row r="57">
      <c r="A57" s="10">
        <f>IF(F57="","",COUNTA($F$5:F57))</f>
        <v/>
      </c>
      <c r="B57" s="34" t="inlineStr">
        <is>
          <t>SR9</t>
        </is>
      </c>
      <c r="C57" s="34" t="inlineStr">
        <is>
          <t>AMH Ratchada Co., Ltd.</t>
        </is>
      </c>
      <c r="D57" s="34" t="inlineStr">
        <is>
          <t>Contract - Service</t>
        </is>
      </c>
      <c r="E57" s="35" t="inlineStr">
        <is>
          <t>Property</t>
        </is>
      </c>
      <c r="F57" s="35" t="inlineStr">
        <is>
          <t>Waste collection</t>
        </is>
      </c>
      <c r="G57" s="35" t="inlineStr">
        <is>
          <t>สัญญาเก็บขนขยะ</t>
        </is>
      </c>
      <c r="H57" s="34" t="n"/>
      <c r="I57" s="34" t="n"/>
      <c r="J57" s="36" t="n"/>
      <c r="K57" s="36" t="n"/>
      <c r="L57" s="34" t="inlineStr">
        <is>
          <t>Annual</t>
        </is>
      </c>
      <c r="M57" s="34" t="n">
        <v>60</v>
      </c>
      <c r="N57" s="36">
        <f>IF(K57="","",K57-IF(M57="",0,M57))</f>
        <v/>
      </c>
      <c r="O57" s="37">
        <f>IF(K57="","",K57-TODAY())</f>
        <v/>
      </c>
      <c r="P57" s="10">
        <f>IF(F57="","",IF(K57="","No date",IF(O57&lt;0,"Expired",IF(O57&lt;=30,"Urgent",IF(O57&lt;=90,"Due soon","OK")))))</f>
        <v/>
      </c>
      <c r="Q57" s="34" t="n"/>
      <c r="R57" s="38" t="n"/>
      <c r="S57" s="34" t="n"/>
      <c r="T57" s="35" t="n"/>
      <c r="U57" s="34" t="n"/>
      <c r="V57" s="34">
        <f>IF(F57="","",IF(K57="","",O57+ROW()/100000))</f>
        <v/>
      </c>
    </row>
    <row r="58">
      <c r="A58" s="10">
        <f>IF(F58="","",COUNTA($F$5:F58))</f>
        <v/>
      </c>
      <c r="B58" s="34" t="inlineStr">
        <is>
          <t>SR9</t>
        </is>
      </c>
      <c r="C58" s="34" t="inlineStr">
        <is>
          <t>AMH Ratchada Co., Ltd.</t>
        </is>
      </c>
      <c r="D58" s="34" t="inlineStr">
        <is>
          <t>Contract - Service</t>
        </is>
      </c>
      <c r="E58" s="35" t="inlineStr">
        <is>
          <t>Property</t>
        </is>
      </c>
      <c r="F58" s="35" t="inlineStr">
        <is>
          <t>PMS / property management system licence</t>
        </is>
      </c>
      <c r="G58" s="35" t="inlineStr">
        <is>
          <t>สัญญาระบบบริหารโรงแรม (PMS)</t>
        </is>
      </c>
      <c r="H58" s="34" t="n"/>
      <c r="I58" s="34" t="n"/>
      <c r="J58" s="36" t="n"/>
      <c r="K58" s="36" t="n"/>
      <c r="L58" s="34" t="inlineStr">
        <is>
          <t>Annual</t>
        </is>
      </c>
      <c r="M58" s="34" t="n">
        <v>60</v>
      </c>
      <c r="N58" s="36">
        <f>IF(K58="","",K58-IF(M58="",0,M58))</f>
        <v/>
      </c>
      <c r="O58" s="37">
        <f>IF(K58="","",K58-TODAY())</f>
        <v/>
      </c>
      <c r="P58" s="10">
        <f>IF(F58="","",IF(K58="","No date",IF(O58&lt;0,"Expired",IF(O58&lt;=30,"Urgent",IF(O58&lt;=90,"Due soon","OK")))))</f>
        <v/>
      </c>
      <c r="Q58" s="34" t="n"/>
      <c r="R58" s="38" t="n"/>
      <c r="S58" s="34" t="n"/>
      <c r="T58" s="35" t="n"/>
      <c r="U58" s="34" t="n"/>
      <c r="V58" s="34">
        <f>IF(F58="","",IF(K58="","",O58+ROW()/100000))</f>
        <v/>
      </c>
    </row>
    <row r="59">
      <c r="A59" s="10">
        <f>IF(F59="","",COUNTA($F$5:F59))</f>
        <v/>
      </c>
      <c r="B59" s="34" t="inlineStr">
        <is>
          <t>SR9</t>
        </is>
      </c>
      <c r="C59" s="34" t="inlineStr">
        <is>
          <t>AMH Ratchada Co., Ltd.</t>
        </is>
      </c>
      <c r="D59" s="34" t="inlineStr">
        <is>
          <t>Contract - Service</t>
        </is>
      </c>
      <c r="E59" s="35" t="inlineStr">
        <is>
          <t>Property</t>
        </is>
      </c>
      <c r="F59" s="35" t="inlineStr">
        <is>
          <t>Internet / IPTV / telephone</t>
        </is>
      </c>
      <c r="G59" s="35" t="inlineStr">
        <is>
          <t>สัญญาอินเทอร์เน็ต / IPTV / โทรศัพท์</t>
        </is>
      </c>
      <c r="H59" s="34" t="n"/>
      <c r="I59" s="34" t="n"/>
      <c r="J59" s="36" t="n"/>
      <c r="K59" s="36" t="n"/>
      <c r="L59" s="34" t="inlineStr">
        <is>
          <t>Annual</t>
        </is>
      </c>
      <c r="M59" s="34" t="n">
        <v>60</v>
      </c>
      <c r="N59" s="36">
        <f>IF(K59="","",K59-IF(M59="",0,M59))</f>
        <v/>
      </c>
      <c r="O59" s="37">
        <f>IF(K59="","",K59-TODAY())</f>
        <v/>
      </c>
      <c r="P59" s="10">
        <f>IF(F59="","",IF(K59="","No date",IF(O59&lt;0,"Expired",IF(O59&lt;=30,"Urgent",IF(O59&lt;=90,"Due soon","OK")))))</f>
        <v/>
      </c>
      <c r="Q59" s="34" t="n"/>
      <c r="R59" s="38" t="n"/>
      <c r="S59" s="34" t="n"/>
      <c r="T59" s="35" t="n"/>
      <c r="U59" s="34" t="n"/>
      <c r="V59" s="34">
        <f>IF(F59="","",IF(K59="","",O59+ROW()/100000))</f>
        <v/>
      </c>
    </row>
    <row r="60">
      <c r="A60" s="10">
        <f>IF(F60="","",COUNTA($F$5:F60))</f>
        <v/>
      </c>
      <c r="B60" s="34" t="inlineStr">
        <is>
          <t>AES</t>
        </is>
      </c>
      <c r="C60" s="34" t="inlineStr">
        <is>
          <t>AMH Sathorn Co., Ltd.</t>
        </is>
      </c>
      <c r="D60" s="34" t="inlineStr">
        <is>
          <t>Licence</t>
        </is>
      </c>
      <c r="E60" s="35" t="inlineStr">
        <is>
          <t>Owner</t>
        </is>
      </c>
      <c r="F60" s="35" t="inlineStr">
        <is>
          <t>Hotel operating licence</t>
        </is>
      </c>
      <c r="G60" s="35" t="inlineStr">
        <is>
          <t>ใบอนุญาตประกอบธุรกิจโรงแรม</t>
        </is>
      </c>
      <c r="H60" s="34" t="inlineStr">
        <is>
          <t>Dept. of Provincial Administration / District Office</t>
        </is>
      </c>
      <c r="I60" s="34" t="n"/>
      <c r="J60" s="36" t="n"/>
      <c r="K60" s="36" t="n"/>
      <c r="L60" s="34" t="inlineStr">
        <is>
          <t>Every 5 years</t>
        </is>
      </c>
      <c r="M60" s="34" t="n">
        <v>60</v>
      </c>
      <c r="N60" s="36">
        <f>IF(K60="","",K60-IF(M60="",0,M60))</f>
        <v/>
      </c>
      <c r="O60" s="37">
        <f>IF(K60="","",K60-TODAY())</f>
        <v/>
      </c>
      <c r="P60" s="10">
        <f>IF(F60="","",IF(K60="","No date",IF(O60&lt;0,"Expired",IF(O60&lt;=30,"Urgent",IF(O60&lt;=90,"Due soon","OK")))))</f>
        <v/>
      </c>
      <c r="Q60" s="34" t="n"/>
      <c r="R60" s="38" t="n"/>
      <c r="S60" s="34" t="n"/>
      <c r="T60" s="35" t="n"/>
      <c r="U60" s="34" t="n"/>
      <c r="V60" s="34">
        <f>IF(F60="","",IF(K60="","",O60+ROW()/100000))</f>
        <v/>
      </c>
    </row>
    <row r="61">
      <c r="A61" s="10">
        <f>IF(F61="","",COUNTA($F$5:F61))</f>
        <v/>
      </c>
      <c r="B61" s="34" t="inlineStr">
        <is>
          <t>AES</t>
        </is>
      </c>
      <c r="C61" s="34" t="inlineStr">
        <is>
          <t>AMH Sathorn Co., Ltd.</t>
        </is>
      </c>
      <c r="D61" s="34" t="inlineStr">
        <is>
          <t>Permit</t>
        </is>
      </c>
      <c r="E61" s="35" t="inlineStr">
        <is>
          <t>Owner</t>
        </is>
      </c>
      <c r="F61" s="35" t="inlineStr">
        <is>
          <t>Building construction permit (อ.1)</t>
        </is>
      </c>
      <c r="G61" s="35" t="inlineStr">
        <is>
          <t>ใบอนุญาตก่อสร้างอาคาร (อ.1)</t>
        </is>
      </c>
      <c r="H61" s="34" t="inlineStr">
        <is>
          <t>Local authority (BMA / City Municipality)</t>
        </is>
      </c>
      <c r="I61" s="34" t="n"/>
      <c r="J61" s="36" t="n"/>
      <c r="K61" s="36" t="n"/>
      <c r="L61" s="34" t="inlineStr">
        <is>
          <t>One-off</t>
        </is>
      </c>
      <c r="M61" s="34" t="n">
        <v>60</v>
      </c>
      <c r="N61" s="36">
        <f>IF(K61="","",K61-IF(M61="",0,M61))</f>
        <v/>
      </c>
      <c r="O61" s="37">
        <f>IF(K61="","",K61-TODAY())</f>
        <v/>
      </c>
      <c r="P61" s="10">
        <f>IF(F61="","",IF(K61="","No date",IF(O61&lt;0,"Expired",IF(O61&lt;=30,"Urgent",IF(O61&lt;=90,"Due soon","OK")))))</f>
        <v/>
      </c>
      <c r="Q61" s="34" t="n"/>
      <c r="R61" s="38" t="n"/>
      <c r="S61" s="34" t="n"/>
      <c r="T61" s="35" t="n"/>
      <c r="U61" s="34" t="n"/>
      <c r="V61" s="34">
        <f>IF(F61="","",IF(K61="","",O61+ROW()/100000))</f>
        <v/>
      </c>
    </row>
    <row r="62">
      <c r="A62" s="10">
        <f>IF(F62="","",COUNTA($F$5:F62))</f>
        <v/>
      </c>
      <c r="B62" s="34" t="inlineStr">
        <is>
          <t>AES</t>
        </is>
      </c>
      <c r="C62" s="34" t="inlineStr">
        <is>
          <t>AMH Sathorn Co., Ltd.</t>
        </is>
      </c>
      <c r="D62" s="34" t="inlineStr">
        <is>
          <t>Certificate</t>
        </is>
      </c>
      <c r="E62" s="35" t="inlineStr">
        <is>
          <t>Owner</t>
        </is>
      </c>
      <c r="F62" s="35" t="inlineStr">
        <is>
          <t>Certificate of building use (อ.6)</t>
        </is>
      </c>
      <c r="G62" s="35" t="inlineStr">
        <is>
          <t>ใบรับรองการใช้อาคาร (อ.6)</t>
        </is>
      </c>
      <c r="H62" s="34" t="inlineStr">
        <is>
          <t>Local authority (BMA / City Municipality)</t>
        </is>
      </c>
      <c r="I62" s="34" t="n"/>
      <c r="J62" s="36" t="n"/>
      <c r="K62" s="36" t="n"/>
      <c r="L62" s="34" t="inlineStr">
        <is>
          <t>One-off</t>
        </is>
      </c>
      <c r="M62" s="34" t="n">
        <v>60</v>
      </c>
      <c r="N62" s="36">
        <f>IF(K62="","",K62-IF(M62="",0,M62))</f>
        <v/>
      </c>
      <c r="O62" s="37">
        <f>IF(K62="","",K62-TODAY())</f>
        <v/>
      </c>
      <c r="P62" s="10">
        <f>IF(F62="","",IF(K62="","No date",IF(O62&lt;0,"Expired",IF(O62&lt;=30,"Urgent",IF(O62&lt;=90,"Due soon","OK")))))</f>
        <v/>
      </c>
      <c r="Q62" s="34" t="n"/>
      <c r="R62" s="38" t="n"/>
      <c r="S62" s="34" t="n"/>
      <c r="T62" s="35" t="n"/>
      <c r="U62" s="34" t="n"/>
      <c r="V62" s="34">
        <f>IF(F62="","",IF(K62="","",O62+ROW()/100000))</f>
        <v/>
      </c>
    </row>
    <row r="63">
      <c r="A63" s="10">
        <f>IF(F63="","",COUNTA($F$5:F63))</f>
        <v/>
      </c>
      <c r="B63" s="34" t="inlineStr">
        <is>
          <t>AES</t>
        </is>
      </c>
      <c r="C63" s="34" t="inlineStr">
        <is>
          <t>AMH Sathorn Co., Ltd.</t>
        </is>
      </c>
      <c r="D63" s="34" t="inlineStr">
        <is>
          <t>Certificate</t>
        </is>
      </c>
      <c r="E63" s="35" t="inlineStr">
        <is>
          <t>Owner</t>
        </is>
      </c>
      <c r="F63" s="35" t="inlineStr">
        <is>
          <t>Annual building inspection report (ร.1)</t>
        </is>
      </c>
      <c r="G63" s="35" t="inlineStr">
        <is>
          <t>รายงานการตรวจสอบอาคารประจำปี (ร.1)</t>
        </is>
      </c>
      <c r="H63" s="34" t="inlineStr">
        <is>
          <t>Dept. of Public Works / local authority</t>
        </is>
      </c>
      <c r="I63" s="34" t="n"/>
      <c r="J63" s="36" t="n"/>
      <c r="K63" s="36" t="n"/>
      <c r="L63" s="34" t="inlineStr">
        <is>
          <t>Annual</t>
        </is>
      </c>
      <c r="M63" s="34" t="n">
        <v>60</v>
      </c>
      <c r="N63" s="36">
        <f>IF(K63="","",K63-IF(M63="",0,M63))</f>
        <v/>
      </c>
      <c r="O63" s="37">
        <f>IF(K63="","",K63-TODAY())</f>
        <v/>
      </c>
      <c r="P63" s="10">
        <f>IF(F63="","",IF(K63="","No date",IF(O63&lt;0,"Expired",IF(O63&lt;=30,"Urgent",IF(O63&lt;=90,"Due soon","OK")))))</f>
        <v/>
      </c>
      <c r="Q63" s="34" t="n"/>
      <c r="R63" s="38" t="n"/>
      <c r="S63" s="34" t="n"/>
      <c r="T63" s="35" t="n"/>
      <c r="U63" s="34" t="n"/>
      <c r="V63" s="34">
        <f>IF(F63="","",IF(K63="","",O63+ROW()/100000))</f>
        <v/>
      </c>
    </row>
    <row r="64">
      <c r="A64" s="10">
        <f>IF(F64="","",COUNTA($F$5:F64))</f>
        <v/>
      </c>
      <c r="B64" s="34" t="inlineStr">
        <is>
          <t>AES</t>
        </is>
      </c>
      <c r="C64" s="34" t="inlineStr">
        <is>
          <t>AMH Sathorn Co., Ltd.</t>
        </is>
      </c>
      <c r="D64" s="34" t="inlineStr">
        <is>
          <t>Certificate</t>
        </is>
      </c>
      <c r="E64" s="35" t="inlineStr">
        <is>
          <t>Owner</t>
        </is>
      </c>
      <c r="F64" s="35" t="inlineStr">
        <is>
          <t>Fire protection system inspection</t>
        </is>
      </c>
      <c r="G64" s="35" t="inlineStr">
        <is>
          <t>การตรวจสอบระบบป้องกันอัคคีภัย</t>
        </is>
      </c>
      <c r="H64" s="34" t="inlineStr">
        <is>
          <t>Licensed inspector</t>
        </is>
      </c>
      <c r="I64" s="34" t="n"/>
      <c r="J64" s="36" t="n"/>
      <c r="K64" s="36" t="n"/>
      <c r="L64" s="34" t="inlineStr">
        <is>
          <t>Annual</t>
        </is>
      </c>
      <c r="M64" s="34" t="n">
        <v>60</v>
      </c>
      <c r="N64" s="36">
        <f>IF(K64="","",K64-IF(M64="",0,M64))</f>
        <v/>
      </c>
      <c r="O64" s="37">
        <f>IF(K64="","",K64-TODAY())</f>
        <v/>
      </c>
      <c r="P64" s="10">
        <f>IF(F64="","",IF(K64="","No date",IF(O64&lt;0,"Expired",IF(O64&lt;=30,"Urgent",IF(O64&lt;=90,"Due soon","OK")))))</f>
        <v/>
      </c>
      <c r="Q64" s="34" t="n"/>
      <c r="R64" s="38" t="n"/>
      <c r="S64" s="34" t="n"/>
      <c r="T64" s="35" t="n"/>
      <c r="U64" s="34" t="n"/>
      <c r="V64" s="34">
        <f>IF(F64="","",IF(K64="","",O64+ROW()/100000))</f>
        <v/>
      </c>
    </row>
    <row r="65">
      <c r="A65" s="10">
        <f>IF(F65="","",COUNTA($F$5:F65))</f>
        <v/>
      </c>
      <c r="B65" s="34" t="inlineStr">
        <is>
          <t>AES</t>
        </is>
      </c>
      <c r="C65" s="34" t="inlineStr">
        <is>
          <t>AMH Sathorn Co., Ltd.</t>
        </is>
      </c>
      <c r="D65" s="34" t="inlineStr">
        <is>
          <t>Certificate</t>
        </is>
      </c>
      <c r="E65" s="35" t="inlineStr">
        <is>
          <t>Owner</t>
        </is>
      </c>
      <c r="F65" s="35" t="inlineStr">
        <is>
          <t>Lift / elevator inspection certificate</t>
        </is>
      </c>
      <c r="G65" s="35" t="inlineStr">
        <is>
          <t>ใบรับรองการตรวจสอบลิฟต์</t>
        </is>
      </c>
      <c r="H65" s="34" t="inlineStr">
        <is>
          <t>Licensed engineer</t>
        </is>
      </c>
      <c r="I65" s="34" t="n"/>
      <c r="J65" s="36" t="n"/>
      <c r="K65" s="36" t="n"/>
      <c r="L65" s="34" t="inlineStr">
        <is>
          <t>Annual</t>
        </is>
      </c>
      <c r="M65" s="34" t="n">
        <v>60</v>
      </c>
      <c r="N65" s="36">
        <f>IF(K65="","",K65-IF(M65="",0,M65))</f>
        <v/>
      </c>
      <c r="O65" s="37">
        <f>IF(K65="","",K65-TODAY())</f>
        <v/>
      </c>
      <c r="P65" s="10">
        <f>IF(F65="","",IF(K65="","No date",IF(O65&lt;0,"Expired",IF(O65&lt;=30,"Urgent",IF(O65&lt;=90,"Due soon","OK")))))</f>
        <v/>
      </c>
      <c r="Q65" s="34" t="n"/>
      <c r="R65" s="38" t="n"/>
      <c r="S65" s="34" t="n"/>
      <c r="T65" s="35" t="n"/>
      <c r="U65" s="34" t="n"/>
      <c r="V65" s="34">
        <f>IF(F65="","",IF(K65="","",O65+ROW()/100000))</f>
        <v/>
      </c>
    </row>
    <row r="66">
      <c r="A66" s="10">
        <f>IF(F66="","",COUNTA($F$5:F66))</f>
        <v/>
      </c>
      <c r="B66" s="34" t="inlineStr">
        <is>
          <t>AES</t>
        </is>
      </c>
      <c r="C66" s="34" t="inlineStr">
        <is>
          <t>AMH Sathorn Co., Ltd.</t>
        </is>
      </c>
      <c r="D66" s="34" t="inlineStr">
        <is>
          <t>Certificate</t>
        </is>
      </c>
      <c r="E66" s="35" t="inlineStr">
        <is>
          <t>Owner</t>
        </is>
      </c>
      <c r="F66" s="35" t="inlineStr">
        <is>
          <t>Electrical system inspection</t>
        </is>
      </c>
      <c r="G66" s="35" t="inlineStr">
        <is>
          <t>การตรวจสอบระบบไฟฟ้า</t>
        </is>
      </c>
      <c r="H66" s="34" t="inlineStr">
        <is>
          <t>Licensed engineer</t>
        </is>
      </c>
      <c r="I66" s="34" t="n"/>
      <c r="J66" s="36" t="n"/>
      <c r="K66" s="36" t="n"/>
      <c r="L66" s="34" t="inlineStr">
        <is>
          <t>Annual</t>
        </is>
      </c>
      <c r="M66" s="34" t="n">
        <v>60</v>
      </c>
      <c r="N66" s="36">
        <f>IF(K66="","",K66-IF(M66="",0,M66))</f>
        <v/>
      </c>
      <c r="O66" s="37">
        <f>IF(K66="","",K66-TODAY())</f>
        <v/>
      </c>
      <c r="P66" s="10">
        <f>IF(F66="","",IF(K66="","No date",IF(O66&lt;0,"Expired",IF(O66&lt;=30,"Urgent",IF(O66&lt;=90,"Due soon","OK")))))</f>
        <v/>
      </c>
      <c r="Q66" s="34" t="n"/>
      <c r="R66" s="38" t="n"/>
      <c r="S66" s="34" t="n"/>
      <c r="T66" s="35" t="n"/>
      <c r="U66" s="34" t="n"/>
      <c r="V66" s="34">
        <f>IF(F66="","",IF(K66="","",O66+ROW()/100000))</f>
        <v/>
      </c>
    </row>
    <row r="67">
      <c r="A67" s="10">
        <f>IF(F67="","",COUNTA($F$5:F67))</f>
        <v/>
      </c>
      <c r="B67" s="34" t="inlineStr">
        <is>
          <t>AES</t>
        </is>
      </c>
      <c r="C67" s="34" t="inlineStr">
        <is>
          <t>AMH Sathorn Co., Ltd.</t>
        </is>
      </c>
      <c r="D67" s="34" t="inlineStr">
        <is>
          <t>Certificate</t>
        </is>
      </c>
      <c r="E67" s="35" t="inlineStr">
        <is>
          <t>Owner</t>
        </is>
      </c>
      <c r="F67" s="35" t="inlineStr">
        <is>
          <t>Generator / fuel storage permit</t>
        </is>
      </c>
      <c r="G67" s="35" t="inlineStr">
        <is>
          <t>ใบอนุญาตเครื่องกำเนิดไฟฟ้า / เก็บน้ำมันเชื้อเพลิง</t>
        </is>
      </c>
      <c r="H67" s="34" t="inlineStr">
        <is>
          <t>Dept. of Energy Business / local authority</t>
        </is>
      </c>
      <c r="I67" s="34" t="n"/>
      <c r="J67" s="36" t="n"/>
      <c r="K67" s="36" t="n"/>
      <c r="L67" s="34" t="inlineStr">
        <is>
          <t>Annual</t>
        </is>
      </c>
      <c r="M67" s="34" t="n">
        <v>60</v>
      </c>
      <c r="N67" s="36">
        <f>IF(K67="","",K67-IF(M67="",0,M67))</f>
        <v/>
      </c>
      <c r="O67" s="37">
        <f>IF(K67="","",K67-TODAY())</f>
        <v/>
      </c>
      <c r="P67" s="10">
        <f>IF(F67="","",IF(K67="","No date",IF(O67&lt;0,"Expired",IF(O67&lt;=30,"Urgent",IF(O67&lt;=90,"Due soon","OK")))))</f>
        <v/>
      </c>
      <c r="Q67" s="34" t="n"/>
      <c r="R67" s="38" t="n"/>
      <c r="S67" s="34" t="n"/>
      <c r="T67" s="35" t="n"/>
      <c r="U67" s="34" t="n"/>
      <c r="V67" s="34">
        <f>IF(F67="","",IF(K67="","",O67+ROW()/100000))</f>
        <v/>
      </c>
    </row>
    <row r="68">
      <c r="A68" s="10">
        <f>IF(F68="","",COUNTA($F$5:F68))</f>
        <v/>
      </c>
      <c r="B68" s="34" t="inlineStr">
        <is>
          <t>AES</t>
        </is>
      </c>
      <c r="C68" s="34" t="inlineStr">
        <is>
          <t>AMH Sathorn Co., Ltd.</t>
        </is>
      </c>
      <c r="D68" s="34" t="inlineStr">
        <is>
          <t>Certificate</t>
        </is>
      </c>
      <c r="E68" s="35" t="inlineStr">
        <is>
          <t>Owner</t>
        </is>
      </c>
      <c r="F68" s="35" t="inlineStr">
        <is>
          <t>Boiler / pressure vessel inspection</t>
        </is>
      </c>
      <c r="G68" s="35" t="inlineStr">
        <is>
          <t>การตรวจสอบหม้อไอน้ำ / ภาชนะรับแรงดัน</t>
        </is>
      </c>
      <c r="H68" s="34" t="inlineStr">
        <is>
          <t>Licensed engineer</t>
        </is>
      </c>
      <c r="I68" s="34" t="n"/>
      <c r="J68" s="36" t="n"/>
      <c r="K68" s="36" t="n"/>
      <c r="L68" s="34" t="inlineStr">
        <is>
          <t>Annual</t>
        </is>
      </c>
      <c r="M68" s="34" t="n">
        <v>60</v>
      </c>
      <c r="N68" s="36">
        <f>IF(K68="","",K68-IF(M68="",0,M68))</f>
        <v/>
      </c>
      <c r="O68" s="37">
        <f>IF(K68="","",K68-TODAY())</f>
        <v/>
      </c>
      <c r="P68" s="10">
        <f>IF(F68="","",IF(K68="","No date",IF(O68&lt;0,"Expired",IF(O68&lt;=30,"Urgent",IF(O68&lt;=90,"Due soon","OK")))))</f>
        <v/>
      </c>
      <c r="Q68" s="34" t="n"/>
      <c r="R68" s="38" t="n"/>
      <c r="S68" s="34" t="n"/>
      <c r="T68" s="35" t="n"/>
      <c r="U68" s="34" t="n"/>
      <c r="V68" s="34">
        <f>IF(F68="","",IF(K68="","",O68+ROW()/100000))</f>
        <v/>
      </c>
    </row>
    <row r="69">
      <c r="A69" s="10">
        <f>IF(F69="","",COUNTA($F$5:F69))</f>
        <v/>
      </c>
      <c r="B69" s="34" t="inlineStr">
        <is>
          <t>AES</t>
        </is>
      </c>
      <c r="C69" s="34" t="inlineStr">
        <is>
          <t>AMH Sathorn Co., Ltd.</t>
        </is>
      </c>
      <c r="D69" s="34" t="inlineStr">
        <is>
          <t>Certificate</t>
        </is>
      </c>
      <c r="E69" s="35" t="inlineStr">
        <is>
          <t>Owner</t>
        </is>
      </c>
      <c r="F69" s="35" t="inlineStr">
        <is>
          <t>EIA environmental monitoring report</t>
        </is>
      </c>
      <c r="G69" s="35" t="inlineStr">
        <is>
          <t>รายงานผลการปฏิบัติตามมาตรการ EIA</t>
        </is>
      </c>
      <c r="H69" s="34" t="inlineStr">
        <is>
          <t>Office of Natural Resources &amp; Environmental Policy (ONEP)</t>
        </is>
      </c>
      <c r="I69" s="34" t="n"/>
      <c r="J69" s="36" t="n"/>
      <c r="K69" s="36" t="n"/>
      <c r="L69" s="34" t="inlineStr">
        <is>
          <t>Other</t>
        </is>
      </c>
      <c r="M69" s="34" t="n">
        <v>60</v>
      </c>
      <c r="N69" s="36">
        <f>IF(K69="","",K69-IF(M69="",0,M69))</f>
        <v/>
      </c>
      <c r="O69" s="37">
        <f>IF(K69="","",K69-TODAY())</f>
        <v/>
      </c>
      <c r="P69" s="10">
        <f>IF(F69="","",IF(K69="","No date",IF(O69&lt;0,"Expired",IF(O69&lt;=30,"Urgent",IF(O69&lt;=90,"Due soon","OK")))))</f>
        <v/>
      </c>
      <c r="Q69" s="34" t="n"/>
      <c r="R69" s="38" t="n"/>
      <c r="S69" s="34" t="n"/>
      <c r="T69" s="35" t="n"/>
      <c r="U69" s="34" t="n"/>
      <c r="V69" s="34">
        <f>IF(F69="","",IF(K69="","",O69+ROW()/100000))</f>
        <v/>
      </c>
    </row>
    <row r="70">
      <c r="A70" s="10">
        <f>IF(F70="","",COUNTA($F$5:F70))</f>
        <v/>
      </c>
      <c r="B70" s="34" t="inlineStr">
        <is>
          <t>AES</t>
        </is>
      </c>
      <c r="C70" s="34" t="inlineStr">
        <is>
          <t>AMH Sathorn Co., Ltd.</t>
        </is>
      </c>
      <c r="D70" s="34" t="inlineStr">
        <is>
          <t>Tax / Registration</t>
        </is>
      </c>
      <c r="E70" s="35" t="inlineStr">
        <is>
          <t>Owner</t>
        </is>
      </c>
      <c r="F70" s="35" t="inlineStr">
        <is>
          <t>Signage tax (billboard)</t>
        </is>
      </c>
      <c r="G70" s="35" t="inlineStr">
        <is>
          <t>ภาษีป้าย</t>
        </is>
      </c>
      <c r="H70" s="34" t="inlineStr">
        <is>
          <t>Local authority</t>
        </is>
      </c>
      <c r="I70" s="34" t="n"/>
      <c r="J70" s="36" t="n"/>
      <c r="K70" s="36" t="n"/>
      <c r="L70" s="34" t="inlineStr">
        <is>
          <t>Annual</t>
        </is>
      </c>
      <c r="M70" s="34" t="n">
        <v>60</v>
      </c>
      <c r="N70" s="36">
        <f>IF(K70="","",K70-IF(M70="",0,M70))</f>
        <v/>
      </c>
      <c r="O70" s="37">
        <f>IF(K70="","",K70-TODAY())</f>
        <v/>
      </c>
      <c r="P70" s="10">
        <f>IF(F70="","",IF(K70="","No date",IF(O70&lt;0,"Expired",IF(O70&lt;=30,"Urgent",IF(O70&lt;=90,"Due soon","OK")))))</f>
        <v/>
      </c>
      <c r="Q70" s="34" t="n"/>
      <c r="R70" s="38" t="n"/>
      <c r="S70" s="34" t="n"/>
      <c r="T70" s="35" t="n"/>
      <c r="U70" s="34" t="n"/>
      <c r="V70" s="34">
        <f>IF(F70="","",IF(K70="","",O70+ROW()/100000))</f>
        <v/>
      </c>
    </row>
    <row r="71">
      <c r="A71" s="10">
        <f>IF(F71="","",COUNTA($F$5:F71))</f>
        <v/>
      </c>
      <c r="B71" s="34" t="inlineStr">
        <is>
          <t>AES</t>
        </is>
      </c>
      <c r="C71" s="34" t="inlineStr">
        <is>
          <t>AMH Sathorn Co., Ltd.</t>
        </is>
      </c>
      <c r="D71" s="34" t="inlineStr">
        <is>
          <t>Tax / Registration</t>
        </is>
      </c>
      <c r="E71" s="35" t="inlineStr">
        <is>
          <t>Owner</t>
        </is>
      </c>
      <c r="F71" s="35" t="inlineStr">
        <is>
          <t>Land &amp; building tax</t>
        </is>
      </c>
      <c r="G71" s="35" t="inlineStr">
        <is>
          <t>ภาษีที่ดินและสิ่งปลูกสร้าง</t>
        </is>
      </c>
      <c r="H71" s="34" t="inlineStr">
        <is>
          <t>Local authority</t>
        </is>
      </c>
      <c r="I71" s="34" t="n"/>
      <c r="J71" s="36" t="n"/>
      <c r="K71" s="36" t="n"/>
      <c r="L71" s="34" t="inlineStr">
        <is>
          <t>Annual</t>
        </is>
      </c>
      <c r="M71" s="34" t="n">
        <v>60</v>
      </c>
      <c r="N71" s="36">
        <f>IF(K71="","",K71-IF(M71="",0,M71))</f>
        <v/>
      </c>
      <c r="O71" s="37">
        <f>IF(K71="","",K71-TODAY())</f>
        <v/>
      </c>
      <c r="P71" s="10">
        <f>IF(F71="","",IF(K71="","No date",IF(O71&lt;0,"Expired",IF(O71&lt;=30,"Urgent",IF(O71&lt;=90,"Due soon","OK")))))</f>
        <v/>
      </c>
      <c r="Q71" s="34" t="n"/>
      <c r="R71" s="38" t="n"/>
      <c r="S71" s="34" t="n"/>
      <c r="T71" s="35" t="n"/>
      <c r="U71" s="34" t="n"/>
      <c r="V71" s="34">
        <f>IF(F71="","",IF(K71="","",O71+ROW()/100000))</f>
        <v/>
      </c>
    </row>
    <row r="72">
      <c r="A72" s="10">
        <f>IF(F72="","",COUNTA($F$5:F72))</f>
        <v/>
      </c>
      <c r="B72" s="34" t="inlineStr">
        <is>
          <t>AES</t>
        </is>
      </c>
      <c r="C72" s="34" t="inlineStr">
        <is>
          <t>AMH Sathorn Co., Ltd.</t>
        </is>
      </c>
      <c r="D72" s="34" t="inlineStr">
        <is>
          <t>Tax / Registration</t>
        </is>
      </c>
      <c r="E72" s="35" t="inlineStr">
        <is>
          <t>Owner</t>
        </is>
      </c>
      <c r="F72" s="35" t="inlineStr">
        <is>
          <t>VAT registration (ภ.พ.20)</t>
        </is>
      </c>
      <c r="G72" s="35" t="inlineStr">
        <is>
          <t>ใบทะเบียนภาษีมูลค่าเพิ่ม (ภ.พ.20)</t>
        </is>
      </c>
      <c r="H72" s="34" t="inlineStr">
        <is>
          <t>Revenue Department</t>
        </is>
      </c>
      <c r="I72" s="34" t="n"/>
      <c r="J72" s="36" t="n"/>
      <c r="K72" s="36" t="n"/>
      <c r="L72" s="34" t="inlineStr">
        <is>
          <t>One-off</t>
        </is>
      </c>
      <c r="M72" s="34" t="n">
        <v>60</v>
      </c>
      <c r="N72" s="36">
        <f>IF(K72="","",K72-IF(M72="",0,M72))</f>
        <v/>
      </c>
      <c r="O72" s="37">
        <f>IF(K72="","",K72-TODAY())</f>
        <v/>
      </c>
      <c r="P72" s="10">
        <f>IF(F72="","",IF(K72="","No date",IF(O72&lt;0,"Expired",IF(O72&lt;=30,"Urgent",IF(O72&lt;=90,"Due soon","OK")))))</f>
        <v/>
      </c>
      <c r="Q72" s="34" t="n"/>
      <c r="R72" s="38" t="n"/>
      <c r="S72" s="34" t="n"/>
      <c r="T72" s="35" t="n"/>
      <c r="U72" s="34" t="n"/>
      <c r="V72" s="34">
        <f>IF(F72="","",IF(K72="","",O72+ROW()/100000))</f>
        <v/>
      </c>
    </row>
    <row r="73">
      <c r="A73" s="10">
        <f>IF(F73="","",COUNTA($F$5:F73))</f>
        <v/>
      </c>
      <c r="B73" s="34" t="inlineStr">
        <is>
          <t>AES</t>
        </is>
      </c>
      <c r="C73" s="34" t="inlineStr">
        <is>
          <t>AMH Sathorn Co., Ltd.</t>
        </is>
      </c>
      <c r="D73" s="34" t="inlineStr">
        <is>
          <t>Tax / Registration</t>
        </is>
      </c>
      <c r="E73" s="35" t="inlineStr">
        <is>
          <t>Owner</t>
        </is>
      </c>
      <c r="F73" s="35" t="inlineStr">
        <is>
          <t>Company registration / affidavit</t>
        </is>
      </c>
      <c r="G73" s="35" t="inlineStr">
        <is>
          <t>หนังสือรับรองบริษัท</t>
        </is>
      </c>
      <c r="H73" s="34" t="inlineStr">
        <is>
          <t>Dept. of Business Development</t>
        </is>
      </c>
      <c r="I73" s="34" t="n"/>
      <c r="J73" s="36" t="n"/>
      <c r="K73" s="36" t="n"/>
      <c r="L73" s="34" t="inlineStr">
        <is>
          <t>Other</t>
        </is>
      </c>
      <c r="M73" s="34" t="n">
        <v>60</v>
      </c>
      <c r="N73" s="36">
        <f>IF(K73="","",K73-IF(M73="",0,M73))</f>
        <v/>
      </c>
      <c r="O73" s="37">
        <f>IF(K73="","",K73-TODAY())</f>
        <v/>
      </c>
      <c r="P73" s="10">
        <f>IF(F73="","",IF(K73="","No date",IF(O73&lt;0,"Expired",IF(O73&lt;=30,"Urgent",IF(O73&lt;=90,"Due soon","OK")))))</f>
        <v/>
      </c>
      <c r="Q73" s="34" t="n"/>
      <c r="R73" s="38" t="n"/>
      <c r="S73" s="34" t="n"/>
      <c r="T73" s="35" t="n"/>
      <c r="U73" s="34" t="n"/>
      <c r="V73" s="34">
        <f>IF(F73="","",IF(K73="","",O73+ROW()/100000))</f>
        <v/>
      </c>
    </row>
    <row r="74">
      <c r="A74" s="10">
        <f>IF(F74="","",COUNTA($F$5:F74))</f>
        <v/>
      </c>
      <c r="B74" s="34" t="inlineStr">
        <is>
          <t>AES</t>
        </is>
      </c>
      <c r="C74" s="34" t="inlineStr">
        <is>
          <t>AMH Sathorn Co., Ltd.</t>
        </is>
      </c>
      <c r="D74" s="34" t="inlineStr">
        <is>
          <t>Tax / Registration</t>
        </is>
      </c>
      <c r="E74" s="35" t="inlineStr">
        <is>
          <t>Owner</t>
        </is>
      </c>
      <c r="F74" s="35" t="inlineStr">
        <is>
          <t>Social security registration</t>
        </is>
      </c>
      <c r="G74" s="35" t="inlineStr">
        <is>
          <t>ทะเบียนนายจ้างประกันสังคม</t>
        </is>
      </c>
      <c r="H74" s="34" t="inlineStr">
        <is>
          <t>Social Security Office</t>
        </is>
      </c>
      <c r="I74" s="34" t="n"/>
      <c r="J74" s="36" t="n"/>
      <c r="K74" s="36" t="n"/>
      <c r="L74" s="34" t="inlineStr">
        <is>
          <t>One-off</t>
        </is>
      </c>
      <c r="M74" s="34" t="n">
        <v>60</v>
      </c>
      <c r="N74" s="36">
        <f>IF(K74="","",K74-IF(M74="",0,M74))</f>
        <v/>
      </c>
      <c r="O74" s="37">
        <f>IF(K74="","",K74-TODAY())</f>
        <v/>
      </c>
      <c r="P74" s="10">
        <f>IF(F74="","",IF(K74="","No date",IF(O74&lt;0,"Expired",IF(O74&lt;=30,"Urgent",IF(O74&lt;=90,"Due soon","OK")))))</f>
        <v/>
      </c>
      <c r="Q74" s="34" t="n"/>
      <c r="R74" s="38" t="n"/>
      <c r="S74" s="34" t="n"/>
      <c r="T74" s="35" t="n"/>
      <c r="U74" s="34" t="n"/>
      <c r="V74" s="34">
        <f>IF(F74="","",IF(K74="","",O74+ROW()/100000))</f>
        <v/>
      </c>
    </row>
    <row r="75">
      <c r="A75" s="10">
        <f>IF(F75="","",COUNTA($F$5:F75))</f>
        <v/>
      </c>
      <c r="B75" s="34" t="inlineStr">
        <is>
          <t>AES</t>
        </is>
      </c>
      <c r="C75" s="34" t="inlineStr">
        <is>
          <t>AMH Sathorn Co., Ltd.</t>
        </is>
      </c>
      <c r="D75" s="34" t="inlineStr">
        <is>
          <t>Insurance</t>
        </is>
      </c>
      <c r="E75" s="35" t="inlineStr">
        <is>
          <t>Owner</t>
        </is>
      </c>
      <c r="F75" s="35" t="inlineStr">
        <is>
          <t>Property all-risk insurance</t>
        </is>
      </c>
      <c r="G75" s="35" t="inlineStr">
        <is>
          <t>ประกันภัยทรัพย์สินแบบ All Risk</t>
        </is>
      </c>
      <c r="H75" s="34" t="inlineStr">
        <is>
          <t>Insurer / broker</t>
        </is>
      </c>
      <c r="I75" s="34" t="n"/>
      <c r="J75" s="36" t="n"/>
      <c r="K75" s="36" t="n"/>
      <c r="L75" s="34" t="inlineStr">
        <is>
          <t>Annual</t>
        </is>
      </c>
      <c r="M75" s="34" t="n">
        <v>60</v>
      </c>
      <c r="N75" s="36">
        <f>IF(K75="","",K75-IF(M75="",0,M75))</f>
        <v/>
      </c>
      <c r="O75" s="37">
        <f>IF(K75="","",K75-TODAY())</f>
        <v/>
      </c>
      <c r="P75" s="10">
        <f>IF(F75="","",IF(K75="","No date",IF(O75&lt;0,"Expired",IF(O75&lt;=30,"Urgent",IF(O75&lt;=90,"Due soon","OK")))))</f>
        <v/>
      </c>
      <c r="Q75" s="34" t="n"/>
      <c r="R75" s="38" t="n"/>
      <c r="S75" s="34" t="n"/>
      <c r="T75" s="35" t="n"/>
      <c r="U75" s="34" t="n"/>
      <c r="V75" s="34">
        <f>IF(F75="","",IF(K75="","",O75+ROW()/100000))</f>
        <v/>
      </c>
    </row>
    <row r="76">
      <c r="A76" s="10">
        <f>IF(F76="","",COUNTA($F$5:F76))</f>
        <v/>
      </c>
      <c r="B76" s="34" t="inlineStr">
        <is>
          <t>AES</t>
        </is>
      </c>
      <c r="C76" s="34" t="inlineStr">
        <is>
          <t>AMH Sathorn Co., Ltd.</t>
        </is>
      </c>
      <c r="D76" s="34" t="inlineStr">
        <is>
          <t>Insurance</t>
        </is>
      </c>
      <c r="E76" s="35" t="inlineStr">
        <is>
          <t>Owner</t>
        </is>
      </c>
      <c r="F76" s="35" t="inlineStr">
        <is>
          <t>Public liability insurance</t>
        </is>
      </c>
      <c r="G76" s="35" t="inlineStr">
        <is>
          <t>ประกันภัยความรับผิดต่อบุคคลภายนอก</t>
        </is>
      </c>
      <c r="H76" s="34" t="inlineStr">
        <is>
          <t>Insurer / broker</t>
        </is>
      </c>
      <c r="I76" s="34" t="n"/>
      <c r="J76" s="36" t="n"/>
      <c r="K76" s="36" t="n"/>
      <c r="L76" s="34" t="inlineStr">
        <is>
          <t>Annual</t>
        </is>
      </c>
      <c r="M76" s="34" t="n">
        <v>60</v>
      </c>
      <c r="N76" s="36">
        <f>IF(K76="","",K76-IF(M76="",0,M76))</f>
        <v/>
      </c>
      <c r="O76" s="37">
        <f>IF(K76="","",K76-TODAY())</f>
        <v/>
      </c>
      <c r="P76" s="10">
        <f>IF(F76="","",IF(K76="","No date",IF(O76&lt;0,"Expired",IF(O76&lt;=30,"Urgent",IF(O76&lt;=90,"Due soon","OK")))))</f>
        <v/>
      </c>
      <c r="Q76" s="34" t="n"/>
      <c r="R76" s="38" t="n"/>
      <c r="S76" s="34" t="n"/>
      <c r="T76" s="35" t="n"/>
      <c r="U76" s="34" t="n"/>
      <c r="V76" s="34">
        <f>IF(F76="","",IF(K76="","",O76+ROW()/100000))</f>
        <v/>
      </c>
    </row>
    <row r="77">
      <c r="A77" s="10">
        <f>IF(F77="","",COUNTA($F$5:F77))</f>
        <v/>
      </c>
      <c r="B77" s="34" t="inlineStr">
        <is>
          <t>AES</t>
        </is>
      </c>
      <c r="C77" s="34" t="inlineStr">
        <is>
          <t>AMH Sathorn Co., Ltd.</t>
        </is>
      </c>
      <c r="D77" s="34" t="inlineStr">
        <is>
          <t>Insurance</t>
        </is>
      </c>
      <c r="E77" s="35" t="inlineStr">
        <is>
          <t>Owner</t>
        </is>
      </c>
      <c r="F77" s="35" t="inlineStr">
        <is>
          <t>Business interruption insurance</t>
        </is>
      </c>
      <c r="G77" s="35" t="inlineStr">
        <is>
          <t>ประกันภัยธุรกิจหยุดชะงัก</t>
        </is>
      </c>
      <c r="H77" s="34" t="inlineStr">
        <is>
          <t>Insurer / broker</t>
        </is>
      </c>
      <c r="I77" s="34" t="n"/>
      <c r="J77" s="36" t="n"/>
      <c r="K77" s="36" t="n"/>
      <c r="L77" s="34" t="inlineStr">
        <is>
          <t>Annual</t>
        </is>
      </c>
      <c r="M77" s="34" t="n">
        <v>60</v>
      </c>
      <c r="N77" s="36">
        <f>IF(K77="","",K77-IF(M77="",0,M77))</f>
        <v/>
      </c>
      <c r="O77" s="37">
        <f>IF(K77="","",K77-TODAY())</f>
        <v/>
      </c>
      <c r="P77" s="10">
        <f>IF(F77="","",IF(K77="","No date",IF(O77&lt;0,"Expired",IF(O77&lt;=30,"Urgent",IF(O77&lt;=90,"Due soon","OK")))))</f>
        <v/>
      </c>
      <c r="Q77" s="34" t="n"/>
      <c r="R77" s="38" t="n"/>
      <c r="S77" s="34" t="n"/>
      <c r="T77" s="35" t="n"/>
      <c r="U77" s="34" t="n"/>
      <c r="V77" s="34">
        <f>IF(F77="","",IF(K77="","",O77+ROW()/100000))</f>
        <v/>
      </c>
    </row>
    <row r="78">
      <c r="A78" s="10">
        <f>IF(F78="","",COUNTA($F$5:F78))</f>
        <v/>
      </c>
      <c r="B78" s="34" t="inlineStr">
        <is>
          <t>AES</t>
        </is>
      </c>
      <c r="C78" s="34" t="inlineStr">
        <is>
          <t>AMH Sathorn Co., Ltd.</t>
        </is>
      </c>
      <c r="D78" s="34" t="inlineStr">
        <is>
          <t>Contract - Management</t>
        </is>
      </c>
      <c r="E78" s="35" t="inlineStr">
        <is>
          <t>Owner</t>
        </is>
      </c>
      <c r="F78" s="35" t="inlineStr">
        <is>
          <t>Hotel management agreement</t>
        </is>
      </c>
      <c r="G78" s="35" t="inlineStr">
        <is>
          <t>สัญญาบริหารโรงแรม</t>
        </is>
      </c>
      <c r="H78" s="34" t="inlineStr">
        <is>
          <t>Ascott International Management (Thailand) Ltd.</t>
        </is>
      </c>
      <c r="I78" s="34" t="n"/>
      <c r="J78" s="36" t="n"/>
      <c r="K78" s="36" t="n"/>
      <c r="L78" s="34" t="inlineStr">
        <is>
          <t>Rolling / evergreen</t>
        </is>
      </c>
      <c r="M78" s="34" t="n">
        <v>60</v>
      </c>
      <c r="N78" s="36">
        <f>IF(K78="","",K78-IF(M78="",0,M78))</f>
        <v/>
      </c>
      <c r="O78" s="37">
        <f>IF(K78="","",K78-TODAY())</f>
        <v/>
      </c>
      <c r="P78" s="10">
        <f>IF(F78="","",IF(K78="","No date",IF(O78&lt;0,"Expired",IF(O78&lt;=30,"Urgent",IF(O78&lt;=90,"Due soon","OK")))))</f>
        <v/>
      </c>
      <c r="Q78" s="34" t="n"/>
      <c r="R78" s="38" t="n"/>
      <c r="S78" s="34" t="n"/>
      <c r="T78" s="35" t="n"/>
      <c r="U78" s="34" t="n"/>
      <c r="V78" s="34">
        <f>IF(F78="","",IF(K78="","",O78+ROW()/100000))</f>
        <v/>
      </c>
    </row>
    <row r="79">
      <c r="A79" s="10">
        <f>IF(F79="","",COUNTA($F$5:F79))</f>
        <v/>
      </c>
      <c r="B79" s="34" t="inlineStr">
        <is>
          <t>AES</t>
        </is>
      </c>
      <c r="C79" s="34" t="inlineStr">
        <is>
          <t>AMH Sathorn Co., Ltd.</t>
        </is>
      </c>
      <c r="D79" s="34" t="inlineStr">
        <is>
          <t>Contract - Management</t>
        </is>
      </c>
      <c r="E79" s="35" t="inlineStr">
        <is>
          <t>Owner</t>
        </is>
      </c>
      <c r="F79" s="35" t="inlineStr">
        <is>
          <t>Technical services / central fee agreement</t>
        </is>
      </c>
      <c r="G79" s="35" t="inlineStr">
        <is>
          <t>สัญญาค่าบริการส่วนกลาง</t>
        </is>
      </c>
      <c r="H79" s="34" t="inlineStr">
        <is>
          <t>Ascott International Management (Thailand) Ltd.</t>
        </is>
      </c>
      <c r="I79" s="34" t="n"/>
      <c r="J79" s="36" t="n"/>
      <c r="K79" s="36" t="n"/>
      <c r="L79" s="34" t="inlineStr">
        <is>
          <t>Rolling / evergreen</t>
        </is>
      </c>
      <c r="M79" s="34" t="n">
        <v>60</v>
      </c>
      <c r="N79" s="36">
        <f>IF(K79="","",K79-IF(M79="",0,M79))</f>
        <v/>
      </c>
      <c r="O79" s="37">
        <f>IF(K79="","",K79-TODAY())</f>
        <v/>
      </c>
      <c r="P79" s="10">
        <f>IF(F79="","",IF(K79="","No date",IF(O79&lt;0,"Expired",IF(O79&lt;=30,"Urgent",IF(O79&lt;=90,"Due soon","OK")))))</f>
        <v/>
      </c>
      <c r="Q79" s="34" t="n"/>
      <c r="R79" s="38" t="n"/>
      <c r="S79" s="34" t="n"/>
      <c r="T79" s="35" t="n"/>
      <c r="U79" s="34" t="n"/>
      <c r="V79" s="34">
        <f>IF(F79="","",IF(K79="","",O79+ROW()/100000))</f>
        <v/>
      </c>
    </row>
    <row r="80">
      <c r="A80" s="10">
        <f>IF(F80="","",COUNTA($F$5:F80))</f>
        <v/>
      </c>
      <c r="B80" s="34" t="inlineStr">
        <is>
          <t>AES</t>
        </is>
      </c>
      <c r="C80" s="34" t="inlineStr">
        <is>
          <t>AMH Sathorn Co., Ltd.</t>
        </is>
      </c>
      <c r="D80" s="34" t="inlineStr">
        <is>
          <t>Contract - Service</t>
        </is>
      </c>
      <c r="E80" s="35" t="inlineStr">
        <is>
          <t>Owner</t>
        </is>
      </c>
      <c r="F80" s="35" t="inlineStr">
        <is>
          <t>Lift maintenance</t>
        </is>
      </c>
      <c r="G80" s="35" t="inlineStr">
        <is>
          <t>สัญญาบำรุงรักษาลิฟต์</t>
        </is>
      </c>
      <c r="H80" s="34" t="n"/>
      <c r="I80" s="34" t="n"/>
      <c r="J80" s="36" t="n"/>
      <c r="K80" s="36" t="n"/>
      <c r="L80" s="34" t="inlineStr">
        <is>
          <t>Annual</t>
        </is>
      </c>
      <c r="M80" s="34" t="n">
        <v>60</v>
      </c>
      <c r="N80" s="36">
        <f>IF(K80="","",K80-IF(M80="",0,M80))</f>
        <v/>
      </c>
      <c r="O80" s="37">
        <f>IF(K80="","",K80-TODAY())</f>
        <v/>
      </c>
      <c r="P80" s="10">
        <f>IF(F80="","",IF(K80="","No date",IF(O80&lt;0,"Expired",IF(O80&lt;=30,"Urgent",IF(O80&lt;=90,"Due soon","OK")))))</f>
        <v/>
      </c>
      <c r="Q80" s="34" t="n"/>
      <c r="R80" s="38" t="n"/>
      <c r="S80" s="34" t="n"/>
      <c r="T80" s="35" t="n"/>
      <c r="U80" s="34" t="n"/>
      <c r="V80" s="34">
        <f>IF(F80="","",IF(K80="","",O80+ROW()/100000))</f>
        <v/>
      </c>
    </row>
    <row r="81">
      <c r="A81" s="10">
        <f>IF(F81="","",COUNTA($F$5:F81))</f>
        <v/>
      </c>
      <c r="B81" s="34" t="inlineStr">
        <is>
          <t>AES</t>
        </is>
      </c>
      <c r="C81" s="34" t="inlineStr">
        <is>
          <t>AMH Sathorn Co., Ltd.</t>
        </is>
      </c>
      <c r="D81" s="34" t="inlineStr">
        <is>
          <t>Contract - Service</t>
        </is>
      </c>
      <c r="E81" s="35" t="inlineStr">
        <is>
          <t>Owner</t>
        </is>
      </c>
      <c r="F81" s="35" t="inlineStr">
        <is>
          <t>HVAC / chiller maintenance</t>
        </is>
      </c>
      <c r="G81" s="35" t="inlineStr">
        <is>
          <t>สัญญาบำรุงรักษาระบบปรับอากาศ</t>
        </is>
      </c>
      <c r="H81" s="34" t="n"/>
      <c r="I81" s="34" t="n"/>
      <c r="J81" s="36" t="n"/>
      <c r="K81" s="36" t="n"/>
      <c r="L81" s="34" t="inlineStr">
        <is>
          <t>Annual</t>
        </is>
      </c>
      <c r="M81" s="34" t="n">
        <v>60</v>
      </c>
      <c r="N81" s="36">
        <f>IF(K81="","",K81-IF(M81="",0,M81))</f>
        <v/>
      </c>
      <c r="O81" s="37">
        <f>IF(K81="","",K81-TODAY())</f>
        <v/>
      </c>
      <c r="P81" s="10">
        <f>IF(F81="","",IF(K81="","No date",IF(O81&lt;0,"Expired",IF(O81&lt;=30,"Urgent",IF(O81&lt;=90,"Due soon","OK")))))</f>
        <v/>
      </c>
      <c r="Q81" s="34" t="n"/>
      <c r="R81" s="38" t="n"/>
      <c r="S81" s="34" t="n"/>
      <c r="T81" s="35" t="n"/>
      <c r="U81" s="34" t="n"/>
      <c r="V81" s="34">
        <f>IF(F81="","",IF(K81="","",O81+ROW()/100000))</f>
        <v/>
      </c>
    </row>
    <row r="82">
      <c r="A82" s="10">
        <f>IF(F82="","",COUNTA($F$5:F82))</f>
        <v/>
      </c>
      <c r="B82" s="34" t="inlineStr">
        <is>
          <t>AES</t>
        </is>
      </c>
      <c r="C82" s="34" t="inlineStr">
        <is>
          <t>AMH Sathorn Co., Ltd.</t>
        </is>
      </c>
      <c r="D82" s="34" t="inlineStr">
        <is>
          <t>Contract - Service</t>
        </is>
      </c>
      <c r="E82" s="35" t="inlineStr">
        <is>
          <t>Owner</t>
        </is>
      </c>
      <c r="F82" s="35" t="inlineStr">
        <is>
          <t>Fire system maintenance</t>
        </is>
      </c>
      <c r="G82" s="35" t="inlineStr">
        <is>
          <t>สัญญาบำรุงรักษาระบบดับเพลิง</t>
        </is>
      </c>
      <c r="H82" s="34" t="n"/>
      <c r="I82" s="34" t="n"/>
      <c r="J82" s="36" t="n"/>
      <c r="K82" s="36" t="n"/>
      <c r="L82" s="34" t="inlineStr">
        <is>
          <t>Annual</t>
        </is>
      </c>
      <c r="M82" s="34" t="n">
        <v>60</v>
      </c>
      <c r="N82" s="36">
        <f>IF(K82="","",K82-IF(M82="",0,M82))</f>
        <v/>
      </c>
      <c r="O82" s="37">
        <f>IF(K82="","",K82-TODAY())</f>
        <v/>
      </c>
      <c r="P82" s="10">
        <f>IF(F82="","",IF(K82="","No date",IF(O82&lt;0,"Expired",IF(O82&lt;=30,"Urgent",IF(O82&lt;=90,"Due soon","OK")))))</f>
        <v/>
      </c>
      <c r="Q82" s="34" t="n"/>
      <c r="R82" s="38" t="n"/>
      <c r="S82" s="34" t="n"/>
      <c r="T82" s="35" t="n"/>
      <c r="U82" s="34" t="n"/>
      <c r="V82" s="34">
        <f>IF(F82="","",IF(K82="","",O82+ROW()/100000))</f>
        <v/>
      </c>
    </row>
    <row r="83">
      <c r="A83" s="10">
        <f>IF(F83="","",COUNTA($F$5:F83))</f>
        <v/>
      </c>
      <c r="B83" s="34" t="inlineStr">
        <is>
          <t>AES</t>
        </is>
      </c>
      <c r="C83" s="34" t="inlineStr">
        <is>
          <t>AMH Sathorn Co., Ltd.</t>
        </is>
      </c>
      <c r="D83" s="34" t="inlineStr">
        <is>
          <t>Contract - Service</t>
        </is>
      </c>
      <c r="E83" s="35" t="inlineStr">
        <is>
          <t>Owner</t>
        </is>
      </c>
      <c r="F83" s="35" t="inlineStr">
        <is>
          <t>External audit &amp; tax agent</t>
        </is>
      </c>
      <c r="G83" s="35" t="inlineStr">
        <is>
          <t>สัญญาผู้สอบบัญชีและที่ปรึกษาภาษี</t>
        </is>
      </c>
      <c r="H83" s="34" t="n"/>
      <c r="I83" s="34" t="n"/>
      <c r="J83" s="36" t="n"/>
      <c r="K83" s="36" t="n"/>
      <c r="L83" s="34" t="inlineStr">
        <is>
          <t>Annual</t>
        </is>
      </c>
      <c r="M83" s="34" t="n">
        <v>60</v>
      </c>
      <c r="N83" s="36">
        <f>IF(K83="","",K83-IF(M83="",0,M83))</f>
        <v/>
      </c>
      <c r="O83" s="37">
        <f>IF(K83="","",K83-TODAY())</f>
        <v/>
      </c>
      <c r="P83" s="10">
        <f>IF(F83="","",IF(K83="","No date",IF(O83&lt;0,"Expired",IF(O83&lt;=30,"Urgent",IF(O83&lt;=90,"Due soon","OK")))))</f>
        <v/>
      </c>
      <c r="Q83" s="34" t="n"/>
      <c r="R83" s="38" t="n"/>
      <c r="S83" s="34" t="n"/>
      <c r="T83" s="35" t="n"/>
      <c r="U83" s="34" t="n"/>
      <c r="V83" s="34">
        <f>IF(F83="","",IF(K83="","",O83+ROW()/100000))</f>
        <v/>
      </c>
    </row>
    <row r="84">
      <c r="A84" s="10">
        <f>IF(F84="","",COUNTA($F$5:F84))</f>
        <v/>
      </c>
      <c r="B84" s="34" t="inlineStr">
        <is>
          <t>AES</t>
        </is>
      </c>
      <c r="C84" s="34" t="inlineStr">
        <is>
          <t>AMH Sathorn Co., Ltd.</t>
        </is>
      </c>
      <c r="D84" s="34" t="inlineStr">
        <is>
          <t>Contract - Utility</t>
        </is>
      </c>
      <c r="E84" s="35" t="inlineStr">
        <is>
          <t>Owner</t>
        </is>
      </c>
      <c r="F84" s="35" t="inlineStr">
        <is>
          <t>Electricity supply</t>
        </is>
      </c>
      <c r="G84" s="35" t="inlineStr">
        <is>
          <t>สัญญาไฟฟ้า</t>
        </is>
      </c>
      <c r="H84" s="34" t="n"/>
      <c r="I84" s="34" t="n"/>
      <c r="J84" s="36" t="n"/>
      <c r="K84" s="36" t="n"/>
      <c r="L84" s="34" t="inlineStr">
        <is>
          <t>Rolling / evergreen</t>
        </is>
      </c>
      <c r="M84" s="34" t="n">
        <v>60</v>
      </c>
      <c r="N84" s="36">
        <f>IF(K84="","",K84-IF(M84="",0,M84))</f>
        <v/>
      </c>
      <c r="O84" s="37">
        <f>IF(K84="","",K84-TODAY())</f>
        <v/>
      </c>
      <c r="P84" s="10">
        <f>IF(F84="","",IF(K84="","No date",IF(O84&lt;0,"Expired",IF(O84&lt;=30,"Urgent",IF(O84&lt;=90,"Due soon","OK")))))</f>
        <v/>
      </c>
      <c r="Q84" s="34" t="n"/>
      <c r="R84" s="38" t="n"/>
      <c r="S84" s="34" t="n"/>
      <c r="T84" s="35" t="n"/>
      <c r="U84" s="34" t="n"/>
      <c r="V84" s="34">
        <f>IF(F84="","",IF(K84="","",O84+ROW()/100000))</f>
        <v/>
      </c>
    </row>
    <row r="85">
      <c r="A85" s="10">
        <f>IF(F85="","",COUNTA($F$5:F85))</f>
        <v/>
      </c>
      <c r="B85" s="34" t="inlineStr">
        <is>
          <t>AES</t>
        </is>
      </c>
      <c r="C85" s="34" t="inlineStr">
        <is>
          <t>AMH Sathorn Co., Ltd.</t>
        </is>
      </c>
      <c r="D85" s="34" t="inlineStr">
        <is>
          <t>Contract - Utility</t>
        </is>
      </c>
      <c r="E85" s="35" t="inlineStr">
        <is>
          <t>Owner</t>
        </is>
      </c>
      <c r="F85" s="35" t="inlineStr">
        <is>
          <t>Water supply</t>
        </is>
      </c>
      <c r="G85" s="35" t="inlineStr">
        <is>
          <t>สัญญาน้ำประปา</t>
        </is>
      </c>
      <c r="H85" s="34" t="n"/>
      <c r="I85" s="34" t="n"/>
      <c r="J85" s="36" t="n"/>
      <c r="K85" s="36" t="n"/>
      <c r="L85" s="34" t="inlineStr">
        <is>
          <t>Rolling / evergreen</t>
        </is>
      </c>
      <c r="M85" s="34" t="n">
        <v>60</v>
      </c>
      <c r="N85" s="36">
        <f>IF(K85="","",K85-IF(M85="",0,M85))</f>
        <v/>
      </c>
      <c r="O85" s="37">
        <f>IF(K85="","",K85-TODAY())</f>
        <v/>
      </c>
      <c r="P85" s="10">
        <f>IF(F85="","",IF(K85="","No date",IF(O85&lt;0,"Expired",IF(O85&lt;=30,"Urgent",IF(O85&lt;=90,"Due soon","OK")))))</f>
        <v/>
      </c>
      <c r="Q85" s="34" t="n"/>
      <c r="R85" s="38" t="n"/>
      <c r="S85" s="34" t="n"/>
      <c r="T85" s="35" t="n"/>
      <c r="U85" s="34" t="n"/>
      <c r="V85" s="34">
        <f>IF(F85="","",IF(K85="","",O85+ROW()/100000))</f>
        <v/>
      </c>
    </row>
    <row r="86">
      <c r="A86" s="10">
        <f>IF(F86="","",COUNTA($F$5:F86))</f>
        <v/>
      </c>
      <c r="B86" s="34" t="inlineStr">
        <is>
          <t>AES</t>
        </is>
      </c>
      <c r="C86" s="34" t="inlineStr">
        <is>
          <t>AMH Sathorn Co., Ltd.</t>
        </is>
      </c>
      <c r="D86" s="34" t="inlineStr">
        <is>
          <t>Contract - Lease / Finance</t>
        </is>
      </c>
      <c r="E86" s="35" t="inlineStr">
        <is>
          <t>Owner</t>
        </is>
      </c>
      <c r="F86" s="35" t="inlineStr">
        <is>
          <t>Land / building lease</t>
        </is>
      </c>
      <c r="G86" s="35" t="inlineStr">
        <is>
          <t>สัญญาเช่าที่ดิน / อาคาร</t>
        </is>
      </c>
      <c r="H86" s="34" t="n"/>
      <c r="I86" s="34" t="n"/>
      <c r="J86" s="36" t="n"/>
      <c r="K86" s="36" t="n"/>
      <c r="L86" s="34" t="inlineStr">
        <is>
          <t>Other</t>
        </is>
      </c>
      <c r="M86" s="34" t="n">
        <v>60</v>
      </c>
      <c r="N86" s="36">
        <f>IF(K86="","",K86-IF(M86="",0,M86))</f>
        <v/>
      </c>
      <c r="O86" s="37">
        <f>IF(K86="","",K86-TODAY())</f>
        <v/>
      </c>
      <c r="P86" s="10">
        <f>IF(F86="","",IF(K86="","No date",IF(O86&lt;0,"Expired",IF(O86&lt;=30,"Urgent",IF(O86&lt;=90,"Due soon","OK")))))</f>
        <v/>
      </c>
      <c r="Q86" s="34" t="n"/>
      <c r="R86" s="38" t="n"/>
      <c r="S86" s="34" t="n"/>
      <c r="T86" s="35" t="n"/>
      <c r="U86" s="34" t="n"/>
      <c r="V86" s="34">
        <f>IF(F86="","",IF(K86="","",O86+ROW()/100000))</f>
        <v/>
      </c>
    </row>
    <row r="87">
      <c r="A87" s="10">
        <f>IF(F87="","",COUNTA($F$5:F87))</f>
        <v/>
      </c>
      <c r="B87" s="34" t="inlineStr">
        <is>
          <t>AES</t>
        </is>
      </c>
      <c r="C87" s="34" t="inlineStr">
        <is>
          <t>AMH Sathorn Co., Ltd.</t>
        </is>
      </c>
      <c r="D87" s="34" t="inlineStr">
        <is>
          <t>Contract - Lease / Finance</t>
        </is>
      </c>
      <c r="E87" s="35" t="inlineStr">
        <is>
          <t>Owner</t>
        </is>
      </c>
      <c r="F87" s="35" t="inlineStr">
        <is>
          <t>Bank facility / loan agreement</t>
        </is>
      </c>
      <c r="G87" s="35" t="inlineStr">
        <is>
          <t>สัญญาสินเชื่อธนาคาร</t>
        </is>
      </c>
      <c r="H87" s="34" t="n"/>
      <c r="I87" s="34" t="n"/>
      <c r="J87" s="36" t="n"/>
      <c r="K87" s="36" t="n"/>
      <c r="L87" s="34" t="inlineStr">
        <is>
          <t>Other</t>
        </is>
      </c>
      <c r="M87" s="34" t="n">
        <v>60</v>
      </c>
      <c r="N87" s="36">
        <f>IF(K87="","",K87-IF(M87="",0,M87))</f>
        <v/>
      </c>
      <c r="O87" s="37">
        <f>IF(K87="","",K87-TODAY())</f>
        <v/>
      </c>
      <c r="P87" s="10">
        <f>IF(F87="","",IF(K87="","No date",IF(O87&lt;0,"Expired",IF(O87&lt;=30,"Urgent",IF(O87&lt;=90,"Due soon","OK")))))</f>
        <v/>
      </c>
      <c r="Q87" s="34" t="n"/>
      <c r="R87" s="38" t="n"/>
      <c r="S87" s="34" t="n"/>
      <c r="T87" s="35" t="n"/>
      <c r="U87" s="34" t="n"/>
      <c r="V87" s="34">
        <f>IF(F87="","",IF(K87="","",O87+ROW()/100000))</f>
        <v/>
      </c>
    </row>
    <row r="88">
      <c r="A88" s="10">
        <f>IF(F88="","",COUNTA($F$5:F88))</f>
        <v/>
      </c>
      <c r="B88" s="34" t="inlineStr">
        <is>
          <t>AES</t>
        </is>
      </c>
      <c r="C88" s="34" t="inlineStr">
        <is>
          <t>AMH Sathorn Co., Ltd.</t>
        </is>
      </c>
      <c r="D88" s="34" t="inlineStr">
        <is>
          <t>Licence</t>
        </is>
      </c>
      <c r="E88" s="35" t="inlineStr">
        <is>
          <t>Property</t>
        </is>
      </c>
      <c r="F88" s="35" t="inlineStr">
        <is>
          <t>Hotel manager licence</t>
        </is>
      </c>
      <c r="G88" s="35" t="inlineStr">
        <is>
          <t>ใบอนุญาตผู้จัดการโรงแรม</t>
        </is>
      </c>
      <c r="H88" s="34" t="inlineStr">
        <is>
          <t>Dept. of Provincial Administration / District Office</t>
        </is>
      </c>
      <c r="I88" s="34" t="n"/>
      <c r="J88" s="36" t="n"/>
      <c r="K88" s="36" t="n"/>
      <c r="L88" s="34" t="inlineStr">
        <is>
          <t>Every 5 years</t>
        </is>
      </c>
      <c r="M88" s="34" t="n">
        <v>60</v>
      </c>
      <c r="N88" s="36">
        <f>IF(K88="","",K88-IF(M88="",0,M88))</f>
        <v/>
      </c>
      <c r="O88" s="37">
        <f>IF(K88="","",K88-TODAY())</f>
        <v/>
      </c>
      <c r="P88" s="10">
        <f>IF(F88="","",IF(K88="","No date",IF(O88&lt;0,"Expired",IF(O88&lt;=30,"Urgent",IF(O88&lt;=90,"Due soon","OK")))))</f>
        <v/>
      </c>
      <c r="Q88" s="34" t="n"/>
      <c r="R88" s="38" t="n"/>
      <c r="S88" s="34" t="n"/>
      <c r="T88" s="35" t="n"/>
      <c r="U88" s="34" t="n"/>
      <c r="V88" s="34">
        <f>IF(F88="","",IF(K88="","",O88+ROW()/100000))</f>
        <v/>
      </c>
    </row>
    <row r="89">
      <c r="A89" s="10">
        <f>IF(F89="","",COUNTA($F$5:F89))</f>
        <v/>
      </c>
      <c r="B89" s="34" t="inlineStr">
        <is>
          <t>AES</t>
        </is>
      </c>
      <c r="C89" s="34" t="inlineStr">
        <is>
          <t>AMH Sathorn Co., Ltd.</t>
        </is>
      </c>
      <c r="D89" s="34" t="inlineStr">
        <is>
          <t>Licence</t>
        </is>
      </c>
      <c r="E89" s="35" t="inlineStr">
        <is>
          <t>Property</t>
        </is>
      </c>
      <c r="F89" s="35" t="inlineStr">
        <is>
          <t>Food establishment licence</t>
        </is>
      </c>
      <c r="G89" s="35" t="inlineStr">
        <is>
          <t>ใบอนุญาตสถานที่จำหน่ายอาหาร/สะสมอาหาร</t>
        </is>
      </c>
      <c r="H89" s="34" t="inlineStr">
        <is>
          <t>Local authority (BMA / City Municipality)</t>
        </is>
      </c>
      <c r="I89" s="34" t="n"/>
      <c r="J89" s="36" t="n"/>
      <c r="K89" s="36" t="n"/>
      <c r="L89" s="34" t="inlineStr">
        <is>
          <t>Annual</t>
        </is>
      </c>
      <c r="M89" s="34" t="n">
        <v>60</v>
      </c>
      <c r="N89" s="36">
        <f>IF(K89="","",K89-IF(M89="",0,M89))</f>
        <v/>
      </c>
      <c r="O89" s="37">
        <f>IF(K89="","",K89-TODAY())</f>
        <v/>
      </c>
      <c r="P89" s="10">
        <f>IF(F89="","",IF(K89="","No date",IF(O89&lt;0,"Expired",IF(O89&lt;=30,"Urgent",IF(O89&lt;=90,"Due soon","OK")))))</f>
        <v/>
      </c>
      <c r="Q89" s="34" t="n"/>
      <c r="R89" s="38" t="n"/>
      <c r="S89" s="34" t="n"/>
      <c r="T89" s="35" t="n"/>
      <c r="U89" s="34" t="n"/>
      <c r="V89" s="34">
        <f>IF(F89="","",IF(K89="","",O89+ROW()/100000))</f>
        <v/>
      </c>
    </row>
    <row r="90">
      <c r="A90" s="10">
        <f>IF(F90="","",COUNTA($F$5:F90))</f>
        <v/>
      </c>
      <c r="B90" s="34" t="inlineStr">
        <is>
          <t>AES</t>
        </is>
      </c>
      <c r="C90" s="34" t="inlineStr">
        <is>
          <t>AMH Sathorn Co., Ltd.</t>
        </is>
      </c>
      <c r="D90" s="34" t="inlineStr">
        <is>
          <t>Licence</t>
        </is>
      </c>
      <c r="E90" s="35" t="inlineStr">
        <is>
          <t>Property</t>
        </is>
      </c>
      <c r="F90" s="35" t="inlineStr">
        <is>
          <t>Alcohol sale licence</t>
        </is>
      </c>
      <c r="G90" s="35" t="inlineStr">
        <is>
          <t>ใบอนุญาตขายสุรา</t>
        </is>
      </c>
      <c r="H90" s="34" t="inlineStr">
        <is>
          <t>Excise Department</t>
        </is>
      </c>
      <c r="I90" s="34" t="n"/>
      <c r="J90" s="36" t="n"/>
      <c r="K90" s="36" t="n"/>
      <c r="L90" s="34" t="inlineStr">
        <is>
          <t>Annual</t>
        </is>
      </c>
      <c r="M90" s="34" t="n">
        <v>60</v>
      </c>
      <c r="N90" s="36">
        <f>IF(K90="","",K90-IF(M90="",0,M90))</f>
        <v/>
      </c>
      <c r="O90" s="37">
        <f>IF(K90="","",K90-TODAY())</f>
        <v/>
      </c>
      <c r="P90" s="10">
        <f>IF(F90="","",IF(K90="","No date",IF(O90&lt;0,"Expired",IF(O90&lt;=30,"Urgent",IF(O90&lt;=90,"Due soon","OK")))))</f>
        <v/>
      </c>
      <c r="Q90" s="34" t="n"/>
      <c r="R90" s="38" t="n"/>
      <c r="S90" s="34" t="n"/>
      <c r="T90" s="35" t="n"/>
      <c r="U90" s="34" t="n"/>
      <c r="V90" s="34">
        <f>IF(F90="","",IF(K90="","",O90+ROW()/100000))</f>
        <v/>
      </c>
    </row>
    <row r="91">
      <c r="A91" s="10">
        <f>IF(F91="","",COUNTA($F$5:F91))</f>
        <v/>
      </c>
      <c r="B91" s="34" t="inlineStr">
        <is>
          <t>AES</t>
        </is>
      </c>
      <c r="C91" s="34" t="inlineStr">
        <is>
          <t>AMH Sathorn Co., Ltd.</t>
        </is>
      </c>
      <c r="D91" s="34" t="inlineStr">
        <is>
          <t>Licence</t>
        </is>
      </c>
      <c r="E91" s="35" t="inlineStr">
        <is>
          <t>Property</t>
        </is>
      </c>
      <c r="F91" s="35" t="inlineStr">
        <is>
          <t>Tobacco sale licence</t>
        </is>
      </c>
      <c r="G91" s="35" t="inlineStr">
        <is>
          <t>ใบอนุญาตขายยาสูบ</t>
        </is>
      </c>
      <c r="H91" s="34" t="inlineStr">
        <is>
          <t>Excise Department</t>
        </is>
      </c>
      <c r="I91" s="34" t="n"/>
      <c r="J91" s="36" t="n"/>
      <c r="K91" s="36" t="n"/>
      <c r="L91" s="34" t="inlineStr">
        <is>
          <t>Annual</t>
        </is>
      </c>
      <c r="M91" s="34" t="n">
        <v>60</v>
      </c>
      <c r="N91" s="36">
        <f>IF(K91="","",K91-IF(M91="",0,M91))</f>
        <v/>
      </c>
      <c r="O91" s="37">
        <f>IF(K91="","",K91-TODAY())</f>
        <v/>
      </c>
      <c r="P91" s="10">
        <f>IF(F91="","",IF(K91="","No date",IF(O91&lt;0,"Expired",IF(O91&lt;=30,"Urgent",IF(O91&lt;=90,"Due soon","OK")))))</f>
        <v/>
      </c>
      <c r="Q91" s="34" t="n"/>
      <c r="R91" s="38" t="n"/>
      <c r="S91" s="34" t="n"/>
      <c r="T91" s="35" t="n"/>
      <c r="U91" s="34" t="n"/>
      <c r="V91" s="34">
        <f>IF(F91="","",IF(K91="","",O91+ROW()/100000))</f>
        <v/>
      </c>
    </row>
    <row r="92">
      <c r="A92" s="10">
        <f>IF(F92="","",COUNTA($F$5:F92))</f>
        <v/>
      </c>
      <c r="B92" s="34" t="inlineStr">
        <is>
          <t>AES</t>
        </is>
      </c>
      <c r="C92" s="34" t="inlineStr">
        <is>
          <t>AMH Sathorn Co., Ltd.</t>
        </is>
      </c>
      <c r="D92" s="34" t="inlineStr">
        <is>
          <t>Licence</t>
        </is>
      </c>
      <c r="E92" s="35" t="inlineStr">
        <is>
          <t>Property</t>
        </is>
      </c>
      <c r="F92" s="35" t="inlineStr">
        <is>
          <t>Swimming pool / public place licence</t>
        </is>
      </c>
      <c r="G92" s="35" t="inlineStr">
        <is>
          <t>ใบอนุญาตสถานที่สาธารณะ (สระว่ายน้ำ)</t>
        </is>
      </c>
      <c r="H92" s="34" t="inlineStr">
        <is>
          <t>Local authority (BMA / City Municipality)</t>
        </is>
      </c>
      <c r="I92" s="34" t="n"/>
      <c r="J92" s="36" t="n"/>
      <c r="K92" s="36" t="n"/>
      <c r="L92" s="34" t="inlineStr">
        <is>
          <t>Annual</t>
        </is>
      </c>
      <c r="M92" s="34" t="n">
        <v>60</v>
      </c>
      <c r="N92" s="36">
        <f>IF(K92="","",K92-IF(M92="",0,M92))</f>
        <v/>
      </c>
      <c r="O92" s="37">
        <f>IF(K92="","",K92-TODAY())</f>
        <v/>
      </c>
      <c r="P92" s="10">
        <f>IF(F92="","",IF(K92="","No date",IF(O92&lt;0,"Expired",IF(O92&lt;=30,"Urgent",IF(O92&lt;=90,"Due soon","OK")))))</f>
        <v/>
      </c>
      <c r="Q92" s="34" t="n"/>
      <c r="R92" s="38" t="n"/>
      <c r="S92" s="34" t="n"/>
      <c r="T92" s="35" t="n"/>
      <c r="U92" s="34" t="n"/>
      <c r="V92" s="34">
        <f>IF(F92="","",IF(K92="","",O92+ROW()/100000))</f>
        <v/>
      </c>
    </row>
    <row r="93">
      <c r="A93" s="10">
        <f>IF(F93="","",COUNTA($F$5:F93))</f>
        <v/>
      </c>
      <c r="B93" s="34" t="inlineStr">
        <is>
          <t>AES</t>
        </is>
      </c>
      <c r="C93" s="34" t="inlineStr">
        <is>
          <t>AMH Sathorn Co., Ltd.</t>
        </is>
      </c>
      <c r="D93" s="34" t="inlineStr">
        <is>
          <t>Licence</t>
        </is>
      </c>
      <c r="E93" s="35" t="inlineStr">
        <is>
          <t>Property</t>
        </is>
      </c>
      <c r="F93" s="35" t="inlineStr">
        <is>
          <t>Radio / walkie-talkie frequency licence</t>
        </is>
      </c>
      <c r="G93" s="35" t="inlineStr">
        <is>
          <t>ใบอนุญาตวิทยุคมนาคม</t>
        </is>
      </c>
      <c r="H93" s="34" t="inlineStr">
        <is>
          <t>NBTC</t>
        </is>
      </c>
      <c r="I93" s="34" t="n"/>
      <c r="J93" s="36" t="n"/>
      <c r="K93" s="36" t="n"/>
      <c r="L93" s="34" t="inlineStr">
        <is>
          <t>Annual</t>
        </is>
      </c>
      <c r="M93" s="34" t="n">
        <v>60</v>
      </c>
      <c r="N93" s="36">
        <f>IF(K93="","",K93-IF(M93="",0,M93))</f>
        <v/>
      </c>
      <c r="O93" s="37">
        <f>IF(K93="","",K93-TODAY())</f>
        <v/>
      </c>
      <c r="P93" s="10">
        <f>IF(F93="","",IF(K93="","No date",IF(O93&lt;0,"Expired",IF(O93&lt;=30,"Urgent",IF(O93&lt;=90,"Due soon","OK")))))</f>
        <v/>
      </c>
      <c r="Q93" s="34" t="n"/>
      <c r="R93" s="38" t="n"/>
      <c r="S93" s="34" t="n"/>
      <c r="T93" s="35" t="n"/>
      <c r="U93" s="34" t="n"/>
      <c r="V93" s="34">
        <f>IF(F93="","",IF(K93="","",O93+ROW()/100000))</f>
        <v/>
      </c>
    </row>
    <row r="94">
      <c r="A94" s="10">
        <f>IF(F94="","",COUNTA($F$5:F94))</f>
        <v/>
      </c>
      <c r="B94" s="34" t="inlineStr">
        <is>
          <t>AES</t>
        </is>
      </c>
      <c r="C94" s="34" t="inlineStr">
        <is>
          <t>AMH Sathorn Co., Ltd.</t>
        </is>
      </c>
      <c r="D94" s="34" t="inlineStr">
        <is>
          <t>Licence</t>
        </is>
      </c>
      <c r="E94" s="35" t="inlineStr">
        <is>
          <t>Property</t>
        </is>
      </c>
      <c r="F94" s="35" t="inlineStr">
        <is>
          <t>Music / copyright public performance licence</t>
        </is>
      </c>
      <c r="G94" s="35" t="inlineStr">
        <is>
          <t>ใบอนุญาตเผยแพร่งานดนตรี (MCT / ลิขสิทธิ์)</t>
        </is>
      </c>
      <c r="H94" s="34" t="inlineStr">
        <is>
          <t>MCT / Phonorights / collecting societies</t>
        </is>
      </c>
      <c r="I94" s="34" t="n"/>
      <c r="J94" s="36" t="n"/>
      <c r="K94" s="36" t="n"/>
      <c r="L94" s="34" t="inlineStr">
        <is>
          <t>Annual</t>
        </is>
      </c>
      <c r="M94" s="34" t="n">
        <v>60</v>
      </c>
      <c r="N94" s="36">
        <f>IF(K94="","",K94-IF(M94="",0,M94))</f>
        <v/>
      </c>
      <c r="O94" s="37">
        <f>IF(K94="","",K94-TODAY())</f>
        <v/>
      </c>
      <c r="P94" s="10">
        <f>IF(F94="","",IF(K94="","No date",IF(O94&lt;0,"Expired",IF(O94&lt;=30,"Urgent",IF(O94&lt;=90,"Due soon","OK")))))</f>
        <v/>
      </c>
      <c r="Q94" s="34" t="n"/>
      <c r="R94" s="38" t="n"/>
      <c r="S94" s="34" t="n"/>
      <c r="T94" s="35" t="n"/>
      <c r="U94" s="34" t="n"/>
      <c r="V94" s="34">
        <f>IF(F94="","",IF(K94="","",O94+ROW()/100000))</f>
        <v/>
      </c>
    </row>
    <row r="95">
      <c r="A95" s="10">
        <f>IF(F95="","",COUNTA($F$5:F95))</f>
        <v/>
      </c>
      <c r="B95" s="34" t="inlineStr">
        <is>
          <t>AES</t>
        </is>
      </c>
      <c r="C95" s="34" t="inlineStr">
        <is>
          <t>AMH Sathorn Co., Ltd.</t>
        </is>
      </c>
      <c r="D95" s="34" t="inlineStr">
        <is>
          <t>Permit</t>
        </is>
      </c>
      <c r="E95" s="35" t="inlineStr">
        <is>
          <t>Property</t>
        </is>
      </c>
      <c r="F95" s="35" t="inlineStr">
        <is>
          <t>Waste / refuse disposal permit</t>
        </is>
      </c>
      <c r="G95" s="35" t="inlineStr">
        <is>
          <t>ใบอนุญาตกำจัดสิ่งปฏิกูลและมูลฝอย</t>
        </is>
      </c>
      <c r="H95" s="34" t="inlineStr">
        <is>
          <t>Local authority</t>
        </is>
      </c>
      <c r="I95" s="34" t="n"/>
      <c r="J95" s="36" t="n"/>
      <c r="K95" s="36" t="n"/>
      <c r="L95" s="34" t="inlineStr">
        <is>
          <t>Annual</t>
        </is>
      </c>
      <c r="M95" s="34" t="n">
        <v>60</v>
      </c>
      <c r="N95" s="36">
        <f>IF(K95="","",K95-IF(M95="",0,M95))</f>
        <v/>
      </c>
      <c r="O95" s="37">
        <f>IF(K95="","",K95-TODAY())</f>
        <v/>
      </c>
      <c r="P95" s="10">
        <f>IF(F95="","",IF(K95="","No date",IF(O95&lt;0,"Expired",IF(O95&lt;=30,"Urgent",IF(O95&lt;=90,"Due soon","OK")))))</f>
        <v/>
      </c>
      <c r="Q95" s="34" t="n"/>
      <c r="R95" s="38" t="n"/>
      <c r="S95" s="34" t="n"/>
      <c r="T95" s="35" t="n"/>
      <c r="U95" s="34" t="n"/>
      <c r="V95" s="34">
        <f>IF(F95="","",IF(K95="","",O95+ROW()/100000))</f>
        <v/>
      </c>
    </row>
    <row r="96">
      <c r="A96" s="10">
        <f>IF(F96="","",COUNTA($F$5:F96))</f>
        <v/>
      </c>
      <c r="B96" s="34" t="inlineStr">
        <is>
          <t>AES</t>
        </is>
      </c>
      <c r="C96" s="34" t="inlineStr">
        <is>
          <t>AMH Sathorn Co., Ltd.</t>
        </is>
      </c>
      <c r="D96" s="34" t="inlineStr">
        <is>
          <t>Permit</t>
        </is>
      </c>
      <c r="E96" s="35" t="inlineStr">
        <is>
          <t>Property</t>
        </is>
      </c>
      <c r="F96" s="35" t="inlineStr">
        <is>
          <t>Work permits / visas — foreign staff</t>
        </is>
      </c>
      <c r="G96" s="35" t="inlineStr">
        <is>
          <t>ใบอนุญาตทำงาน / วีซ่าพนักงานต่างชาติ</t>
        </is>
      </c>
      <c r="H96" s="34" t="inlineStr">
        <is>
          <t>Dept. of Employment / Immigration</t>
        </is>
      </c>
      <c r="I96" s="34" t="n"/>
      <c r="J96" s="36" t="n"/>
      <c r="K96" s="36" t="n"/>
      <c r="L96" s="34" t="inlineStr">
        <is>
          <t>Annual</t>
        </is>
      </c>
      <c r="M96" s="34" t="n">
        <v>60</v>
      </c>
      <c r="N96" s="36">
        <f>IF(K96="","",K96-IF(M96="",0,M96))</f>
        <v/>
      </c>
      <c r="O96" s="37">
        <f>IF(K96="","",K96-TODAY())</f>
        <v/>
      </c>
      <c r="P96" s="10">
        <f>IF(F96="","",IF(K96="","No date",IF(O96&lt;0,"Expired",IF(O96&lt;=30,"Urgent",IF(O96&lt;=90,"Due soon","OK")))))</f>
        <v/>
      </c>
      <c r="Q96" s="34" t="n"/>
      <c r="R96" s="38" t="n"/>
      <c r="S96" s="34" t="n"/>
      <c r="T96" s="35" t="n"/>
      <c r="U96" s="34" t="n"/>
      <c r="V96" s="34">
        <f>IF(F96="","",IF(K96="","",O96+ROW()/100000))</f>
        <v/>
      </c>
    </row>
    <row r="97">
      <c r="A97" s="10">
        <f>IF(F97="","",COUNTA($F$5:F97))</f>
        <v/>
      </c>
      <c r="B97" s="34" t="inlineStr">
        <is>
          <t>AES</t>
        </is>
      </c>
      <c r="C97" s="34" t="inlineStr">
        <is>
          <t>AMH Sathorn Co., Ltd.</t>
        </is>
      </c>
      <c r="D97" s="34" t="inlineStr">
        <is>
          <t>Certificate</t>
        </is>
      </c>
      <c r="E97" s="35" t="inlineStr">
        <is>
          <t>Property</t>
        </is>
      </c>
      <c r="F97" s="35" t="inlineStr">
        <is>
          <t>Swimming pool water quality test</t>
        </is>
      </c>
      <c r="G97" s="35" t="inlineStr">
        <is>
          <t>ผลตรวจคุณภาพน้ำสระว่ายน้ำ</t>
        </is>
      </c>
      <c r="H97" s="34" t="inlineStr">
        <is>
          <t>Accredited laboratory</t>
        </is>
      </c>
      <c r="I97" s="34" t="n"/>
      <c r="J97" s="36" t="n"/>
      <c r="K97" s="36" t="n"/>
      <c r="L97" s="34" t="inlineStr">
        <is>
          <t>Other</t>
        </is>
      </c>
      <c r="M97" s="34" t="n">
        <v>60</v>
      </c>
      <c r="N97" s="36">
        <f>IF(K97="","",K97-IF(M97="",0,M97))</f>
        <v/>
      </c>
      <c r="O97" s="37">
        <f>IF(K97="","",K97-TODAY())</f>
        <v/>
      </c>
      <c r="P97" s="10">
        <f>IF(F97="","",IF(K97="","No date",IF(O97&lt;0,"Expired",IF(O97&lt;=30,"Urgent",IF(O97&lt;=90,"Due soon","OK")))))</f>
        <v/>
      </c>
      <c r="Q97" s="34" t="n"/>
      <c r="R97" s="38" t="n"/>
      <c r="S97" s="34" t="n"/>
      <c r="T97" s="35" t="n"/>
      <c r="U97" s="34" t="n"/>
      <c r="V97" s="34">
        <f>IF(F97="","",IF(K97="","",O97+ROW()/100000))</f>
        <v/>
      </c>
    </row>
    <row r="98">
      <c r="A98" s="10">
        <f>IF(F98="","",COUNTA($F$5:F98))</f>
        <v/>
      </c>
      <c r="B98" s="34" t="inlineStr">
        <is>
          <t>AES</t>
        </is>
      </c>
      <c r="C98" s="34" t="inlineStr">
        <is>
          <t>AMH Sathorn Co., Ltd.</t>
        </is>
      </c>
      <c r="D98" s="34" t="inlineStr">
        <is>
          <t>Certificate</t>
        </is>
      </c>
      <c r="E98" s="35" t="inlineStr">
        <is>
          <t>Property</t>
        </is>
      </c>
      <c r="F98" s="35" t="inlineStr">
        <is>
          <t>Drinking / potable water quality test</t>
        </is>
      </c>
      <c r="G98" s="35" t="inlineStr">
        <is>
          <t>ผลตรวจคุณภาพน้ำดื่ม</t>
        </is>
      </c>
      <c r="H98" s="34" t="inlineStr">
        <is>
          <t>Accredited laboratory</t>
        </is>
      </c>
      <c r="I98" s="34" t="n"/>
      <c r="J98" s="36" t="n"/>
      <c r="K98" s="36" t="n"/>
      <c r="L98" s="34" t="inlineStr">
        <is>
          <t>Annual</t>
        </is>
      </c>
      <c r="M98" s="34" t="n">
        <v>60</v>
      </c>
      <c r="N98" s="36">
        <f>IF(K98="","",K98-IF(M98="",0,M98))</f>
        <v/>
      </c>
      <c r="O98" s="37">
        <f>IF(K98="","",K98-TODAY())</f>
        <v/>
      </c>
      <c r="P98" s="10">
        <f>IF(F98="","",IF(K98="","No date",IF(O98&lt;0,"Expired",IF(O98&lt;=30,"Urgent",IF(O98&lt;=90,"Due soon","OK")))))</f>
        <v/>
      </c>
      <c r="Q98" s="34" t="n"/>
      <c r="R98" s="38" t="n"/>
      <c r="S98" s="34" t="n"/>
      <c r="T98" s="35" t="n"/>
      <c r="U98" s="34" t="n"/>
      <c r="V98" s="34">
        <f>IF(F98="","",IF(K98="","",O98+ROW()/100000))</f>
        <v/>
      </c>
    </row>
    <row r="99">
      <c r="A99" s="10">
        <f>IF(F99="","",COUNTA($F$5:F99))</f>
        <v/>
      </c>
      <c r="B99" s="34" t="inlineStr">
        <is>
          <t>AES</t>
        </is>
      </c>
      <c r="C99" s="34" t="inlineStr">
        <is>
          <t>AMH Sathorn Co., Ltd.</t>
        </is>
      </c>
      <c r="D99" s="34" t="inlineStr">
        <is>
          <t>Certificate</t>
        </is>
      </c>
      <c r="E99" s="35" t="inlineStr">
        <is>
          <t>Property</t>
        </is>
      </c>
      <c r="F99" s="35" t="inlineStr">
        <is>
          <t>Wastewater treatment monitoring report</t>
        </is>
      </c>
      <c r="G99" s="35" t="inlineStr">
        <is>
          <t>รายงานผลการตรวจวัดคุณภาพน้ำทิ้ง</t>
        </is>
      </c>
      <c r="H99" s="34" t="inlineStr">
        <is>
          <t>Dept. of Pollution Control / local authority</t>
        </is>
      </c>
      <c r="I99" s="34" t="n"/>
      <c r="J99" s="36" t="n"/>
      <c r="K99" s="36" t="n"/>
      <c r="L99" s="34" t="inlineStr">
        <is>
          <t>Other</t>
        </is>
      </c>
      <c r="M99" s="34" t="n">
        <v>60</v>
      </c>
      <c r="N99" s="36">
        <f>IF(K99="","",K99-IF(M99="",0,M99))</f>
        <v/>
      </c>
      <c r="O99" s="37">
        <f>IF(K99="","",K99-TODAY())</f>
        <v/>
      </c>
      <c r="P99" s="10">
        <f>IF(F99="","",IF(K99="","No date",IF(O99&lt;0,"Expired",IF(O99&lt;=30,"Urgent",IF(O99&lt;=90,"Due soon","OK")))))</f>
        <v/>
      </c>
      <c r="Q99" s="34" t="n"/>
      <c r="R99" s="38" t="n"/>
      <c r="S99" s="34" t="n"/>
      <c r="T99" s="35" t="n"/>
      <c r="U99" s="34" t="n"/>
      <c r="V99" s="34">
        <f>IF(F99="","",IF(K99="","",O99+ROW()/100000))</f>
        <v/>
      </c>
    </row>
    <row r="100">
      <c r="A100" s="10">
        <f>IF(F100="","",COUNTA($F$5:F100))</f>
        <v/>
      </c>
      <c r="B100" s="34" t="inlineStr">
        <is>
          <t>AES</t>
        </is>
      </c>
      <c r="C100" s="34" t="inlineStr">
        <is>
          <t>AMH Sathorn Co., Ltd.</t>
        </is>
      </c>
      <c r="D100" s="34" t="inlineStr">
        <is>
          <t>Certificate</t>
        </is>
      </c>
      <c r="E100" s="35" t="inlineStr">
        <is>
          <t>Property</t>
        </is>
      </c>
      <c r="F100" s="35" t="inlineStr">
        <is>
          <t>Food handler health certificates</t>
        </is>
      </c>
      <c r="G100" s="35" t="inlineStr">
        <is>
          <t>ใบรับรองสุขภาพผู้สัมผัสอาหาร</t>
        </is>
      </c>
      <c r="H100" s="34" t="inlineStr">
        <is>
          <t>Public health office</t>
        </is>
      </c>
      <c r="I100" s="34" t="n"/>
      <c r="J100" s="36" t="n"/>
      <c r="K100" s="36" t="n"/>
      <c r="L100" s="34" t="inlineStr">
        <is>
          <t>Annual</t>
        </is>
      </c>
      <c r="M100" s="34" t="n">
        <v>60</v>
      </c>
      <c r="N100" s="36">
        <f>IF(K100="","",K100-IF(M100="",0,M100))</f>
        <v/>
      </c>
      <c r="O100" s="37">
        <f>IF(K100="","",K100-TODAY())</f>
        <v/>
      </c>
      <c r="P100" s="10">
        <f>IF(F100="","",IF(K100="","No date",IF(O100&lt;0,"Expired",IF(O100&lt;=30,"Urgent",IF(O100&lt;=90,"Due soon","OK")))))</f>
        <v/>
      </c>
      <c r="Q100" s="34" t="n"/>
      <c r="R100" s="38" t="n"/>
      <c r="S100" s="34" t="n"/>
      <c r="T100" s="35" t="n"/>
      <c r="U100" s="34" t="n"/>
      <c r="V100" s="34">
        <f>IF(F100="","",IF(K100="","",O100+ROW()/100000))</f>
        <v/>
      </c>
    </row>
    <row r="101">
      <c r="A101" s="10">
        <f>IF(F101="","",COUNTA($F$5:F101))</f>
        <v/>
      </c>
      <c r="B101" s="34" t="inlineStr">
        <is>
          <t>AES</t>
        </is>
      </c>
      <c r="C101" s="34" t="inlineStr">
        <is>
          <t>AMH Sathorn Co., Ltd.</t>
        </is>
      </c>
      <c r="D101" s="34" t="inlineStr">
        <is>
          <t>Certificate</t>
        </is>
      </c>
      <c r="E101" s="35" t="inlineStr">
        <is>
          <t>Property</t>
        </is>
      </c>
      <c r="F101" s="35" t="inlineStr">
        <is>
          <t>Pest control service certificate</t>
        </is>
      </c>
      <c r="G101" s="35" t="inlineStr">
        <is>
          <t>ใบรับรองการกำจัดแมลงและสัตว์พาหะ</t>
        </is>
      </c>
      <c r="H101" s="34" t="inlineStr">
        <is>
          <t>Licensed contractor</t>
        </is>
      </c>
      <c r="I101" s="34" t="n"/>
      <c r="J101" s="36" t="n"/>
      <c r="K101" s="36" t="n"/>
      <c r="L101" s="34" t="inlineStr">
        <is>
          <t>Annual</t>
        </is>
      </c>
      <c r="M101" s="34" t="n">
        <v>60</v>
      </c>
      <c r="N101" s="36">
        <f>IF(K101="","",K101-IF(M101="",0,M101))</f>
        <v/>
      </c>
      <c r="O101" s="37">
        <f>IF(K101="","",K101-TODAY())</f>
        <v/>
      </c>
      <c r="P101" s="10">
        <f>IF(F101="","",IF(K101="","No date",IF(O101&lt;0,"Expired",IF(O101&lt;=30,"Urgent",IF(O101&lt;=90,"Due soon","OK")))))</f>
        <v/>
      </c>
      <c r="Q101" s="34" t="n"/>
      <c r="R101" s="38" t="n"/>
      <c r="S101" s="34" t="n"/>
      <c r="T101" s="35" t="n"/>
      <c r="U101" s="34" t="n"/>
      <c r="V101" s="34">
        <f>IF(F101="","",IF(K101="","",O101+ROW()/100000))</f>
        <v/>
      </c>
    </row>
    <row r="102">
      <c r="A102" s="10">
        <f>IF(F102="","",COUNTA($F$5:F102))</f>
        <v/>
      </c>
      <c r="B102" s="34" t="inlineStr">
        <is>
          <t>AES</t>
        </is>
      </c>
      <c r="C102" s="34" t="inlineStr">
        <is>
          <t>AMH Sathorn Co., Ltd.</t>
        </is>
      </c>
      <c r="D102" s="34" t="inlineStr">
        <is>
          <t>Insurance</t>
        </is>
      </c>
      <c r="E102" s="35" t="inlineStr">
        <is>
          <t>Property</t>
        </is>
      </c>
      <c r="F102" s="35" t="inlineStr">
        <is>
          <t>Hotel guest / hotel-act compulsory insurance</t>
        </is>
      </c>
      <c r="G102" s="35" t="inlineStr">
        <is>
          <t>ประกันภัยตาม พ.ร.บ. โรงแรม</t>
        </is>
      </c>
      <c r="H102" s="34" t="inlineStr">
        <is>
          <t>Insurer / broker</t>
        </is>
      </c>
      <c r="I102" s="34" t="n"/>
      <c r="J102" s="36" t="n"/>
      <c r="K102" s="36" t="n"/>
      <c r="L102" s="34" t="inlineStr">
        <is>
          <t>Annual</t>
        </is>
      </c>
      <c r="M102" s="34" t="n">
        <v>60</v>
      </c>
      <c r="N102" s="36">
        <f>IF(K102="","",K102-IF(M102="",0,M102))</f>
        <v/>
      </c>
      <c r="O102" s="37">
        <f>IF(K102="","",K102-TODAY())</f>
        <v/>
      </c>
      <c r="P102" s="10">
        <f>IF(F102="","",IF(K102="","No date",IF(O102&lt;0,"Expired",IF(O102&lt;=30,"Urgent",IF(O102&lt;=90,"Due soon","OK")))))</f>
        <v/>
      </c>
      <c r="Q102" s="34" t="n"/>
      <c r="R102" s="38" t="n"/>
      <c r="S102" s="34" t="n"/>
      <c r="T102" s="35" t="n"/>
      <c r="U102" s="34" t="n"/>
      <c r="V102" s="34">
        <f>IF(F102="","",IF(K102="","",O102+ROW()/100000))</f>
        <v/>
      </c>
    </row>
    <row r="103">
      <c r="A103" s="10">
        <f>IF(F103="","",COUNTA($F$5:F103))</f>
        <v/>
      </c>
      <c r="B103" s="34" t="inlineStr">
        <is>
          <t>AES</t>
        </is>
      </c>
      <c r="C103" s="34" t="inlineStr">
        <is>
          <t>AMH Sathorn Co., Ltd.</t>
        </is>
      </c>
      <c r="D103" s="34" t="inlineStr">
        <is>
          <t>Contract - OTA</t>
        </is>
      </c>
      <c r="E103" s="35" t="inlineStr">
        <is>
          <t>Property</t>
        </is>
      </c>
      <c r="F103" s="35" t="inlineStr">
        <is>
          <t>Booking.com accommodation agreement</t>
        </is>
      </c>
      <c r="G103" s="35" t="inlineStr">
        <is>
          <t>สัญญากับ Booking.com</t>
        </is>
      </c>
      <c r="H103" s="34" t="inlineStr">
        <is>
          <t>Booking.com B.V.</t>
        </is>
      </c>
      <c r="I103" s="34" t="n"/>
      <c r="J103" s="36" t="n"/>
      <c r="K103" s="36" t="n"/>
      <c r="L103" s="34" t="inlineStr">
        <is>
          <t>Rolling / evergreen</t>
        </is>
      </c>
      <c r="M103" s="34" t="n">
        <v>60</v>
      </c>
      <c r="N103" s="36">
        <f>IF(K103="","",K103-IF(M103="",0,M103))</f>
        <v/>
      </c>
      <c r="O103" s="37">
        <f>IF(K103="","",K103-TODAY())</f>
        <v/>
      </c>
      <c r="P103" s="10">
        <f>IF(F103="","",IF(K103="","No date",IF(O103&lt;0,"Expired",IF(O103&lt;=30,"Urgent",IF(O103&lt;=90,"Due soon","OK")))))</f>
        <v/>
      </c>
      <c r="Q103" s="34" t="n"/>
      <c r="R103" s="38" t="n"/>
      <c r="S103" s="34" t="n"/>
      <c r="T103" s="35" t="n"/>
      <c r="U103" s="34" t="n"/>
      <c r="V103" s="34">
        <f>IF(F103="","",IF(K103="","",O103+ROW()/100000))</f>
        <v/>
      </c>
    </row>
    <row r="104">
      <c r="A104" s="10">
        <f>IF(F104="","",COUNTA($F$5:F104))</f>
        <v/>
      </c>
      <c r="B104" s="34" t="inlineStr">
        <is>
          <t>AES</t>
        </is>
      </c>
      <c r="C104" s="34" t="inlineStr">
        <is>
          <t>AMH Sathorn Co., Ltd.</t>
        </is>
      </c>
      <c r="D104" s="34" t="inlineStr">
        <is>
          <t>Contract - OTA</t>
        </is>
      </c>
      <c r="E104" s="35" t="inlineStr">
        <is>
          <t>Property</t>
        </is>
      </c>
      <c r="F104" s="35" t="inlineStr">
        <is>
          <t>Expedia lodging agreement</t>
        </is>
      </c>
      <c r="G104" s="35" t="inlineStr">
        <is>
          <t>สัญญากับ Expedia</t>
        </is>
      </c>
      <c r="H104" s="34" t="inlineStr">
        <is>
          <t>Travelscape LLC / Expedia (Thailand) Co., Ltd.</t>
        </is>
      </c>
      <c r="I104" s="34" t="n"/>
      <c r="J104" s="36" t="n"/>
      <c r="K104" s="36" t="n"/>
      <c r="L104" s="34" t="inlineStr">
        <is>
          <t>Rolling / evergreen</t>
        </is>
      </c>
      <c r="M104" s="34" t="n">
        <v>60</v>
      </c>
      <c r="N104" s="36">
        <f>IF(K104="","",K104-IF(M104="",0,M104))</f>
        <v/>
      </c>
      <c r="O104" s="37">
        <f>IF(K104="","",K104-TODAY())</f>
        <v/>
      </c>
      <c r="P104" s="10">
        <f>IF(F104="","",IF(K104="","No date",IF(O104&lt;0,"Expired",IF(O104&lt;=30,"Urgent",IF(O104&lt;=90,"Due soon","OK")))))</f>
        <v/>
      </c>
      <c r="Q104" s="34" t="n"/>
      <c r="R104" s="38" t="n"/>
      <c r="S104" s="34" t="n"/>
      <c r="T104" s="35" t="n"/>
      <c r="U104" s="34" t="n"/>
      <c r="V104" s="34">
        <f>IF(F104="","",IF(K104="","",O104+ROW()/100000))</f>
        <v/>
      </c>
    </row>
    <row r="105">
      <c r="A105" s="10">
        <f>IF(F105="","",COUNTA($F$5:F105))</f>
        <v/>
      </c>
      <c r="B105" s="34" t="inlineStr">
        <is>
          <t>AES</t>
        </is>
      </c>
      <c r="C105" s="34" t="inlineStr">
        <is>
          <t>AMH Sathorn Co., Ltd.</t>
        </is>
      </c>
      <c r="D105" s="34" t="inlineStr">
        <is>
          <t>Contract - OTA</t>
        </is>
      </c>
      <c r="E105" s="35" t="inlineStr">
        <is>
          <t>Property</t>
        </is>
      </c>
      <c r="F105" s="35" t="inlineStr">
        <is>
          <t>Agoda accommodation agreement</t>
        </is>
      </c>
      <c r="G105" s="35" t="inlineStr">
        <is>
          <t>สัญญากับ Agoda</t>
        </is>
      </c>
      <c r="H105" s="34" t="inlineStr">
        <is>
          <t>Agoda Company Pte. Ltd.</t>
        </is>
      </c>
      <c r="I105" s="34" t="n"/>
      <c r="J105" s="36" t="n"/>
      <c r="K105" s="36" t="n"/>
      <c r="L105" s="34" t="inlineStr">
        <is>
          <t>Rolling / evergreen</t>
        </is>
      </c>
      <c r="M105" s="34" t="n">
        <v>60</v>
      </c>
      <c r="N105" s="36">
        <f>IF(K105="","",K105-IF(M105="",0,M105))</f>
        <v/>
      </c>
      <c r="O105" s="37">
        <f>IF(K105="","",K105-TODAY())</f>
        <v/>
      </c>
      <c r="P105" s="10">
        <f>IF(F105="","",IF(K105="","No date",IF(O105&lt;0,"Expired",IF(O105&lt;=30,"Urgent",IF(O105&lt;=90,"Due soon","OK")))))</f>
        <v/>
      </c>
      <c r="Q105" s="34" t="n"/>
      <c r="R105" s="38" t="n"/>
      <c r="S105" s="34" t="n"/>
      <c r="T105" s="35" t="n"/>
      <c r="U105" s="34" t="n"/>
      <c r="V105" s="34">
        <f>IF(F105="","",IF(K105="","",O105+ROW()/100000))</f>
        <v/>
      </c>
    </row>
    <row r="106">
      <c r="A106" s="10">
        <f>IF(F106="","",COUNTA($F$5:F106))</f>
        <v/>
      </c>
      <c r="B106" s="34" t="inlineStr">
        <is>
          <t>AES</t>
        </is>
      </c>
      <c r="C106" s="34" t="inlineStr">
        <is>
          <t>AMH Sathorn Co., Ltd.</t>
        </is>
      </c>
      <c r="D106" s="34" t="inlineStr">
        <is>
          <t>Contract - Service</t>
        </is>
      </c>
      <c r="E106" s="35" t="inlineStr">
        <is>
          <t>Property</t>
        </is>
      </c>
      <c r="F106" s="35" t="inlineStr">
        <is>
          <t>Laundry &amp; linen services</t>
        </is>
      </c>
      <c r="G106" s="35" t="inlineStr">
        <is>
          <t>สัญญาบริการซักรีด</t>
        </is>
      </c>
      <c r="H106" s="34" t="inlineStr">
        <is>
          <t>I Klean Laundry Co., Ltd.</t>
        </is>
      </c>
      <c r="I106" s="34" t="n"/>
      <c r="J106" s="36" t="n"/>
      <c r="K106" s="36" t="n"/>
      <c r="L106" s="34" t="inlineStr">
        <is>
          <t>Annual</t>
        </is>
      </c>
      <c r="M106" s="34" t="n">
        <v>60</v>
      </c>
      <c r="N106" s="36">
        <f>IF(K106="","",K106-IF(M106="",0,M106))</f>
        <v/>
      </c>
      <c r="O106" s="37">
        <f>IF(K106="","",K106-TODAY())</f>
        <v/>
      </c>
      <c r="P106" s="10">
        <f>IF(F106="","",IF(K106="","No date",IF(O106&lt;0,"Expired",IF(O106&lt;=30,"Urgent",IF(O106&lt;=90,"Due soon","OK")))))</f>
        <v/>
      </c>
      <c r="Q106" s="34" t="n"/>
      <c r="R106" s="38" t="n"/>
      <c r="S106" s="34" t="n"/>
      <c r="T106" s="35" t="n"/>
      <c r="U106" s="34" t="n"/>
      <c r="V106" s="34">
        <f>IF(F106="","",IF(K106="","",O106+ROW()/100000))</f>
        <v/>
      </c>
    </row>
    <row r="107">
      <c r="A107" s="10">
        <f>IF(F107="","",COUNTA($F$5:F107))</f>
        <v/>
      </c>
      <c r="B107" s="34" t="inlineStr">
        <is>
          <t>AES</t>
        </is>
      </c>
      <c r="C107" s="34" t="inlineStr">
        <is>
          <t>AMH Sathorn Co., Ltd.</t>
        </is>
      </c>
      <c r="D107" s="34" t="inlineStr">
        <is>
          <t>Contract - Service</t>
        </is>
      </c>
      <c r="E107" s="35" t="inlineStr">
        <is>
          <t>Property</t>
        </is>
      </c>
      <c r="F107" s="35" t="inlineStr">
        <is>
          <t>F&amp;B outlet / catering operator</t>
        </is>
      </c>
      <c r="G107" s="35" t="inlineStr">
        <is>
          <t>สัญญาผู้ประกอบการอาหารและเครื่องดื่ม</t>
        </is>
      </c>
      <c r="H107" s="34" t="inlineStr">
        <is>
          <t>DK Wow Venture Co., Ltd.</t>
        </is>
      </c>
      <c r="I107" s="34" t="n"/>
      <c r="J107" s="36" t="n"/>
      <c r="K107" s="36" t="n"/>
      <c r="L107" s="34" t="inlineStr">
        <is>
          <t>Annual</t>
        </is>
      </c>
      <c r="M107" s="34" t="n">
        <v>60</v>
      </c>
      <c r="N107" s="36">
        <f>IF(K107="","",K107-IF(M107="",0,M107))</f>
        <v/>
      </c>
      <c r="O107" s="37">
        <f>IF(K107="","",K107-TODAY())</f>
        <v/>
      </c>
      <c r="P107" s="10">
        <f>IF(F107="","",IF(K107="","No date",IF(O107&lt;0,"Expired",IF(O107&lt;=30,"Urgent",IF(O107&lt;=90,"Due soon","OK")))))</f>
        <v/>
      </c>
      <c r="Q107" s="34" t="n"/>
      <c r="R107" s="38" t="n"/>
      <c r="S107" s="34" t="n"/>
      <c r="T107" s="35" t="n"/>
      <c r="U107" s="34" t="n"/>
      <c r="V107" s="34">
        <f>IF(F107="","",IF(K107="","",O107+ROW()/100000))</f>
        <v/>
      </c>
    </row>
    <row r="108">
      <c r="A108" s="10">
        <f>IF(F108="","",COUNTA($F$5:F108))</f>
        <v/>
      </c>
      <c r="B108" s="34" t="inlineStr">
        <is>
          <t>AES</t>
        </is>
      </c>
      <c r="C108" s="34" t="inlineStr">
        <is>
          <t>AMH Sathorn Co., Ltd.</t>
        </is>
      </c>
      <c r="D108" s="34" t="inlineStr">
        <is>
          <t>Contract - Service</t>
        </is>
      </c>
      <c r="E108" s="35" t="inlineStr">
        <is>
          <t>Property</t>
        </is>
      </c>
      <c r="F108" s="35" t="inlineStr">
        <is>
          <t>Security services</t>
        </is>
      </c>
      <c r="G108" s="35" t="inlineStr">
        <is>
          <t>สัญญาบริการรักษาความปลอดภัย</t>
        </is>
      </c>
      <c r="H108" s="34" t="n"/>
      <c r="I108" s="34" t="n"/>
      <c r="J108" s="36" t="n"/>
      <c r="K108" s="36" t="n"/>
      <c r="L108" s="34" t="inlineStr">
        <is>
          <t>Annual</t>
        </is>
      </c>
      <c r="M108" s="34" t="n">
        <v>60</v>
      </c>
      <c r="N108" s="36">
        <f>IF(K108="","",K108-IF(M108="",0,M108))</f>
        <v/>
      </c>
      <c r="O108" s="37">
        <f>IF(K108="","",K108-TODAY())</f>
        <v/>
      </c>
      <c r="P108" s="10">
        <f>IF(F108="","",IF(K108="","No date",IF(O108&lt;0,"Expired",IF(O108&lt;=30,"Urgent",IF(O108&lt;=90,"Due soon","OK")))))</f>
        <v/>
      </c>
      <c r="Q108" s="34" t="n"/>
      <c r="R108" s="38" t="n"/>
      <c r="S108" s="34" t="n"/>
      <c r="T108" s="35" t="n"/>
      <c r="U108" s="34" t="n"/>
      <c r="V108" s="34">
        <f>IF(F108="","",IF(K108="","",O108+ROW()/100000))</f>
        <v/>
      </c>
    </row>
    <row r="109">
      <c r="A109" s="10">
        <f>IF(F109="","",COUNTA($F$5:F109))</f>
        <v/>
      </c>
      <c r="B109" s="34" t="inlineStr">
        <is>
          <t>AES</t>
        </is>
      </c>
      <c r="C109" s="34" t="inlineStr">
        <is>
          <t>AMH Sathorn Co., Ltd.</t>
        </is>
      </c>
      <c r="D109" s="34" t="inlineStr">
        <is>
          <t>Contract - Service</t>
        </is>
      </c>
      <c r="E109" s="35" t="inlineStr">
        <is>
          <t>Property</t>
        </is>
      </c>
      <c r="F109" s="35" t="inlineStr">
        <is>
          <t>Cleaning / housekeeping outsource</t>
        </is>
      </c>
      <c r="G109" s="35" t="inlineStr">
        <is>
          <t>สัญญาบริการทำความสะอาด</t>
        </is>
      </c>
      <c r="H109" s="34" t="n"/>
      <c r="I109" s="34" t="n"/>
      <c r="J109" s="36" t="n"/>
      <c r="K109" s="36" t="n"/>
      <c r="L109" s="34" t="inlineStr">
        <is>
          <t>Annual</t>
        </is>
      </c>
      <c r="M109" s="34" t="n">
        <v>60</v>
      </c>
      <c r="N109" s="36">
        <f>IF(K109="","",K109-IF(M109="",0,M109))</f>
        <v/>
      </c>
      <c r="O109" s="37">
        <f>IF(K109="","",K109-TODAY())</f>
        <v/>
      </c>
      <c r="P109" s="10">
        <f>IF(F109="","",IF(K109="","No date",IF(O109&lt;0,"Expired",IF(O109&lt;=30,"Urgent",IF(O109&lt;=90,"Due soon","OK")))))</f>
        <v/>
      </c>
      <c r="Q109" s="34" t="n"/>
      <c r="R109" s="38" t="n"/>
      <c r="S109" s="34" t="n"/>
      <c r="T109" s="35" t="n"/>
      <c r="U109" s="34" t="n"/>
      <c r="V109" s="34">
        <f>IF(F109="","",IF(K109="","",O109+ROW()/100000))</f>
        <v/>
      </c>
    </row>
    <row r="110">
      <c r="A110" s="10">
        <f>IF(F110="","",COUNTA($F$5:F110))</f>
        <v/>
      </c>
      <c r="B110" s="34" t="inlineStr">
        <is>
          <t>AES</t>
        </is>
      </c>
      <c r="C110" s="34" t="inlineStr">
        <is>
          <t>AMH Sathorn Co., Ltd.</t>
        </is>
      </c>
      <c r="D110" s="34" t="inlineStr">
        <is>
          <t>Contract - Service</t>
        </is>
      </c>
      <c r="E110" s="35" t="inlineStr">
        <is>
          <t>Property</t>
        </is>
      </c>
      <c r="F110" s="35" t="inlineStr">
        <is>
          <t>Pest control</t>
        </is>
      </c>
      <c r="G110" s="35" t="inlineStr">
        <is>
          <t>สัญญากำจัดแมลง</t>
        </is>
      </c>
      <c r="H110" s="34" t="n"/>
      <c r="I110" s="34" t="n"/>
      <c r="J110" s="36" t="n"/>
      <c r="K110" s="36" t="n"/>
      <c r="L110" s="34" t="inlineStr">
        <is>
          <t>Annual</t>
        </is>
      </c>
      <c r="M110" s="34" t="n">
        <v>60</v>
      </c>
      <c r="N110" s="36">
        <f>IF(K110="","",K110-IF(M110="",0,M110))</f>
        <v/>
      </c>
      <c r="O110" s="37">
        <f>IF(K110="","",K110-TODAY())</f>
        <v/>
      </c>
      <c r="P110" s="10">
        <f>IF(F110="","",IF(K110="","No date",IF(O110&lt;0,"Expired",IF(O110&lt;=30,"Urgent",IF(O110&lt;=90,"Due soon","OK")))))</f>
        <v/>
      </c>
      <c r="Q110" s="34" t="n"/>
      <c r="R110" s="38" t="n"/>
      <c r="S110" s="34" t="n"/>
      <c r="T110" s="35" t="n"/>
      <c r="U110" s="34" t="n"/>
      <c r="V110" s="34">
        <f>IF(F110="","",IF(K110="","",O110+ROW()/100000))</f>
        <v/>
      </c>
    </row>
    <row r="111">
      <c r="A111" s="10">
        <f>IF(F111="","",COUNTA($F$5:F111))</f>
        <v/>
      </c>
      <c r="B111" s="34" t="inlineStr">
        <is>
          <t>AES</t>
        </is>
      </c>
      <c r="C111" s="34" t="inlineStr">
        <is>
          <t>AMH Sathorn Co., Ltd.</t>
        </is>
      </c>
      <c r="D111" s="34" t="inlineStr">
        <is>
          <t>Contract - Service</t>
        </is>
      </c>
      <c r="E111" s="35" t="inlineStr">
        <is>
          <t>Property</t>
        </is>
      </c>
      <c r="F111" s="35" t="inlineStr">
        <is>
          <t>Landscaping / plant care</t>
        </is>
      </c>
      <c r="G111" s="35" t="inlineStr">
        <is>
          <t>สัญญาดูแลต้นไม้และภูมิทัศน์</t>
        </is>
      </c>
      <c r="H111" s="34" t="n"/>
      <c r="I111" s="34" t="n"/>
      <c r="J111" s="36" t="n"/>
      <c r="K111" s="36" t="n"/>
      <c r="L111" s="34" t="inlineStr">
        <is>
          <t>Annual</t>
        </is>
      </c>
      <c r="M111" s="34" t="n">
        <v>60</v>
      </c>
      <c r="N111" s="36">
        <f>IF(K111="","",K111-IF(M111="",0,M111))</f>
        <v/>
      </c>
      <c r="O111" s="37">
        <f>IF(K111="","",K111-TODAY())</f>
        <v/>
      </c>
      <c r="P111" s="10">
        <f>IF(F111="","",IF(K111="","No date",IF(O111&lt;0,"Expired",IF(O111&lt;=30,"Urgent",IF(O111&lt;=90,"Due soon","OK")))))</f>
        <v/>
      </c>
      <c r="Q111" s="34" t="n"/>
      <c r="R111" s="38" t="n"/>
      <c r="S111" s="34" t="n"/>
      <c r="T111" s="35" t="n"/>
      <c r="U111" s="34" t="n"/>
      <c r="V111" s="34">
        <f>IF(F111="","",IF(K111="","",O111+ROW()/100000))</f>
        <v/>
      </c>
    </row>
    <row r="112">
      <c r="A112" s="10">
        <f>IF(F112="","",COUNTA($F$5:F112))</f>
        <v/>
      </c>
      <c r="B112" s="34" t="inlineStr">
        <is>
          <t>AES</t>
        </is>
      </c>
      <c r="C112" s="34" t="inlineStr">
        <is>
          <t>AMH Sathorn Co., Ltd.</t>
        </is>
      </c>
      <c r="D112" s="34" t="inlineStr">
        <is>
          <t>Contract - Service</t>
        </is>
      </c>
      <c r="E112" s="35" t="inlineStr">
        <is>
          <t>Property</t>
        </is>
      </c>
      <c r="F112" s="35" t="inlineStr">
        <is>
          <t>Waste collection</t>
        </is>
      </c>
      <c r="G112" s="35" t="inlineStr">
        <is>
          <t>สัญญาเก็บขนขยะ</t>
        </is>
      </c>
      <c r="H112" s="34" t="n"/>
      <c r="I112" s="34" t="n"/>
      <c r="J112" s="36" t="n"/>
      <c r="K112" s="36" t="n"/>
      <c r="L112" s="34" t="inlineStr">
        <is>
          <t>Annual</t>
        </is>
      </c>
      <c r="M112" s="34" t="n">
        <v>60</v>
      </c>
      <c r="N112" s="36">
        <f>IF(K112="","",K112-IF(M112="",0,M112))</f>
        <v/>
      </c>
      <c r="O112" s="37">
        <f>IF(K112="","",K112-TODAY())</f>
        <v/>
      </c>
      <c r="P112" s="10">
        <f>IF(F112="","",IF(K112="","No date",IF(O112&lt;0,"Expired",IF(O112&lt;=30,"Urgent",IF(O112&lt;=90,"Due soon","OK")))))</f>
        <v/>
      </c>
      <c r="Q112" s="34" t="n"/>
      <c r="R112" s="38" t="n"/>
      <c r="S112" s="34" t="n"/>
      <c r="T112" s="35" t="n"/>
      <c r="U112" s="34" t="n"/>
      <c r="V112" s="34">
        <f>IF(F112="","",IF(K112="","",O112+ROW()/100000))</f>
        <v/>
      </c>
    </row>
    <row r="113">
      <c r="A113" s="10">
        <f>IF(F113="","",COUNTA($F$5:F113))</f>
        <v/>
      </c>
      <c r="B113" s="34" t="inlineStr">
        <is>
          <t>AES</t>
        </is>
      </c>
      <c r="C113" s="34" t="inlineStr">
        <is>
          <t>AMH Sathorn Co., Ltd.</t>
        </is>
      </c>
      <c r="D113" s="34" t="inlineStr">
        <is>
          <t>Contract - Service</t>
        </is>
      </c>
      <c r="E113" s="35" t="inlineStr">
        <is>
          <t>Property</t>
        </is>
      </c>
      <c r="F113" s="35" t="inlineStr">
        <is>
          <t>PMS / property management system licence</t>
        </is>
      </c>
      <c r="G113" s="35" t="inlineStr">
        <is>
          <t>สัญญาระบบบริหารโรงแรม (PMS)</t>
        </is>
      </c>
      <c r="H113" s="34" t="n"/>
      <c r="I113" s="34" t="n"/>
      <c r="J113" s="36" t="n"/>
      <c r="K113" s="36" t="n"/>
      <c r="L113" s="34" t="inlineStr">
        <is>
          <t>Annual</t>
        </is>
      </c>
      <c r="M113" s="34" t="n">
        <v>60</v>
      </c>
      <c r="N113" s="36">
        <f>IF(K113="","",K113-IF(M113="",0,M113))</f>
        <v/>
      </c>
      <c r="O113" s="37">
        <f>IF(K113="","",K113-TODAY())</f>
        <v/>
      </c>
      <c r="P113" s="10">
        <f>IF(F113="","",IF(K113="","No date",IF(O113&lt;0,"Expired",IF(O113&lt;=30,"Urgent",IF(O113&lt;=90,"Due soon","OK")))))</f>
        <v/>
      </c>
      <c r="Q113" s="34" t="n"/>
      <c r="R113" s="38" t="n"/>
      <c r="S113" s="34" t="n"/>
      <c r="T113" s="35" t="n"/>
      <c r="U113" s="34" t="n"/>
      <c r="V113" s="34">
        <f>IF(F113="","",IF(K113="","",O113+ROW()/100000))</f>
        <v/>
      </c>
    </row>
    <row r="114">
      <c r="A114" s="10">
        <f>IF(F114="","",COUNTA($F$5:F114))</f>
        <v/>
      </c>
      <c r="B114" s="34" t="inlineStr">
        <is>
          <t>AES</t>
        </is>
      </c>
      <c r="C114" s="34" t="inlineStr">
        <is>
          <t>AMH Sathorn Co., Ltd.</t>
        </is>
      </c>
      <c r="D114" s="34" t="inlineStr">
        <is>
          <t>Contract - Service</t>
        </is>
      </c>
      <c r="E114" s="35" t="inlineStr">
        <is>
          <t>Property</t>
        </is>
      </c>
      <c r="F114" s="35" t="inlineStr">
        <is>
          <t>Internet / IPTV / telephone</t>
        </is>
      </c>
      <c r="G114" s="35" t="inlineStr">
        <is>
          <t>สัญญาอินเทอร์เน็ต / IPTV / โทรศัพท์</t>
        </is>
      </c>
      <c r="H114" s="34" t="n"/>
      <c r="I114" s="34" t="n"/>
      <c r="J114" s="36" t="n"/>
      <c r="K114" s="36" t="n"/>
      <c r="L114" s="34" t="inlineStr">
        <is>
          <t>Annual</t>
        </is>
      </c>
      <c r="M114" s="34" t="n">
        <v>60</v>
      </c>
      <c r="N114" s="36">
        <f>IF(K114="","",K114-IF(M114="",0,M114))</f>
        <v/>
      </c>
      <c r="O114" s="37">
        <f>IF(K114="","",K114-TODAY())</f>
        <v/>
      </c>
      <c r="P114" s="10">
        <f>IF(F114="","",IF(K114="","No date",IF(O114&lt;0,"Expired",IF(O114&lt;=30,"Urgent",IF(O114&lt;=90,"Due soon","OK")))))</f>
        <v/>
      </c>
      <c r="Q114" s="34" t="n"/>
      <c r="R114" s="38" t="n"/>
      <c r="S114" s="34" t="n"/>
      <c r="T114" s="35" t="n"/>
      <c r="U114" s="34" t="n"/>
      <c r="V114" s="34">
        <f>IF(F114="","",IF(K114="","",O114+ROW()/100000))</f>
        <v/>
      </c>
    </row>
    <row r="115">
      <c r="A115" s="10">
        <f>IF(F115="","",COUNTA($F$5:F115))</f>
        <v/>
      </c>
      <c r="B115" s="34" t="inlineStr">
        <is>
          <t>LYF</t>
        </is>
      </c>
      <c r="C115" s="34" t="inlineStr">
        <is>
          <t>AMH Sukhumvit 8 Co., Ltd.</t>
        </is>
      </c>
      <c r="D115" s="34" t="inlineStr">
        <is>
          <t>Licence</t>
        </is>
      </c>
      <c r="E115" s="35" t="inlineStr">
        <is>
          <t>Owner</t>
        </is>
      </c>
      <c r="F115" s="35" t="inlineStr">
        <is>
          <t>Hotel operating licence</t>
        </is>
      </c>
      <c r="G115" s="35" t="inlineStr">
        <is>
          <t>ใบอนุญาตประกอบธุรกิจโรงแรม</t>
        </is>
      </c>
      <c r="H115" s="34" t="inlineStr">
        <is>
          <t>Dept. of Provincial Administration / District Office</t>
        </is>
      </c>
      <c r="I115" s="34" t="n"/>
      <c r="J115" s="36" t="n"/>
      <c r="K115" s="36" t="n"/>
      <c r="L115" s="34" t="inlineStr">
        <is>
          <t>Every 5 years</t>
        </is>
      </c>
      <c r="M115" s="34" t="n">
        <v>60</v>
      </c>
      <c r="N115" s="36">
        <f>IF(K115="","",K115-IF(M115="",0,M115))</f>
        <v/>
      </c>
      <c r="O115" s="37">
        <f>IF(K115="","",K115-TODAY())</f>
        <v/>
      </c>
      <c r="P115" s="10">
        <f>IF(F115="","",IF(K115="","No date",IF(O115&lt;0,"Expired",IF(O115&lt;=30,"Urgent",IF(O115&lt;=90,"Due soon","OK")))))</f>
        <v/>
      </c>
      <c r="Q115" s="34" t="n"/>
      <c r="R115" s="38" t="n"/>
      <c r="S115" s="34" t="n"/>
      <c r="T115" s="35" t="n"/>
      <c r="U115" s="34" t="n"/>
      <c r="V115" s="34">
        <f>IF(F115="","",IF(K115="","",O115+ROW()/100000))</f>
        <v/>
      </c>
    </row>
    <row r="116">
      <c r="A116" s="10">
        <f>IF(F116="","",COUNTA($F$5:F116))</f>
        <v/>
      </c>
      <c r="B116" s="34" t="inlineStr">
        <is>
          <t>LYF</t>
        </is>
      </c>
      <c r="C116" s="34" t="inlineStr">
        <is>
          <t>AMH Sukhumvit 8 Co., Ltd.</t>
        </is>
      </c>
      <c r="D116" s="34" t="inlineStr">
        <is>
          <t>Permit</t>
        </is>
      </c>
      <c r="E116" s="35" t="inlineStr">
        <is>
          <t>Owner</t>
        </is>
      </c>
      <c r="F116" s="35" t="inlineStr">
        <is>
          <t>Building construction permit (อ.1)</t>
        </is>
      </c>
      <c r="G116" s="35" t="inlineStr">
        <is>
          <t>ใบอนุญาตก่อสร้างอาคาร (อ.1)</t>
        </is>
      </c>
      <c r="H116" s="34" t="inlineStr">
        <is>
          <t>Local authority (BMA / City Municipality)</t>
        </is>
      </c>
      <c r="I116" s="34" t="n"/>
      <c r="J116" s="36" t="n"/>
      <c r="K116" s="36" t="n"/>
      <c r="L116" s="34" t="inlineStr">
        <is>
          <t>One-off</t>
        </is>
      </c>
      <c r="M116" s="34" t="n">
        <v>60</v>
      </c>
      <c r="N116" s="36">
        <f>IF(K116="","",K116-IF(M116="",0,M116))</f>
        <v/>
      </c>
      <c r="O116" s="37">
        <f>IF(K116="","",K116-TODAY())</f>
        <v/>
      </c>
      <c r="P116" s="10">
        <f>IF(F116="","",IF(K116="","No date",IF(O116&lt;0,"Expired",IF(O116&lt;=30,"Urgent",IF(O116&lt;=90,"Due soon","OK")))))</f>
        <v/>
      </c>
      <c r="Q116" s="34" t="n"/>
      <c r="R116" s="38" t="n"/>
      <c r="S116" s="34" t="n"/>
      <c r="T116" s="35" t="n"/>
      <c r="U116" s="34" t="n"/>
      <c r="V116" s="34">
        <f>IF(F116="","",IF(K116="","",O116+ROW()/100000))</f>
        <v/>
      </c>
    </row>
    <row r="117">
      <c r="A117" s="10">
        <f>IF(F117="","",COUNTA($F$5:F117))</f>
        <v/>
      </c>
      <c r="B117" s="34" t="inlineStr">
        <is>
          <t>LYF</t>
        </is>
      </c>
      <c r="C117" s="34" t="inlineStr">
        <is>
          <t>AMH Sukhumvit 8 Co., Ltd.</t>
        </is>
      </c>
      <c r="D117" s="34" t="inlineStr">
        <is>
          <t>Certificate</t>
        </is>
      </c>
      <c r="E117" s="35" t="inlineStr">
        <is>
          <t>Owner</t>
        </is>
      </c>
      <c r="F117" s="35" t="inlineStr">
        <is>
          <t>Certificate of building use (อ.6)</t>
        </is>
      </c>
      <c r="G117" s="35" t="inlineStr">
        <is>
          <t>ใบรับรองการใช้อาคาร (อ.6)</t>
        </is>
      </c>
      <c r="H117" s="34" t="inlineStr">
        <is>
          <t>Local authority (BMA / City Municipality)</t>
        </is>
      </c>
      <c r="I117" s="34" t="n"/>
      <c r="J117" s="36" t="n"/>
      <c r="K117" s="36" t="n"/>
      <c r="L117" s="34" t="inlineStr">
        <is>
          <t>One-off</t>
        </is>
      </c>
      <c r="M117" s="34" t="n">
        <v>60</v>
      </c>
      <c r="N117" s="36">
        <f>IF(K117="","",K117-IF(M117="",0,M117))</f>
        <v/>
      </c>
      <c r="O117" s="37">
        <f>IF(K117="","",K117-TODAY())</f>
        <v/>
      </c>
      <c r="P117" s="10">
        <f>IF(F117="","",IF(K117="","No date",IF(O117&lt;0,"Expired",IF(O117&lt;=30,"Urgent",IF(O117&lt;=90,"Due soon","OK")))))</f>
        <v/>
      </c>
      <c r="Q117" s="34" t="n"/>
      <c r="R117" s="38" t="n"/>
      <c r="S117" s="34" t="n"/>
      <c r="T117" s="35" t="n"/>
      <c r="U117" s="34" t="n"/>
      <c r="V117" s="34">
        <f>IF(F117="","",IF(K117="","",O117+ROW()/100000))</f>
        <v/>
      </c>
    </row>
    <row r="118">
      <c r="A118" s="10">
        <f>IF(F118="","",COUNTA($F$5:F118))</f>
        <v/>
      </c>
      <c r="B118" s="34" t="inlineStr">
        <is>
          <t>LYF</t>
        </is>
      </c>
      <c r="C118" s="34" t="inlineStr">
        <is>
          <t>AMH Sukhumvit 8 Co., Ltd.</t>
        </is>
      </c>
      <c r="D118" s="34" t="inlineStr">
        <is>
          <t>Certificate</t>
        </is>
      </c>
      <c r="E118" s="35" t="inlineStr">
        <is>
          <t>Owner</t>
        </is>
      </c>
      <c r="F118" s="35" t="inlineStr">
        <is>
          <t>Annual building inspection report (ร.1)</t>
        </is>
      </c>
      <c r="G118" s="35" t="inlineStr">
        <is>
          <t>รายงานการตรวจสอบอาคารประจำปี (ร.1)</t>
        </is>
      </c>
      <c r="H118" s="34" t="inlineStr">
        <is>
          <t>Dept. of Public Works / local authority</t>
        </is>
      </c>
      <c r="I118" s="34" t="n"/>
      <c r="J118" s="36" t="n"/>
      <c r="K118" s="36" t="n"/>
      <c r="L118" s="34" t="inlineStr">
        <is>
          <t>Annual</t>
        </is>
      </c>
      <c r="M118" s="34" t="n">
        <v>60</v>
      </c>
      <c r="N118" s="36">
        <f>IF(K118="","",K118-IF(M118="",0,M118))</f>
        <v/>
      </c>
      <c r="O118" s="37">
        <f>IF(K118="","",K118-TODAY())</f>
        <v/>
      </c>
      <c r="P118" s="10">
        <f>IF(F118="","",IF(K118="","No date",IF(O118&lt;0,"Expired",IF(O118&lt;=30,"Urgent",IF(O118&lt;=90,"Due soon","OK")))))</f>
        <v/>
      </c>
      <c r="Q118" s="34" t="n"/>
      <c r="R118" s="38" t="n"/>
      <c r="S118" s="34" t="n"/>
      <c r="T118" s="35" t="n"/>
      <c r="U118" s="34" t="n"/>
      <c r="V118" s="34">
        <f>IF(F118="","",IF(K118="","",O118+ROW()/100000))</f>
        <v/>
      </c>
    </row>
    <row r="119">
      <c r="A119" s="10">
        <f>IF(F119="","",COUNTA($F$5:F119))</f>
        <v/>
      </c>
      <c r="B119" s="34" t="inlineStr">
        <is>
          <t>LYF</t>
        </is>
      </c>
      <c r="C119" s="34" t="inlineStr">
        <is>
          <t>AMH Sukhumvit 8 Co., Ltd.</t>
        </is>
      </c>
      <c r="D119" s="34" t="inlineStr">
        <is>
          <t>Certificate</t>
        </is>
      </c>
      <c r="E119" s="35" t="inlineStr">
        <is>
          <t>Owner</t>
        </is>
      </c>
      <c r="F119" s="35" t="inlineStr">
        <is>
          <t>Fire protection system inspection</t>
        </is>
      </c>
      <c r="G119" s="35" t="inlineStr">
        <is>
          <t>การตรวจสอบระบบป้องกันอัคคีภัย</t>
        </is>
      </c>
      <c r="H119" s="34" t="inlineStr">
        <is>
          <t>Licensed inspector</t>
        </is>
      </c>
      <c r="I119" s="34" t="n"/>
      <c r="J119" s="36" t="n"/>
      <c r="K119" s="36" t="n"/>
      <c r="L119" s="34" t="inlineStr">
        <is>
          <t>Annual</t>
        </is>
      </c>
      <c r="M119" s="34" t="n">
        <v>60</v>
      </c>
      <c r="N119" s="36">
        <f>IF(K119="","",K119-IF(M119="",0,M119))</f>
        <v/>
      </c>
      <c r="O119" s="37">
        <f>IF(K119="","",K119-TODAY())</f>
        <v/>
      </c>
      <c r="P119" s="10">
        <f>IF(F119="","",IF(K119="","No date",IF(O119&lt;0,"Expired",IF(O119&lt;=30,"Urgent",IF(O119&lt;=90,"Due soon","OK")))))</f>
        <v/>
      </c>
      <c r="Q119" s="34" t="n"/>
      <c r="R119" s="38" t="n"/>
      <c r="S119" s="34" t="n"/>
      <c r="T119" s="35" t="n"/>
      <c r="U119" s="34" t="n"/>
      <c r="V119" s="34">
        <f>IF(F119="","",IF(K119="","",O119+ROW()/100000))</f>
        <v/>
      </c>
    </row>
    <row r="120">
      <c r="A120" s="10">
        <f>IF(F120="","",COUNTA($F$5:F120))</f>
        <v/>
      </c>
      <c r="B120" s="34" t="inlineStr">
        <is>
          <t>LYF</t>
        </is>
      </c>
      <c r="C120" s="34" t="inlineStr">
        <is>
          <t>AMH Sukhumvit 8 Co., Ltd.</t>
        </is>
      </c>
      <c r="D120" s="34" t="inlineStr">
        <is>
          <t>Certificate</t>
        </is>
      </c>
      <c r="E120" s="35" t="inlineStr">
        <is>
          <t>Owner</t>
        </is>
      </c>
      <c r="F120" s="35" t="inlineStr">
        <is>
          <t>Lift / elevator inspection certificate</t>
        </is>
      </c>
      <c r="G120" s="35" t="inlineStr">
        <is>
          <t>ใบรับรองการตรวจสอบลิฟต์</t>
        </is>
      </c>
      <c r="H120" s="34" t="inlineStr">
        <is>
          <t>Licensed engineer</t>
        </is>
      </c>
      <c r="I120" s="34" t="n"/>
      <c r="J120" s="36" t="n"/>
      <c r="K120" s="36" t="n"/>
      <c r="L120" s="34" t="inlineStr">
        <is>
          <t>Annual</t>
        </is>
      </c>
      <c r="M120" s="34" t="n">
        <v>60</v>
      </c>
      <c r="N120" s="36">
        <f>IF(K120="","",K120-IF(M120="",0,M120))</f>
        <v/>
      </c>
      <c r="O120" s="37">
        <f>IF(K120="","",K120-TODAY())</f>
        <v/>
      </c>
      <c r="P120" s="10">
        <f>IF(F120="","",IF(K120="","No date",IF(O120&lt;0,"Expired",IF(O120&lt;=30,"Urgent",IF(O120&lt;=90,"Due soon","OK")))))</f>
        <v/>
      </c>
      <c r="Q120" s="34" t="n"/>
      <c r="R120" s="38" t="n"/>
      <c r="S120" s="34" t="n"/>
      <c r="T120" s="35" t="n"/>
      <c r="U120" s="34" t="n"/>
      <c r="V120" s="34">
        <f>IF(F120="","",IF(K120="","",O120+ROW()/100000))</f>
        <v/>
      </c>
    </row>
    <row r="121">
      <c r="A121" s="10">
        <f>IF(F121="","",COUNTA($F$5:F121))</f>
        <v/>
      </c>
      <c r="B121" s="34" t="inlineStr">
        <is>
          <t>LYF</t>
        </is>
      </c>
      <c r="C121" s="34" t="inlineStr">
        <is>
          <t>AMH Sukhumvit 8 Co., Ltd.</t>
        </is>
      </c>
      <c r="D121" s="34" t="inlineStr">
        <is>
          <t>Certificate</t>
        </is>
      </c>
      <c r="E121" s="35" t="inlineStr">
        <is>
          <t>Owner</t>
        </is>
      </c>
      <c r="F121" s="35" t="inlineStr">
        <is>
          <t>Electrical system inspection</t>
        </is>
      </c>
      <c r="G121" s="35" t="inlineStr">
        <is>
          <t>การตรวจสอบระบบไฟฟ้า</t>
        </is>
      </c>
      <c r="H121" s="34" t="inlineStr">
        <is>
          <t>Licensed engineer</t>
        </is>
      </c>
      <c r="I121" s="34" t="n"/>
      <c r="J121" s="36" t="n"/>
      <c r="K121" s="36" t="n"/>
      <c r="L121" s="34" t="inlineStr">
        <is>
          <t>Annual</t>
        </is>
      </c>
      <c r="M121" s="34" t="n">
        <v>60</v>
      </c>
      <c r="N121" s="36">
        <f>IF(K121="","",K121-IF(M121="",0,M121))</f>
        <v/>
      </c>
      <c r="O121" s="37">
        <f>IF(K121="","",K121-TODAY())</f>
        <v/>
      </c>
      <c r="P121" s="10">
        <f>IF(F121="","",IF(K121="","No date",IF(O121&lt;0,"Expired",IF(O121&lt;=30,"Urgent",IF(O121&lt;=90,"Due soon","OK")))))</f>
        <v/>
      </c>
      <c r="Q121" s="34" t="n"/>
      <c r="R121" s="38" t="n"/>
      <c r="S121" s="34" t="n"/>
      <c r="T121" s="35" t="n"/>
      <c r="U121" s="34" t="n"/>
      <c r="V121" s="34">
        <f>IF(F121="","",IF(K121="","",O121+ROW()/100000))</f>
        <v/>
      </c>
    </row>
    <row r="122">
      <c r="A122" s="10">
        <f>IF(F122="","",COUNTA($F$5:F122))</f>
        <v/>
      </c>
      <c r="B122" s="34" t="inlineStr">
        <is>
          <t>LYF</t>
        </is>
      </c>
      <c r="C122" s="34" t="inlineStr">
        <is>
          <t>AMH Sukhumvit 8 Co., Ltd.</t>
        </is>
      </c>
      <c r="D122" s="34" t="inlineStr">
        <is>
          <t>Certificate</t>
        </is>
      </c>
      <c r="E122" s="35" t="inlineStr">
        <is>
          <t>Owner</t>
        </is>
      </c>
      <c r="F122" s="35" t="inlineStr">
        <is>
          <t>Generator / fuel storage permit</t>
        </is>
      </c>
      <c r="G122" s="35" t="inlineStr">
        <is>
          <t>ใบอนุญาตเครื่องกำเนิดไฟฟ้า / เก็บน้ำมันเชื้อเพลิง</t>
        </is>
      </c>
      <c r="H122" s="34" t="inlineStr">
        <is>
          <t>Dept. of Energy Business / local authority</t>
        </is>
      </c>
      <c r="I122" s="34" t="n"/>
      <c r="J122" s="36" t="n"/>
      <c r="K122" s="36" t="n"/>
      <c r="L122" s="34" t="inlineStr">
        <is>
          <t>Annual</t>
        </is>
      </c>
      <c r="M122" s="34" t="n">
        <v>60</v>
      </c>
      <c r="N122" s="36">
        <f>IF(K122="","",K122-IF(M122="",0,M122))</f>
        <v/>
      </c>
      <c r="O122" s="37">
        <f>IF(K122="","",K122-TODAY())</f>
        <v/>
      </c>
      <c r="P122" s="10">
        <f>IF(F122="","",IF(K122="","No date",IF(O122&lt;0,"Expired",IF(O122&lt;=30,"Urgent",IF(O122&lt;=90,"Due soon","OK")))))</f>
        <v/>
      </c>
      <c r="Q122" s="34" t="n"/>
      <c r="R122" s="38" t="n"/>
      <c r="S122" s="34" t="n"/>
      <c r="T122" s="35" t="n"/>
      <c r="U122" s="34" t="n"/>
      <c r="V122" s="34">
        <f>IF(F122="","",IF(K122="","",O122+ROW()/100000))</f>
        <v/>
      </c>
    </row>
    <row r="123">
      <c r="A123" s="10">
        <f>IF(F123="","",COUNTA($F$5:F123))</f>
        <v/>
      </c>
      <c r="B123" s="34" t="inlineStr">
        <is>
          <t>LYF</t>
        </is>
      </c>
      <c r="C123" s="34" t="inlineStr">
        <is>
          <t>AMH Sukhumvit 8 Co., Ltd.</t>
        </is>
      </c>
      <c r="D123" s="34" t="inlineStr">
        <is>
          <t>Certificate</t>
        </is>
      </c>
      <c r="E123" s="35" t="inlineStr">
        <is>
          <t>Owner</t>
        </is>
      </c>
      <c r="F123" s="35" t="inlineStr">
        <is>
          <t>Boiler / pressure vessel inspection</t>
        </is>
      </c>
      <c r="G123" s="35" t="inlineStr">
        <is>
          <t>การตรวจสอบหม้อไอน้ำ / ภาชนะรับแรงดัน</t>
        </is>
      </c>
      <c r="H123" s="34" t="inlineStr">
        <is>
          <t>Licensed engineer</t>
        </is>
      </c>
      <c r="I123" s="34" t="n"/>
      <c r="J123" s="36" t="n"/>
      <c r="K123" s="36" t="n"/>
      <c r="L123" s="34" t="inlineStr">
        <is>
          <t>Annual</t>
        </is>
      </c>
      <c r="M123" s="34" t="n">
        <v>60</v>
      </c>
      <c r="N123" s="36">
        <f>IF(K123="","",K123-IF(M123="",0,M123))</f>
        <v/>
      </c>
      <c r="O123" s="37">
        <f>IF(K123="","",K123-TODAY())</f>
        <v/>
      </c>
      <c r="P123" s="10">
        <f>IF(F123="","",IF(K123="","No date",IF(O123&lt;0,"Expired",IF(O123&lt;=30,"Urgent",IF(O123&lt;=90,"Due soon","OK")))))</f>
        <v/>
      </c>
      <c r="Q123" s="34" t="n"/>
      <c r="R123" s="38" t="n"/>
      <c r="S123" s="34" t="n"/>
      <c r="T123" s="35" t="n"/>
      <c r="U123" s="34" t="n"/>
      <c r="V123" s="34">
        <f>IF(F123="","",IF(K123="","",O123+ROW()/100000))</f>
        <v/>
      </c>
    </row>
    <row r="124">
      <c r="A124" s="10">
        <f>IF(F124="","",COUNTA($F$5:F124))</f>
        <v/>
      </c>
      <c r="B124" s="34" t="inlineStr">
        <is>
          <t>LYF</t>
        </is>
      </c>
      <c r="C124" s="34" t="inlineStr">
        <is>
          <t>AMH Sukhumvit 8 Co., Ltd.</t>
        </is>
      </c>
      <c r="D124" s="34" t="inlineStr">
        <is>
          <t>Certificate</t>
        </is>
      </c>
      <c r="E124" s="35" t="inlineStr">
        <is>
          <t>Owner</t>
        </is>
      </c>
      <c r="F124" s="35" t="inlineStr">
        <is>
          <t>EIA environmental monitoring report</t>
        </is>
      </c>
      <c r="G124" s="35" t="inlineStr">
        <is>
          <t>รายงานผลการปฏิบัติตามมาตรการ EIA</t>
        </is>
      </c>
      <c r="H124" s="34" t="inlineStr">
        <is>
          <t>Office of Natural Resources &amp; Environmental Policy (ONEP)</t>
        </is>
      </c>
      <c r="I124" s="34" t="n"/>
      <c r="J124" s="36" t="n"/>
      <c r="K124" s="36" t="n"/>
      <c r="L124" s="34" t="inlineStr">
        <is>
          <t>Other</t>
        </is>
      </c>
      <c r="M124" s="34" t="n">
        <v>60</v>
      </c>
      <c r="N124" s="36">
        <f>IF(K124="","",K124-IF(M124="",0,M124))</f>
        <v/>
      </c>
      <c r="O124" s="37">
        <f>IF(K124="","",K124-TODAY())</f>
        <v/>
      </c>
      <c r="P124" s="10">
        <f>IF(F124="","",IF(K124="","No date",IF(O124&lt;0,"Expired",IF(O124&lt;=30,"Urgent",IF(O124&lt;=90,"Due soon","OK")))))</f>
        <v/>
      </c>
      <c r="Q124" s="34" t="n"/>
      <c r="R124" s="38" t="n"/>
      <c r="S124" s="34" t="n"/>
      <c r="T124" s="35" t="n"/>
      <c r="U124" s="34" t="n"/>
      <c r="V124" s="34">
        <f>IF(F124="","",IF(K124="","",O124+ROW()/100000))</f>
        <v/>
      </c>
    </row>
    <row r="125">
      <c r="A125" s="10">
        <f>IF(F125="","",COUNTA($F$5:F125))</f>
        <v/>
      </c>
      <c r="B125" s="34" t="inlineStr">
        <is>
          <t>LYF</t>
        </is>
      </c>
      <c r="C125" s="34" t="inlineStr">
        <is>
          <t>AMH Sukhumvit 8 Co., Ltd.</t>
        </is>
      </c>
      <c r="D125" s="34" t="inlineStr">
        <is>
          <t>Tax / Registration</t>
        </is>
      </c>
      <c r="E125" s="35" t="inlineStr">
        <is>
          <t>Owner</t>
        </is>
      </c>
      <c r="F125" s="35" t="inlineStr">
        <is>
          <t>Signage tax (billboard)</t>
        </is>
      </c>
      <c r="G125" s="35" t="inlineStr">
        <is>
          <t>ภาษีป้าย</t>
        </is>
      </c>
      <c r="H125" s="34" t="inlineStr">
        <is>
          <t>Local authority</t>
        </is>
      </c>
      <c r="I125" s="34" t="n"/>
      <c r="J125" s="36" t="n"/>
      <c r="K125" s="36" t="n"/>
      <c r="L125" s="34" t="inlineStr">
        <is>
          <t>Annual</t>
        </is>
      </c>
      <c r="M125" s="34" t="n">
        <v>60</v>
      </c>
      <c r="N125" s="36">
        <f>IF(K125="","",K125-IF(M125="",0,M125))</f>
        <v/>
      </c>
      <c r="O125" s="37">
        <f>IF(K125="","",K125-TODAY())</f>
        <v/>
      </c>
      <c r="P125" s="10">
        <f>IF(F125="","",IF(K125="","No date",IF(O125&lt;0,"Expired",IF(O125&lt;=30,"Urgent",IF(O125&lt;=90,"Due soon","OK")))))</f>
        <v/>
      </c>
      <c r="Q125" s="34" t="n"/>
      <c r="R125" s="38" t="n"/>
      <c r="S125" s="34" t="n"/>
      <c r="T125" s="35" t="n"/>
      <c r="U125" s="34" t="n"/>
      <c r="V125" s="34">
        <f>IF(F125="","",IF(K125="","",O125+ROW()/100000))</f>
        <v/>
      </c>
    </row>
    <row r="126">
      <c r="A126" s="10">
        <f>IF(F126="","",COUNTA($F$5:F126))</f>
        <v/>
      </c>
      <c r="B126" s="34" t="inlineStr">
        <is>
          <t>LYF</t>
        </is>
      </c>
      <c r="C126" s="34" t="inlineStr">
        <is>
          <t>AMH Sukhumvit 8 Co., Ltd.</t>
        </is>
      </c>
      <c r="D126" s="34" t="inlineStr">
        <is>
          <t>Tax / Registration</t>
        </is>
      </c>
      <c r="E126" s="35" t="inlineStr">
        <is>
          <t>Owner</t>
        </is>
      </c>
      <c r="F126" s="35" t="inlineStr">
        <is>
          <t>Land &amp; building tax</t>
        </is>
      </c>
      <c r="G126" s="35" t="inlineStr">
        <is>
          <t>ภาษีที่ดินและสิ่งปลูกสร้าง</t>
        </is>
      </c>
      <c r="H126" s="34" t="inlineStr">
        <is>
          <t>Local authority</t>
        </is>
      </c>
      <c r="I126" s="34" t="n"/>
      <c r="J126" s="36" t="n"/>
      <c r="K126" s="36" t="n"/>
      <c r="L126" s="34" t="inlineStr">
        <is>
          <t>Annual</t>
        </is>
      </c>
      <c r="M126" s="34" t="n">
        <v>60</v>
      </c>
      <c r="N126" s="36">
        <f>IF(K126="","",K126-IF(M126="",0,M126))</f>
        <v/>
      </c>
      <c r="O126" s="37">
        <f>IF(K126="","",K126-TODAY())</f>
        <v/>
      </c>
      <c r="P126" s="10">
        <f>IF(F126="","",IF(K126="","No date",IF(O126&lt;0,"Expired",IF(O126&lt;=30,"Urgent",IF(O126&lt;=90,"Due soon","OK")))))</f>
        <v/>
      </c>
      <c r="Q126" s="34" t="n"/>
      <c r="R126" s="38" t="n"/>
      <c r="S126" s="34" t="n"/>
      <c r="T126" s="35" t="n"/>
      <c r="U126" s="34" t="n"/>
      <c r="V126" s="34">
        <f>IF(F126="","",IF(K126="","",O126+ROW()/100000))</f>
        <v/>
      </c>
    </row>
    <row r="127">
      <c r="A127" s="10">
        <f>IF(F127="","",COUNTA($F$5:F127))</f>
        <v/>
      </c>
      <c r="B127" s="34" t="inlineStr">
        <is>
          <t>LYF</t>
        </is>
      </c>
      <c r="C127" s="34" t="inlineStr">
        <is>
          <t>AMH Sukhumvit 8 Co., Ltd.</t>
        </is>
      </c>
      <c r="D127" s="34" t="inlineStr">
        <is>
          <t>Tax / Registration</t>
        </is>
      </c>
      <c r="E127" s="35" t="inlineStr">
        <is>
          <t>Owner</t>
        </is>
      </c>
      <c r="F127" s="35" t="inlineStr">
        <is>
          <t>VAT registration (ภ.พ.20)</t>
        </is>
      </c>
      <c r="G127" s="35" t="inlineStr">
        <is>
          <t>ใบทะเบียนภาษีมูลค่าเพิ่ม (ภ.พ.20)</t>
        </is>
      </c>
      <c r="H127" s="34" t="inlineStr">
        <is>
          <t>Revenue Department</t>
        </is>
      </c>
      <c r="I127" s="34" t="n"/>
      <c r="J127" s="36" t="n"/>
      <c r="K127" s="36" t="n"/>
      <c r="L127" s="34" t="inlineStr">
        <is>
          <t>One-off</t>
        </is>
      </c>
      <c r="M127" s="34" t="n">
        <v>60</v>
      </c>
      <c r="N127" s="36">
        <f>IF(K127="","",K127-IF(M127="",0,M127))</f>
        <v/>
      </c>
      <c r="O127" s="37">
        <f>IF(K127="","",K127-TODAY())</f>
        <v/>
      </c>
      <c r="P127" s="10">
        <f>IF(F127="","",IF(K127="","No date",IF(O127&lt;0,"Expired",IF(O127&lt;=30,"Urgent",IF(O127&lt;=90,"Due soon","OK")))))</f>
        <v/>
      </c>
      <c r="Q127" s="34" t="n"/>
      <c r="R127" s="38" t="n"/>
      <c r="S127" s="34" t="n"/>
      <c r="T127" s="35" t="n"/>
      <c r="U127" s="34" t="n"/>
      <c r="V127" s="34">
        <f>IF(F127="","",IF(K127="","",O127+ROW()/100000))</f>
        <v/>
      </c>
    </row>
    <row r="128">
      <c r="A128" s="10">
        <f>IF(F128="","",COUNTA($F$5:F128))</f>
        <v/>
      </c>
      <c r="B128" s="34" t="inlineStr">
        <is>
          <t>LYF</t>
        </is>
      </c>
      <c r="C128" s="34" t="inlineStr">
        <is>
          <t>AMH Sukhumvit 8 Co., Ltd.</t>
        </is>
      </c>
      <c r="D128" s="34" t="inlineStr">
        <is>
          <t>Tax / Registration</t>
        </is>
      </c>
      <c r="E128" s="35" t="inlineStr">
        <is>
          <t>Owner</t>
        </is>
      </c>
      <c r="F128" s="35" t="inlineStr">
        <is>
          <t>Company registration / affidavit</t>
        </is>
      </c>
      <c r="G128" s="35" t="inlineStr">
        <is>
          <t>หนังสือรับรองบริษัท</t>
        </is>
      </c>
      <c r="H128" s="34" t="inlineStr">
        <is>
          <t>Dept. of Business Development</t>
        </is>
      </c>
      <c r="I128" s="34" t="n"/>
      <c r="J128" s="36" t="n"/>
      <c r="K128" s="36" t="n"/>
      <c r="L128" s="34" t="inlineStr">
        <is>
          <t>Other</t>
        </is>
      </c>
      <c r="M128" s="34" t="n">
        <v>60</v>
      </c>
      <c r="N128" s="36">
        <f>IF(K128="","",K128-IF(M128="",0,M128))</f>
        <v/>
      </c>
      <c r="O128" s="37">
        <f>IF(K128="","",K128-TODAY())</f>
        <v/>
      </c>
      <c r="P128" s="10">
        <f>IF(F128="","",IF(K128="","No date",IF(O128&lt;0,"Expired",IF(O128&lt;=30,"Urgent",IF(O128&lt;=90,"Due soon","OK")))))</f>
        <v/>
      </c>
      <c r="Q128" s="34" t="n"/>
      <c r="R128" s="38" t="n"/>
      <c r="S128" s="34" t="n"/>
      <c r="T128" s="35" t="n"/>
      <c r="U128" s="34" t="n"/>
      <c r="V128" s="34">
        <f>IF(F128="","",IF(K128="","",O128+ROW()/100000))</f>
        <v/>
      </c>
    </row>
    <row r="129">
      <c r="A129" s="10">
        <f>IF(F129="","",COUNTA($F$5:F129))</f>
        <v/>
      </c>
      <c r="B129" s="34" t="inlineStr">
        <is>
          <t>LYF</t>
        </is>
      </c>
      <c r="C129" s="34" t="inlineStr">
        <is>
          <t>AMH Sukhumvit 8 Co., Ltd.</t>
        </is>
      </c>
      <c r="D129" s="34" t="inlineStr">
        <is>
          <t>Tax / Registration</t>
        </is>
      </c>
      <c r="E129" s="35" t="inlineStr">
        <is>
          <t>Owner</t>
        </is>
      </c>
      <c r="F129" s="35" t="inlineStr">
        <is>
          <t>Social security registration</t>
        </is>
      </c>
      <c r="G129" s="35" t="inlineStr">
        <is>
          <t>ทะเบียนนายจ้างประกันสังคม</t>
        </is>
      </c>
      <c r="H129" s="34" t="inlineStr">
        <is>
          <t>Social Security Office</t>
        </is>
      </c>
      <c r="I129" s="34" t="n"/>
      <c r="J129" s="36" t="n"/>
      <c r="K129" s="36" t="n"/>
      <c r="L129" s="34" t="inlineStr">
        <is>
          <t>One-off</t>
        </is>
      </c>
      <c r="M129" s="34" t="n">
        <v>60</v>
      </c>
      <c r="N129" s="36">
        <f>IF(K129="","",K129-IF(M129="",0,M129))</f>
        <v/>
      </c>
      <c r="O129" s="37">
        <f>IF(K129="","",K129-TODAY())</f>
        <v/>
      </c>
      <c r="P129" s="10">
        <f>IF(F129="","",IF(K129="","No date",IF(O129&lt;0,"Expired",IF(O129&lt;=30,"Urgent",IF(O129&lt;=90,"Due soon","OK")))))</f>
        <v/>
      </c>
      <c r="Q129" s="34" t="n"/>
      <c r="R129" s="38" t="n"/>
      <c r="S129" s="34" t="n"/>
      <c r="T129" s="35" t="n"/>
      <c r="U129" s="34" t="n"/>
      <c r="V129" s="34">
        <f>IF(F129="","",IF(K129="","",O129+ROW()/100000))</f>
        <v/>
      </c>
    </row>
    <row r="130">
      <c r="A130" s="10">
        <f>IF(F130="","",COUNTA($F$5:F130))</f>
        <v/>
      </c>
      <c r="B130" s="34" t="inlineStr">
        <is>
          <t>LYF</t>
        </is>
      </c>
      <c r="C130" s="34" t="inlineStr">
        <is>
          <t>AMH Sukhumvit 8 Co., Ltd.</t>
        </is>
      </c>
      <c r="D130" s="34" t="inlineStr">
        <is>
          <t>Insurance</t>
        </is>
      </c>
      <c r="E130" s="35" t="inlineStr">
        <is>
          <t>Owner</t>
        </is>
      </c>
      <c r="F130" s="35" t="inlineStr">
        <is>
          <t>Property all-risk insurance</t>
        </is>
      </c>
      <c r="G130" s="35" t="inlineStr">
        <is>
          <t>ประกันภัยทรัพย์สินแบบ All Risk</t>
        </is>
      </c>
      <c r="H130" s="34" t="inlineStr">
        <is>
          <t>Insurer / broker</t>
        </is>
      </c>
      <c r="I130" s="34" t="n"/>
      <c r="J130" s="36" t="n"/>
      <c r="K130" s="36" t="n"/>
      <c r="L130" s="34" t="inlineStr">
        <is>
          <t>Annual</t>
        </is>
      </c>
      <c r="M130" s="34" t="n">
        <v>60</v>
      </c>
      <c r="N130" s="36">
        <f>IF(K130="","",K130-IF(M130="",0,M130))</f>
        <v/>
      </c>
      <c r="O130" s="37">
        <f>IF(K130="","",K130-TODAY())</f>
        <v/>
      </c>
      <c r="P130" s="10">
        <f>IF(F130="","",IF(K130="","No date",IF(O130&lt;0,"Expired",IF(O130&lt;=30,"Urgent",IF(O130&lt;=90,"Due soon","OK")))))</f>
        <v/>
      </c>
      <c r="Q130" s="34" t="n"/>
      <c r="R130" s="38" t="n"/>
      <c r="S130" s="34" t="n"/>
      <c r="T130" s="35" t="n"/>
      <c r="U130" s="34" t="n"/>
      <c r="V130" s="34">
        <f>IF(F130="","",IF(K130="","",O130+ROW()/100000))</f>
        <v/>
      </c>
    </row>
    <row r="131">
      <c r="A131" s="10">
        <f>IF(F131="","",COUNTA($F$5:F131))</f>
        <v/>
      </c>
      <c r="B131" s="34" t="inlineStr">
        <is>
          <t>LYF</t>
        </is>
      </c>
      <c r="C131" s="34" t="inlineStr">
        <is>
          <t>AMH Sukhumvit 8 Co., Ltd.</t>
        </is>
      </c>
      <c r="D131" s="34" t="inlineStr">
        <is>
          <t>Insurance</t>
        </is>
      </c>
      <c r="E131" s="35" t="inlineStr">
        <is>
          <t>Owner</t>
        </is>
      </c>
      <c r="F131" s="35" t="inlineStr">
        <is>
          <t>Public liability insurance</t>
        </is>
      </c>
      <c r="G131" s="35" t="inlineStr">
        <is>
          <t>ประกันภัยความรับผิดต่อบุคคลภายนอก</t>
        </is>
      </c>
      <c r="H131" s="34" t="inlineStr">
        <is>
          <t>Insurer / broker</t>
        </is>
      </c>
      <c r="I131" s="34" t="n"/>
      <c r="J131" s="36" t="n"/>
      <c r="K131" s="36" t="n"/>
      <c r="L131" s="34" t="inlineStr">
        <is>
          <t>Annual</t>
        </is>
      </c>
      <c r="M131" s="34" t="n">
        <v>60</v>
      </c>
      <c r="N131" s="36">
        <f>IF(K131="","",K131-IF(M131="",0,M131))</f>
        <v/>
      </c>
      <c r="O131" s="37">
        <f>IF(K131="","",K131-TODAY())</f>
        <v/>
      </c>
      <c r="P131" s="10">
        <f>IF(F131="","",IF(K131="","No date",IF(O131&lt;0,"Expired",IF(O131&lt;=30,"Urgent",IF(O131&lt;=90,"Due soon","OK")))))</f>
        <v/>
      </c>
      <c r="Q131" s="34" t="n"/>
      <c r="R131" s="38" t="n"/>
      <c r="S131" s="34" t="n"/>
      <c r="T131" s="35" t="n"/>
      <c r="U131" s="34" t="n"/>
      <c r="V131" s="34">
        <f>IF(F131="","",IF(K131="","",O131+ROW()/100000))</f>
        <v/>
      </c>
    </row>
    <row r="132">
      <c r="A132" s="10">
        <f>IF(F132="","",COUNTA($F$5:F132))</f>
        <v/>
      </c>
      <c r="B132" s="34" t="inlineStr">
        <is>
          <t>LYF</t>
        </is>
      </c>
      <c r="C132" s="34" t="inlineStr">
        <is>
          <t>AMH Sukhumvit 8 Co., Ltd.</t>
        </is>
      </c>
      <c r="D132" s="34" t="inlineStr">
        <is>
          <t>Insurance</t>
        </is>
      </c>
      <c r="E132" s="35" t="inlineStr">
        <is>
          <t>Owner</t>
        </is>
      </c>
      <c r="F132" s="35" t="inlineStr">
        <is>
          <t>Business interruption insurance</t>
        </is>
      </c>
      <c r="G132" s="35" t="inlineStr">
        <is>
          <t>ประกันภัยธุรกิจหยุดชะงัก</t>
        </is>
      </c>
      <c r="H132" s="34" t="inlineStr">
        <is>
          <t>Insurer / broker</t>
        </is>
      </c>
      <c r="I132" s="34" t="n"/>
      <c r="J132" s="36" t="n"/>
      <c r="K132" s="36" t="n"/>
      <c r="L132" s="34" t="inlineStr">
        <is>
          <t>Annual</t>
        </is>
      </c>
      <c r="M132" s="34" t="n">
        <v>60</v>
      </c>
      <c r="N132" s="36">
        <f>IF(K132="","",K132-IF(M132="",0,M132))</f>
        <v/>
      </c>
      <c r="O132" s="37">
        <f>IF(K132="","",K132-TODAY())</f>
        <v/>
      </c>
      <c r="P132" s="10">
        <f>IF(F132="","",IF(K132="","No date",IF(O132&lt;0,"Expired",IF(O132&lt;=30,"Urgent",IF(O132&lt;=90,"Due soon","OK")))))</f>
        <v/>
      </c>
      <c r="Q132" s="34" t="n"/>
      <c r="R132" s="38" t="n"/>
      <c r="S132" s="34" t="n"/>
      <c r="T132" s="35" t="n"/>
      <c r="U132" s="34" t="n"/>
      <c r="V132" s="34">
        <f>IF(F132="","",IF(K132="","",O132+ROW()/100000))</f>
        <v/>
      </c>
    </row>
    <row r="133">
      <c r="A133" s="10">
        <f>IF(F133="","",COUNTA($F$5:F133))</f>
        <v/>
      </c>
      <c r="B133" s="34" t="inlineStr">
        <is>
          <t>LYF</t>
        </is>
      </c>
      <c r="C133" s="34" t="inlineStr">
        <is>
          <t>AMH Sukhumvit 8 Co., Ltd.</t>
        </is>
      </c>
      <c r="D133" s="34" t="inlineStr">
        <is>
          <t>Contract - Management</t>
        </is>
      </c>
      <c r="E133" s="35" t="inlineStr">
        <is>
          <t>Owner</t>
        </is>
      </c>
      <c r="F133" s="35" t="inlineStr">
        <is>
          <t>Hotel management agreement</t>
        </is>
      </c>
      <c r="G133" s="35" t="inlineStr">
        <is>
          <t>สัญญาบริหารโรงแรม</t>
        </is>
      </c>
      <c r="H133" s="34" t="inlineStr">
        <is>
          <t>Ascott International Management (Thailand) Ltd.</t>
        </is>
      </c>
      <c r="I133" s="34" t="n"/>
      <c r="J133" s="36" t="n"/>
      <c r="K133" s="36" t="n"/>
      <c r="L133" s="34" t="inlineStr">
        <is>
          <t>Rolling / evergreen</t>
        </is>
      </c>
      <c r="M133" s="34" t="n">
        <v>60</v>
      </c>
      <c r="N133" s="36">
        <f>IF(K133="","",K133-IF(M133="",0,M133))</f>
        <v/>
      </c>
      <c r="O133" s="37">
        <f>IF(K133="","",K133-TODAY())</f>
        <v/>
      </c>
      <c r="P133" s="10">
        <f>IF(F133="","",IF(K133="","No date",IF(O133&lt;0,"Expired",IF(O133&lt;=30,"Urgent",IF(O133&lt;=90,"Due soon","OK")))))</f>
        <v/>
      </c>
      <c r="Q133" s="34" t="n"/>
      <c r="R133" s="38" t="n"/>
      <c r="S133" s="34" t="n"/>
      <c r="T133" s="35" t="n"/>
      <c r="U133" s="34" t="n"/>
      <c r="V133" s="34">
        <f>IF(F133="","",IF(K133="","",O133+ROW()/100000))</f>
        <v/>
      </c>
    </row>
    <row r="134">
      <c r="A134" s="10">
        <f>IF(F134="","",COUNTA($F$5:F134))</f>
        <v/>
      </c>
      <c r="B134" s="34" t="inlineStr">
        <is>
          <t>LYF</t>
        </is>
      </c>
      <c r="C134" s="34" t="inlineStr">
        <is>
          <t>AMH Sukhumvit 8 Co., Ltd.</t>
        </is>
      </c>
      <c r="D134" s="34" t="inlineStr">
        <is>
          <t>Contract - Management</t>
        </is>
      </c>
      <c r="E134" s="35" t="inlineStr">
        <is>
          <t>Owner</t>
        </is>
      </c>
      <c r="F134" s="35" t="inlineStr">
        <is>
          <t>Technical services / central fee agreement</t>
        </is>
      </c>
      <c r="G134" s="35" t="inlineStr">
        <is>
          <t>สัญญาค่าบริการส่วนกลาง</t>
        </is>
      </c>
      <c r="H134" s="34" t="inlineStr">
        <is>
          <t>Ascott International Management (Thailand) Ltd.</t>
        </is>
      </c>
      <c r="I134" s="34" t="n"/>
      <c r="J134" s="36" t="n"/>
      <c r="K134" s="36" t="n"/>
      <c r="L134" s="34" t="inlineStr">
        <is>
          <t>Rolling / evergreen</t>
        </is>
      </c>
      <c r="M134" s="34" t="n">
        <v>60</v>
      </c>
      <c r="N134" s="36">
        <f>IF(K134="","",K134-IF(M134="",0,M134))</f>
        <v/>
      </c>
      <c r="O134" s="37">
        <f>IF(K134="","",K134-TODAY())</f>
        <v/>
      </c>
      <c r="P134" s="10">
        <f>IF(F134="","",IF(K134="","No date",IF(O134&lt;0,"Expired",IF(O134&lt;=30,"Urgent",IF(O134&lt;=90,"Due soon","OK")))))</f>
        <v/>
      </c>
      <c r="Q134" s="34" t="n"/>
      <c r="R134" s="38" t="n"/>
      <c r="S134" s="34" t="n"/>
      <c r="T134" s="35" t="n"/>
      <c r="U134" s="34" t="n"/>
      <c r="V134" s="34">
        <f>IF(F134="","",IF(K134="","",O134+ROW()/100000))</f>
        <v/>
      </c>
    </row>
    <row r="135">
      <c r="A135" s="10">
        <f>IF(F135="","",COUNTA($F$5:F135))</f>
        <v/>
      </c>
      <c r="B135" s="34" t="inlineStr">
        <is>
          <t>LYF</t>
        </is>
      </c>
      <c r="C135" s="34" t="inlineStr">
        <is>
          <t>AMH Sukhumvit 8 Co., Ltd.</t>
        </is>
      </c>
      <c r="D135" s="34" t="inlineStr">
        <is>
          <t>Contract - Service</t>
        </is>
      </c>
      <c r="E135" s="35" t="inlineStr">
        <is>
          <t>Owner</t>
        </is>
      </c>
      <c r="F135" s="35" t="inlineStr">
        <is>
          <t>Lift maintenance</t>
        </is>
      </c>
      <c r="G135" s="35" t="inlineStr">
        <is>
          <t>สัญญาบำรุงรักษาลิฟต์</t>
        </is>
      </c>
      <c r="H135" s="34" t="n"/>
      <c r="I135" s="34" t="n"/>
      <c r="J135" s="36" t="n"/>
      <c r="K135" s="36" t="n"/>
      <c r="L135" s="34" t="inlineStr">
        <is>
          <t>Annual</t>
        </is>
      </c>
      <c r="M135" s="34" t="n">
        <v>60</v>
      </c>
      <c r="N135" s="36">
        <f>IF(K135="","",K135-IF(M135="",0,M135))</f>
        <v/>
      </c>
      <c r="O135" s="37">
        <f>IF(K135="","",K135-TODAY())</f>
        <v/>
      </c>
      <c r="P135" s="10">
        <f>IF(F135="","",IF(K135="","No date",IF(O135&lt;0,"Expired",IF(O135&lt;=30,"Urgent",IF(O135&lt;=90,"Due soon","OK")))))</f>
        <v/>
      </c>
      <c r="Q135" s="34" t="n"/>
      <c r="R135" s="38" t="n"/>
      <c r="S135" s="34" t="n"/>
      <c r="T135" s="35" t="n"/>
      <c r="U135" s="34" t="n"/>
      <c r="V135" s="34">
        <f>IF(F135="","",IF(K135="","",O135+ROW()/100000))</f>
        <v/>
      </c>
    </row>
    <row r="136">
      <c r="A136" s="10">
        <f>IF(F136="","",COUNTA($F$5:F136))</f>
        <v/>
      </c>
      <c r="B136" s="34" t="inlineStr">
        <is>
          <t>LYF</t>
        </is>
      </c>
      <c r="C136" s="34" t="inlineStr">
        <is>
          <t>AMH Sukhumvit 8 Co., Ltd.</t>
        </is>
      </c>
      <c r="D136" s="34" t="inlineStr">
        <is>
          <t>Contract - Service</t>
        </is>
      </c>
      <c r="E136" s="35" t="inlineStr">
        <is>
          <t>Owner</t>
        </is>
      </c>
      <c r="F136" s="35" t="inlineStr">
        <is>
          <t>HVAC / chiller maintenance</t>
        </is>
      </c>
      <c r="G136" s="35" t="inlineStr">
        <is>
          <t>สัญญาบำรุงรักษาระบบปรับอากาศ</t>
        </is>
      </c>
      <c r="H136" s="34" t="n"/>
      <c r="I136" s="34" t="n"/>
      <c r="J136" s="36" t="n"/>
      <c r="K136" s="36" t="n"/>
      <c r="L136" s="34" t="inlineStr">
        <is>
          <t>Annual</t>
        </is>
      </c>
      <c r="M136" s="34" t="n">
        <v>60</v>
      </c>
      <c r="N136" s="36">
        <f>IF(K136="","",K136-IF(M136="",0,M136))</f>
        <v/>
      </c>
      <c r="O136" s="37">
        <f>IF(K136="","",K136-TODAY())</f>
        <v/>
      </c>
      <c r="P136" s="10">
        <f>IF(F136="","",IF(K136="","No date",IF(O136&lt;0,"Expired",IF(O136&lt;=30,"Urgent",IF(O136&lt;=90,"Due soon","OK")))))</f>
        <v/>
      </c>
      <c r="Q136" s="34" t="n"/>
      <c r="R136" s="38" t="n"/>
      <c r="S136" s="34" t="n"/>
      <c r="T136" s="35" t="n"/>
      <c r="U136" s="34" t="n"/>
      <c r="V136" s="34">
        <f>IF(F136="","",IF(K136="","",O136+ROW()/100000))</f>
        <v/>
      </c>
    </row>
    <row r="137">
      <c r="A137" s="10">
        <f>IF(F137="","",COUNTA($F$5:F137))</f>
        <v/>
      </c>
      <c r="B137" s="34" t="inlineStr">
        <is>
          <t>LYF</t>
        </is>
      </c>
      <c r="C137" s="34" t="inlineStr">
        <is>
          <t>AMH Sukhumvit 8 Co., Ltd.</t>
        </is>
      </c>
      <c r="D137" s="34" t="inlineStr">
        <is>
          <t>Contract - Service</t>
        </is>
      </c>
      <c r="E137" s="35" t="inlineStr">
        <is>
          <t>Owner</t>
        </is>
      </c>
      <c r="F137" s="35" t="inlineStr">
        <is>
          <t>Fire system maintenance</t>
        </is>
      </c>
      <c r="G137" s="35" t="inlineStr">
        <is>
          <t>สัญญาบำรุงรักษาระบบดับเพลิง</t>
        </is>
      </c>
      <c r="H137" s="34" t="n"/>
      <c r="I137" s="34" t="n"/>
      <c r="J137" s="36" t="n"/>
      <c r="K137" s="36" t="n"/>
      <c r="L137" s="34" t="inlineStr">
        <is>
          <t>Annual</t>
        </is>
      </c>
      <c r="M137" s="34" t="n">
        <v>60</v>
      </c>
      <c r="N137" s="36">
        <f>IF(K137="","",K137-IF(M137="",0,M137))</f>
        <v/>
      </c>
      <c r="O137" s="37">
        <f>IF(K137="","",K137-TODAY())</f>
        <v/>
      </c>
      <c r="P137" s="10">
        <f>IF(F137="","",IF(K137="","No date",IF(O137&lt;0,"Expired",IF(O137&lt;=30,"Urgent",IF(O137&lt;=90,"Due soon","OK")))))</f>
        <v/>
      </c>
      <c r="Q137" s="34" t="n"/>
      <c r="R137" s="38" t="n"/>
      <c r="S137" s="34" t="n"/>
      <c r="T137" s="35" t="n"/>
      <c r="U137" s="34" t="n"/>
      <c r="V137" s="34">
        <f>IF(F137="","",IF(K137="","",O137+ROW()/100000))</f>
        <v/>
      </c>
    </row>
    <row r="138">
      <c r="A138" s="10">
        <f>IF(F138="","",COUNTA($F$5:F138))</f>
        <v/>
      </c>
      <c r="B138" s="34" t="inlineStr">
        <is>
          <t>LYF</t>
        </is>
      </c>
      <c r="C138" s="34" t="inlineStr">
        <is>
          <t>AMH Sukhumvit 8 Co., Ltd.</t>
        </is>
      </c>
      <c r="D138" s="34" t="inlineStr">
        <is>
          <t>Contract - Service</t>
        </is>
      </c>
      <c r="E138" s="35" t="inlineStr">
        <is>
          <t>Owner</t>
        </is>
      </c>
      <c r="F138" s="35" t="inlineStr">
        <is>
          <t>External audit &amp; tax agent</t>
        </is>
      </c>
      <c r="G138" s="35" t="inlineStr">
        <is>
          <t>สัญญาผู้สอบบัญชีและที่ปรึกษาภาษี</t>
        </is>
      </c>
      <c r="H138" s="34" t="n"/>
      <c r="I138" s="34" t="n"/>
      <c r="J138" s="36" t="n"/>
      <c r="K138" s="36" t="n"/>
      <c r="L138" s="34" t="inlineStr">
        <is>
          <t>Annual</t>
        </is>
      </c>
      <c r="M138" s="34" t="n">
        <v>60</v>
      </c>
      <c r="N138" s="36">
        <f>IF(K138="","",K138-IF(M138="",0,M138))</f>
        <v/>
      </c>
      <c r="O138" s="37">
        <f>IF(K138="","",K138-TODAY())</f>
        <v/>
      </c>
      <c r="P138" s="10">
        <f>IF(F138="","",IF(K138="","No date",IF(O138&lt;0,"Expired",IF(O138&lt;=30,"Urgent",IF(O138&lt;=90,"Due soon","OK")))))</f>
        <v/>
      </c>
      <c r="Q138" s="34" t="n"/>
      <c r="R138" s="38" t="n"/>
      <c r="S138" s="34" t="n"/>
      <c r="T138" s="35" t="n"/>
      <c r="U138" s="34" t="n"/>
      <c r="V138" s="34">
        <f>IF(F138="","",IF(K138="","",O138+ROW()/100000))</f>
        <v/>
      </c>
    </row>
    <row r="139">
      <c r="A139" s="10">
        <f>IF(F139="","",COUNTA($F$5:F139))</f>
        <v/>
      </c>
      <c r="B139" s="34" t="inlineStr">
        <is>
          <t>LYF</t>
        </is>
      </c>
      <c r="C139" s="34" t="inlineStr">
        <is>
          <t>AMH Sukhumvit 8 Co., Ltd.</t>
        </is>
      </c>
      <c r="D139" s="34" t="inlineStr">
        <is>
          <t>Contract - Utility</t>
        </is>
      </c>
      <c r="E139" s="35" t="inlineStr">
        <is>
          <t>Owner</t>
        </is>
      </c>
      <c r="F139" s="35" t="inlineStr">
        <is>
          <t>Electricity supply</t>
        </is>
      </c>
      <c r="G139" s="35" t="inlineStr">
        <is>
          <t>สัญญาไฟฟ้า</t>
        </is>
      </c>
      <c r="H139" s="34" t="n"/>
      <c r="I139" s="34" t="n"/>
      <c r="J139" s="36" t="n"/>
      <c r="K139" s="36" t="n"/>
      <c r="L139" s="34" t="inlineStr">
        <is>
          <t>Rolling / evergreen</t>
        </is>
      </c>
      <c r="M139" s="34" t="n">
        <v>60</v>
      </c>
      <c r="N139" s="36">
        <f>IF(K139="","",K139-IF(M139="",0,M139))</f>
        <v/>
      </c>
      <c r="O139" s="37">
        <f>IF(K139="","",K139-TODAY())</f>
        <v/>
      </c>
      <c r="P139" s="10">
        <f>IF(F139="","",IF(K139="","No date",IF(O139&lt;0,"Expired",IF(O139&lt;=30,"Urgent",IF(O139&lt;=90,"Due soon","OK")))))</f>
        <v/>
      </c>
      <c r="Q139" s="34" t="n"/>
      <c r="R139" s="38" t="n"/>
      <c r="S139" s="34" t="n"/>
      <c r="T139" s="35" t="n"/>
      <c r="U139" s="34" t="n"/>
      <c r="V139" s="34">
        <f>IF(F139="","",IF(K139="","",O139+ROW()/100000))</f>
        <v/>
      </c>
    </row>
    <row r="140">
      <c r="A140" s="10">
        <f>IF(F140="","",COUNTA($F$5:F140))</f>
        <v/>
      </c>
      <c r="B140" s="34" t="inlineStr">
        <is>
          <t>LYF</t>
        </is>
      </c>
      <c r="C140" s="34" t="inlineStr">
        <is>
          <t>AMH Sukhumvit 8 Co., Ltd.</t>
        </is>
      </c>
      <c r="D140" s="34" t="inlineStr">
        <is>
          <t>Contract - Utility</t>
        </is>
      </c>
      <c r="E140" s="35" t="inlineStr">
        <is>
          <t>Owner</t>
        </is>
      </c>
      <c r="F140" s="35" t="inlineStr">
        <is>
          <t>Water supply</t>
        </is>
      </c>
      <c r="G140" s="35" t="inlineStr">
        <is>
          <t>สัญญาน้ำประปา</t>
        </is>
      </c>
      <c r="H140" s="34" t="n"/>
      <c r="I140" s="34" t="n"/>
      <c r="J140" s="36" t="n"/>
      <c r="K140" s="36" t="n"/>
      <c r="L140" s="34" t="inlineStr">
        <is>
          <t>Rolling / evergreen</t>
        </is>
      </c>
      <c r="M140" s="34" t="n">
        <v>60</v>
      </c>
      <c r="N140" s="36">
        <f>IF(K140="","",K140-IF(M140="",0,M140))</f>
        <v/>
      </c>
      <c r="O140" s="37">
        <f>IF(K140="","",K140-TODAY())</f>
        <v/>
      </c>
      <c r="P140" s="10">
        <f>IF(F140="","",IF(K140="","No date",IF(O140&lt;0,"Expired",IF(O140&lt;=30,"Urgent",IF(O140&lt;=90,"Due soon","OK")))))</f>
        <v/>
      </c>
      <c r="Q140" s="34" t="n"/>
      <c r="R140" s="38" t="n"/>
      <c r="S140" s="34" t="n"/>
      <c r="T140" s="35" t="n"/>
      <c r="U140" s="34" t="n"/>
      <c r="V140" s="34">
        <f>IF(F140="","",IF(K140="","",O140+ROW()/100000))</f>
        <v/>
      </c>
    </row>
    <row r="141">
      <c r="A141" s="10">
        <f>IF(F141="","",COUNTA($F$5:F141))</f>
        <v/>
      </c>
      <c r="B141" s="34" t="inlineStr">
        <is>
          <t>LYF</t>
        </is>
      </c>
      <c r="C141" s="34" t="inlineStr">
        <is>
          <t>AMH Sukhumvit 8 Co., Ltd.</t>
        </is>
      </c>
      <c r="D141" s="34" t="inlineStr">
        <is>
          <t>Contract - Lease / Finance</t>
        </is>
      </c>
      <c r="E141" s="35" t="inlineStr">
        <is>
          <t>Owner</t>
        </is>
      </c>
      <c r="F141" s="35" t="inlineStr">
        <is>
          <t>Land / building lease</t>
        </is>
      </c>
      <c r="G141" s="35" t="inlineStr">
        <is>
          <t>สัญญาเช่าที่ดิน / อาคาร</t>
        </is>
      </c>
      <c r="H141" s="34" t="n"/>
      <c r="I141" s="34" t="n"/>
      <c r="J141" s="36" t="n"/>
      <c r="K141" s="36" t="n"/>
      <c r="L141" s="34" t="inlineStr">
        <is>
          <t>Other</t>
        </is>
      </c>
      <c r="M141" s="34" t="n">
        <v>60</v>
      </c>
      <c r="N141" s="36">
        <f>IF(K141="","",K141-IF(M141="",0,M141))</f>
        <v/>
      </c>
      <c r="O141" s="37">
        <f>IF(K141="","",K141-TODAY())</f>
        <v/>
      </c>
      <c r="P141" s="10">
        <f>IF(F141="","",IF(K141="","No date",IF(O141&lt;0,"Expired",IF(O141&lt;=30,"Urgent",IF(O141&lt;=90,"Due soon","OK")))))</f>
        <v/>
      </c>
      <c r="Q141" s="34" t="n"/>
      <c r="R141" s="38" t="n"/>
      <c r="S141" s="34" t="n"/>
      <c r="T141" s="35" t="n"/>
      <c r="U141" s="34" t="n"/>
      <c r="V141" s="34">
        <f>IF(F141="","",IF(K141="","",O141+ROW()/100000))</f>
        <v/>
      </c>
    </row>
    <row r="142">
      <c r="A142" s="10">
        <f>IF(F142="","",COUNTA($F$5:F142))</f>
        <v/>
      </c>
      <c r="B142" s="34" t="inlineStr">
        <is>
          <t>LYF</t>
        </is>
      </c>
      <c r="C142" s="34" t="inlineStr">
        <is>
          <t>AMH Sukhumvit 8 Co., Ltd.</t>
        </is>
      </c>
      <c r="D142" s="34" t="inlineStr">
        <is>
          <t>Contract - Lease / Finance</t>
        </is>
      </c>
      <c r="E142" s="35" t="inlineStr">
        <is>
          <t>Owner</t>
        </is>
      </c>
      <c r="F142" s="35" t="inlineStr">
        <is>
          <t>Bank facility / loan agreement</t>
        </is>
      </c>
      <c r="G142" s="35" t="inlineStr">
        <is>
          <t>สัญญาสินเชื่อธนาคาร</t>
        </is>
      </c>
      <c r="H142" s="34" t="n"/>
      <c r="I142" s="34" t="n"/>
      <c r="J142" s="36" t="n"/>
      <c r="K142" s="36" t="n"/>
      <c r="L142" s="34" t="inlineStr">
        <is>
          <t>Other</t>
        </is>
      </c>
      <c r="M142" s="34" t="n">
        <v>60</v>
      </c>
      <c r="N142" s="36">
        <f>IF(K142="","",K142-IF(M142="",0,M142))</f>
        <v/>
      </c>
      <c r="O142" s="37">
        <f>IF(K142="","",K142-TODAY())</f>
        <v/>
      </c>
      <c r="P142" s="10">
        <f>IF(F142="","",IF(K142="","No date",IF(O142&lt;0,"Expired",IF(O142&lt;=30,"Urgent",IF(O142&lt;=90,"Due soon","OK")))))</f>
        <v/>
      </c>
      <c r="Q142" s="34" t="n"/>
      <c r="R142" s="38" t="n"/>
      <c r="S142" s="34" t="n"/>
      <c r="T142" s="35" t="n"/>
      <c r="U142" s="34" t="n"/>
      <c r="V142" s="34">
        <f>IF(F142="","",IF(K142="","",O142+ROW()/100000))</f>
        <v/>
      </c>
    </row>
    <row r="143">
      <c r="A143" s="10">
        <f>IF(F143="","",COUNTA($F$5:F143))</f>
        <v/>
      </c>
      <c r="B143" s="34" t="inlineStr">
        <is>
          <t>LYF</t>
        </is>
      </c>
      <c r="C143" s="34" t="inlineStr">
        <is>
          <t>AMH Sukhumvit 8 Co., Ltd.</t>
        </is>
      </c>
      <c r="D143" s="34" t="inlineStr">
        <is>
          <t>Licence</t>
        </is>
      </c>
      <c r="E143" s="35" t="inlineStr">
        <is>
          <t>Property</t>
        </is>
      </c>
      <c r="F143" s="35" t="inlineStr">
        <is>
          <t>Hotel manager licence</t>
        </is>
      </c>
      <c r="G143" s="35" t="inlineStr">
        <is>
          <t>ใบอนุญาตผู้จัดการโรงแรม</t>
        </is>
      </c>
      <c r="H143" s="34" t="inlineStr">
        <is>
          <t>Dept. of Provincial Administration / District Office</t>
        </is>
      </c>
      <c r="I143" s="34" t="n"/>
      <c r="J143" s="36" t="n"/>
      <c r="K143" s="36" t="n"/>
      <c r="L143" s="34" t="inlineStr">
        <is>
          <t>Every 5 years</t>
        </is>
      </c>
      <c r="M143" s="34" t="n">
        <v>60</v>
      </c>
      <c r="N143" s="36">
        <f>IF(K143="","",K143-IF(M143="",0,M143))</f>
        <v/>
      </c>
      <c r="O143" s="37">
        <f>IF(K143="","",K143-TODAY())</f>
        <v/>
      </c>
      <c r="P143" s="10">
        <f>IF(F143="","",IF(K143="","No date",IF(O143&lt;0,"Expired",IF(O143&lt;=30,"Urgent",IF(O143&lt;=90,"Due soon","OK")))))</f>
        <v/>
      </c>
      <c r="Q143" s="34" t="n"/>
      <c r="R143" s="38" t="n"/>
      <c r="S143" s="34" t="n"/>
      <c r="T143" s="35" t="n"/>
      <c r="U143" s="34" t="n"/>
      <c r="V143" s="34">
        <f>IF(F143="","",IF(K143="","",O143+ROW()/100000))</f>
        <v/>
      </c>
    </row>
    <row r="144">
      <c r="A144" s="10">
        <f>IF(F144="","",COUNTA($F$5:F144))</f>
        <v/>
      </c>
      <c r="B144" s="34" t="inlineStr">
        <is>
          <t>LYF</t>
        </is>
      </c>
      <c r="C144" s="34" t="inlineStr">
        <is>
          <t>AMH Sukhumvit 8 Co., Ltd.</t>
        </is>
      </c>
      <c r="D144" s="34" t="inlineStr">
        <is>
          <t>Licence</t>
        </is>
      </c>
      <c r="E144" s="35" t="inlineStr">
        <is>
          <t>Property</t>
        </is>
      </c>
      <c r="F144" s="35" t="inlineStr">
        <is>
          <t>Food establishment licence</t>
        </is>
      </c>
      <c r="G144" s="35" t="inlineStr">
        <is>
          <t>ใบอนุญาตสถานที่จำหน่ายอาหาร/สะสมอาหาร</t>
        </is>
      </c>
      <c r="H144" s="34" t="inlineStr">
        <is>
          <t>Local authority (BMA / City Municipality)</t>
        </is>
      </c>
      <c r="I144" s="34" t="n"/>
      <c r="J144" s="36" t="n"/>
      <c r="K144" s="36" t="n"/>
      <c r="L144" s="34" t="inlineStr">
        <is>
          <t>Annual</t>
        </is>
      </c>
      <c r="M144" s="34" t="n">
        <v>60</v>
      </c>
      <c r="N144" s="36">
        <f>IF(K144="","",K144-IF(M144="",0,M144))</f>
        <v/>
      </c>
      <c r="O144" s="37">
        <f>IF(K144="","",K144-TODAY())</f>
        <v/>
      </c>
      <c r="P144" s="10">
        <f>IF(F144="","",IF(K144="","No date",IF(O144&lt;0,"Expired",IF(O144&lt;=30,"Urgent",IF(O144&lt;=90,"Due soon","OK")))))</f>
        <v/>
      </c>
      <c r="Q144" s="34" t="n"/>
      <c r="R144" s="38" t="n"/>
      <c r="S144" s="34" t="n"/>
      <c r="T144" s="35" t="n"/>
      <c r="U144" s="34" t="n"/>
      <c r="V144" s="34">
        <f>IF(F144="","",IF(K144="","",O144+ROW()/100000))</f>
        <v/>
      </c>
    </row>
    <row r="145">
      <c r="A145" s="10">
        <f>IF(F145="","",COUNTA($F$5:F145))</f>
        <v/>
      </c>
      <c r="B145" s="34" t="inlineStr">
        <is>
          <t>LYF</t>
        </is>
      </c>
      <c r="C145" s="34" t="inlineStr">
        <is>
          <t>AMH Sukhumvit 8 Co., Ltd.</t>
        </is>
      </c>
      <c r="D145" s="34" t="inlineStr">
        <is>
          <t>Licence</t>
        </is>
      </c>
      <c r="E145" s="35" t="inlineStr">
        <is>
          <t>Property</t>
        </is>
      </c>
      <c r="F145" s="35" t="inlineStr">
        <is>
          <t>Alcohol sale licence</t>
        </is>
      </c>
      <c r="G145" s="35" t="inlineStr">
        <is>
          <t>ใบอนุญาตขายสุรา</t>
        </is>
      </c>
      <c r="H145" s="34" t="inlineStr">
        <is>
          <t>Excise Department</t>
        </is>
      </c>
      <c r="I145" s="34" t="n"/>
      <c r="J145" s="36" t="n"/>
      <c r="K145" s="36" t="n"/>
      <c r="L145" s="34" t="inlineStr">
        <is>
          <t>Annual</t>
        </is>
      </c>
      <c r="M145" s="34" t="n">
        <v>60</v>
      </c>
      <c r="N145" s="36">
        <f>IF(K145="","",K145-IF(M145="",0,M145))</f>
        <v/>
      </c>
      <c r="O145" s="37">
        <f>IF(K145="","",K145-TODAY())</f>
        <v/>
      </c>
      <c r="P145" s="10">
        <f>IF(F145="","",IF(K145="","No date",IF(O145&lt;0,"Expired",IF(O145&lt;=30,"Urgent",IF(O145&lt;=90,"Due soon","OK")))))</f>
        <v/>
      </c>
      <c r="Q145" s="34" t="n"/>
      <c r="R145" s="38" t="n"/>
      <c r="S145" s="34" t="n"/>
      <c r="T145" s="35" t="n"/>
      <c r="U145" s="34" t="n"/>
      <c r="V145" s="34">
        <f>IF(F145="","",IF(K145="","",O145+ROW()/100000))</f>
        <v/>
      </c>
    </row>
    <row r="146">
      <c r="A146" s="10">
        <f>IF(F146="","",COUNTA($F$5:F146))</f>
        <v/>
      </c>
      <c r="B146" s="34" t="inlineStr">
        <is>
          <t>LYF</t>
        </is>
      </c>
      <c r="C146" s="34" t="inlineStr">
        <is>
          <t>AMH Sukhumvit 8 Co., Ltd.</t>
        </is>
      </c>
      <c r="D146" s="34" t="inlineStr">
        <is>
          <t>Licence</t>
        </is>
      </c>
      <c r="E146" s="35" t="inlineStr">
        <is>
          <t>Property</t>
        </is>
      </c>
      <c r="F146" s="35" t="inlineStr">
        <is>
          <t>Tobacco sale licence</t>
        </is>
      </c>
      <c r="G146" s="35" t="inlineStr">
        <is>
          <t>ใบอนุญาตขายยาสูบ</t>
        </is>
      </c>
      <c r="H146" s="34" t="inlineStr">
        <is>
          <t>Excise Department</t>
        </is>
      </c>
      <c r="I146" s="34" t="n"/>
      <c r="J146" s="36" t="n"/>
      <c r="K146" s="36" t="n"/>
      <c r="L146" s="34" t="inlineStr">
        <is>
          <t>Annual</t>
        </is>
      </c>
      <c r="M146" s="34" t="n">
        <v>60</v>
      </c>
      <c r="N146" s="36">
        <f>IF(K146="","",K146-IF(M146="",0,M146))</f>
        <v/>
      </c>
      <c r="O146" s="37">
        <f>IF(K146="","",K146-TODAY())</f>
        <v/>
      </c>
      <c r="P146" s="10">
        <f>IF(F146="","",IF(K146="","No date",IF(O146&lt;0,"Expired",IF(O146&lt;=30,"Urgent",IF(O146&lt;=90,"Due soon","OK")))))</f>
        <v/>
      </c>
      <c r="Q146" s="34" t="n"/>
      <c r="R146" s="38" t="n"/>
      <c r="S146" s="34" t="n"/>
      <c r="T146" s="35" t="n"/>
      <c r="U146" s="34" t="n"/>
      <c r="V146" s="34">
        <f>IF(F146="","",IF(K146="","",O146+ROW()/100000))</f>
        <v/>
      </c>
    </row>
    <row r="147">
      <c r="A147" s="10">
        <f>IF(F147="","",COUNTA($F$5:F147))</f>
        <v/>
      </c>
      <c r="B147" s="34" t="inlineStr">
        <is>
          <t>LYF</t>
        </is>
      </c>
      <c r="C147" s="34" t="inlineStr">
        <is>
          <t>AMH Sukhumvit 8 Co., Ltd.</t>
        </is>
      </c>
      <c r="D147" s="34" t="inlineStr">
        <is>
          <t>Licence</t>
        </is>
      </c>
      <c r="E147" s="35" t="inlineStr">
        <is>
          <t>Property</t>
        </is>
      </c>
      <c r="F147" s="35" t="inlineStr">
        <is>
          <t>Swimming pool / public place licence</t>
        </is>
      </c>
      <c r="G147" s="35" t="inlineStr">
        <is>
          <t>ใบอนุญาตสถานที่สาธารณะ (สระว่ายน้ำ)</t>
        </is>
      </c>
      <c r="H147" s="34" t="inlineStr">
        <is>
          <t>Local authority (BMA / City Municipality)</t>
        </is>
      </c>
      <c r="I147" s="34" t="n"/>
      <c r="J147" s="36" t="n"/>
      <c r="K147" s="36" t="n"/>
      <c r="L147" s="34" t="inlineStr">
        <is>
          <t>Annual</t>
        </is>
      </c>
      <c r="M147" s="34" t="n">
        <v>60</v>
      </c>
      <c r="N147" s="36">
        <f>IF(K147="","",K147-IF(M147="",0,M147))</f>
        <v/>
      </c>
      <c r="O147" s="37">
        <f>IF(K147="","",K147-TODAY())</f>
        <v/>
      </c>
      <c r="P147" s="10">
        <f>IF(F147="","",IF(K147="","No date",IF(O147&lt;0,"Expired",IF(O147&lt;=30,"Urgent",IF(O147&lt;=90,"Due soon","OK")))))</f>
        <v/>
      </c>
      <c r="Q147" s="34" t="n"/>
      <c r="R147" s="38" t="n"/>
      <c r="S147" s="34" t="n"/>
      <c r="T147" s="35" t="n"/>
      <c r="U147" s="34" t="n"/>
      <c r="V147" s="34">
        <f>IF(F147="","",IF(K147="","",O147+ROW()/100000))</f>
        <v/>
      </c>
    </row>
    <row r="148">
      <c r="A148" s="10">
        <f>IF(F148="","",COUNTA($F$5:F148))</f>
        <v/>
      </c>
      <c r="B148" s="34" t="inlineStr">
        <is>
          <t>LYF</t>
        </is>
      </c>
      <c r="C148" s="34" t="inlineStr">
        <is>
          <t>AMH Sukhumvit 8 Co., Ltd.</t>
        </is>
      </c>
      <c r="D148" s="34" t="inlineStr">
        <is>
          <t>Licence</t>
        </is>
      </c>
      <c r="E148" s="35" t="inlineStr">
        <is>
          <t>Property</t>
        </is>
      </c>
      <c r="F148" s="35" t="inlineStr">
        <is>
          <t>Radio / walkie-talkie frequency licence</t>
        </is>
      </c>
      <c r="G148" s="35" t="inlineStr">
        <is>
          <t>ใบอนุญาตวิทยุคมนาคม</t>
        </is>
      </c>
      <c r="H148" s="34" t="inlineStr">
        <is>
          <t>NBTC</t>
        </is>
      </c>
      <c r="I148" s="34" t="n"/>
      <c r="J148" s="36" t="n"/>
      <c r="K148" s="36" t="n"/>
      <c r="L148" s="34" t="inlineStr">
        <is>
          <t>Annual</t>
        </is>
      </c>
      <c r="M148" s="34" t="n">
        <v>60</v>
      </c>
      <c r="N148" s="36">
        <f>IF(K148="","",K148-IF(M148="",0,M148))</f>
        <v/>
      </c>
      <c r="O148" s="37">
        <f>IF(K148="","",K148-TODAY())</f>
        <v/>
      </c>
      <c r="P148" s="10">
        <f>IF(F148="","",IF(K148="","No date",IF(O148&lt;0,"Expired",IF(O148&lt;=30,"Urgent",IF(O148&lt;=90,"Due soon","OK")))))</f>
        <v/>
      </c>
      <c r="Q148" s="34" t="n"/>
      <c r="R148" s="38" t="n"/>
      <c r="S148" s="34" t="n"/>
      <c r="T148" s="35" t="n"/>
      <c r="U148" s="34" t="n"/>
      <c r="V148" s="34">
        <f>IF(F148="","",IF(K148="","",O148+ROW()/100000))</f>
        <v/>
      </c>
    </row>
    <row r="149">
      <c r="A149" s="10">
        <f>IF(F149="","",COUNTA($F$5:F149))</f>
        <v/>
      </c>
      <c r="B149" s="34" t="inlineStr">
        <is>
          <t>LYF</t>
        </is>
      </c>
      <c r="C149" s="34" t="inlineStr">
        <is>
          <t>AMH Sukhumvit 8 Co., Ltd.</t>
        </is>
      </c>
      <c r="D149" s="34" t="inlineStr">
        <is>
          <t>Licence</t>
        </is>
      </c>
      <c r="E149" s="35" t="inlineStr">
        <is>
          <t>Property</t>
        </is>
      </c>
      <c r="F149" s="35" t="inlineStr">
        <is>
          <t>Music / copyright public performance licence</t>
        </is>
      </c>
      <c r="G149" s="35" t="inlineStr">
        <is>
          <t>ใบอนุญาตเผยแพร่งานดนตรี (MCT / ลิขสิทธิ์)</t>
        </is>
      </c>
      <c r="H149" s="34" t="inlineStr">
        <is>
          <t>MCT / Phonorights / collecting societies</t>
        </is>
      </c>
      <c r="I149" s="34" t="n"/>
      <c r="J149" s="36" t="n"/>
      <c r="K149" s="36" t="n"/>
      <c r="L149" s="34" t="inlineStr">
        <is>
          <t>Annual</t>
        </is>
      </c>
      <c r="M149" s="34" t="n">
        <v>60</v>
      </c>
      <c r="N149" s="36">
        <f>IF(K149="","",K149-IF(M149="",0,M149))</f>
        <v/>
      </c>
      <c r="O149" s="37">
        <f>IF(K149="","",K149-TODAY())</f>
        <v/>
      </c>
      <c r="P149" s="10">
        <f>IF(F149="","",IF(K149="","No date",IF(O149&lt;0,"Expired",IF(O149&lt;=30,"Urgent",IF(O149&lt;=90,"Due soon","OK")))))</f>
        <v/>
      </c>
      <c r="Q149" s="34" t="n"/>
      <c r="R149" s="38" t="n"/>
      <c r="S149" s="34" t="n"/>
      <c r="T149" s="35" t="n"/>
      <c r="U149" s="34" t="n"/>
      <c r="V149" s="34">
        <f>IF(F149="","",IF(K149="","",O149+ROW()/100000))</f>
        <v/>
      </c>
    </row>
    <row r="150">
      <c r="A150" s="10">
        <f>IF(F150="","",COUNTA($F$5:F150))</f>
        <v/>
      </c>
      <c r="B150" s="34" t="inlineStr">
        <is>
          <t>LYF</t>
        </is>
      </c>
      <c r="C150" s="34" t="inlineStr">
        <is>
          <t>AMH Sukhumvit 8 Co., Ltd.</t>
        </is>
      </c>
      <c r="D150" s="34" t="inlineStr">
        <is>
          <t>Permit</t>
        </is>
      </c>
      <c r="E150" s="35" t="inlineStr">
        <is>
          <t>Property</t>
        </is>
      </c>
      <c r="F150" s="35" t="inlineStr">
        <is>
          <t>Waste / refuse disposal permit</t>
        </is>
      </c>
      <c r="G150" s="35" t="inlineStr">
        <is>
          <t>ใบอนุญาตกำจัดสิ่งปฏิกูลและมูลฝอย</t>
        </is>
      </c>
      <c r="H150" s="34" t="inlineStr">
        <is>
          <t>Local authority</t>
        </is>
      </c>
      <c r="I150" s="34" t="n"/>
      <c r="J150" s="36" t="n"/>
      <c r="K150" s="36" t="n"/>
      <c r="L150" s="34" t="inlineStr">
        <is>
          <t>Annual</t>
        </is>
      </c>
      <c r="M150" s="34" t="n">
        <v>60</v>
      </c>
      <c r="N150" s="36">
        <f>IF(K150="","",K150-IF(M150="",0,M150))</f>
        <v/>
      </c>
      <c r="O150" s="37">
        <f>IF(K150="","",K150-TODAY())</f>
        <v/>
      </c>
      <c r="P150" s="10">
        <f>IF(F150="","",IF(K150="","No date",IF(O150&lt;0,"Expired",IF(O150&lt;=30,"Urgent",IF(O150&lt;=90,"Due soon","OK")))))</f>
        <v/>
      </c>
      <c r="Q150" s="34" t="n"/>
      <c r="R150" s="38" t="n"/>
      <c r="S150" s="34" t="n"/>
      <c r="T150" s="35" t="n"/>
      <c r="U150" s="34" t="n"/>
      <c r="V150" s="34">
        <f>IF(F150="","",IF(K150="","",O150+ROW()/100000))</f>
        <v/>
      </c>
    </row>
    <row r="151">
      <c r="A151" s="10">
        <f>IF(F151="","",COUNTA($F$5:F151))</f>
        <v/>
      </c>
      <c r="B151" s="34" t="inlineStr">
        <is>
          <t>LYF</t>
        </is>
      </c>
      <c r="C151" s="34" t="inlineStr">
        <is>
          <t>AMH Sukhumvit 8 Co., Ltd.</t>
        </is>
      </c>
      <c r="D151" s="34" t="inlineStr">
        <is>
          <t>Permit</t>
        </is>
      </c>
      <c r="E151" s="35" t="inlineStr">
        <is>
          <t>Property</t>
        </is>
      </c>
      <c r="F151" s="35" t="inlineStr">
        <is>
          <t>Work permits / visas — foreign staff</t>
        </is>
      </c>
      <c r="G151" s="35" t="inlineStr">
        <is>
          <t>ใบอนุญาตทำงาน / วีซ่าพนักงานต่างชาติ</t>
        </is>
      </c>
      <c r="H151" s="34" t="inlineStr">
        <is>
          <t>Dept. of Employment / Immigration</t>
        </is>
      </c>
      <c r="I151" s="34" t="n"/>
      <c r="J151" s="36" t="n"/>
      <c r="K151" s="36" t="n"/>
      <c r="L151" s="34" t="inlineStr">
        <is>
          <t>Annual</t>
        </is>
      </c>
      <c r="M151" s="34" t="n">
        <v>60</v>
      </c>
      <c r="N151" s="36">
        <f>IF(K151="","",K151-IF(M151="",0,M151))</f>
        <v/>
      </c>
      <c r="O151" s="37">
        <f>IF(K151="","",K151-TODAY())</f>
        <v/>
      </c>
      <c r="P151" s="10">
        <f>IF(F151="","",IF(K151="","No date",IF(O151&lt;0,"Expired",IF(O151&lt;=30,"Urgent",IF(O151&lt;=90,"Due soon","OK")))))</f>
        <v/>
      </c>
      <c r="Q151" s="34" t="n"/>
      <c r="R151" s="38" t="n"/>
      <c r="S151" s="34" t="n"/>
      <c r="T151" s="35" t="n"/>
      <c r="U151" s="34" t="n"/>
      <c r="V151" s="34">
        <f>IF(F151="","",IF(K151="","",O151+ROW()/100000))</f>
        <v/>
      </c>
    </row>
    <row r="152">
      <c r="A152" s="10">
        <f>IF(F152="","",COUNTA($F$5:F152))</f>
        <v/>
      </c>
      <c r="B152" s="34" t="inlineStr">
        <is>
          <t>LYF</t>
        </is>
      </c>
      <c r="C152" s="34" t="inlineStr">
        <is>
          <t>AMH Sukhumvit 8 Co., Ltd.</t>
        </is>
      </c>
      <c r="D152" s="34" t="inlineStr">
        <is>
          <t>Certificate</t>
        </is>
      </c>
      <c r="E152" s="35" t="inlineStr">
        <is>
          <t>Property</t>
        </is>
      </c>
      <c r="F152" s="35" t="inlineStr">
        <is>
          <t>Swimming pool water quality test</t>
        </is>
      </c>
      <c r="G152" s="35" t="inlineStr">
        <is>
          <t>ผลตรวจคุณภาพน้ำสระว่ายน้ำ</t>
        </is>
      </c>
      <c r="H152" s="34" t="inlineStr">
        <is>
          <t>Accredited laboratory</t>
        </is>
      </c>
      <c r="I152" s="34" t="n"/>
      <c r="J152" s="36" t="n"/>
      <c r="K152" s="36" t="n"/>
      <c r="L152" s="34" t="inlineStr">
        <is>
          <t>Other</t>
        </is>
      </c>
      <c r="M152" s="34" t="n">
        <v>60</v>
      </c>
      <c r="N152" s="36">
        <f>IF(K152="","",K152-IF(M152="",0,M152))</f>
        <v/>
      </c>
      <c r="O152" s="37">
        <f>IF(K152="","",K152-TODAY())</f>
        <v/>
      </c>
      <c r="P152" s="10">
        <f>IF(F152="","",IF(K152="","No date",IF(O152&lt;0,"Expired",IF(O152&lt;=30,"Urgent",IF(O152&lt;=90,"Due soon","OK")))))</f>
        <v/>
      </c>
      <c r="Q152" s="34" t="n"/>
      <c r="R152" s="38" t="n"/>
      <c r="S152" s="34" t="n"/>
      <c r="T152" s="35" t="n"/>
      <c r="U152" s="34" t="n"/>
      <c r="V152" s="34">
        <f>IF(F152="","",IF(K152="","",O152+ROW()/100000))</f>
        <v/>
      </c>
    </row>
    <row r="153">
      <c r="A153" s="10">
        <f>IF(F153="","",COUNTA($F$5:F153))</f>
        <v/>
      </c>
      <c r="B153" s="34" t="inlineStr">
        <is>
          <t>LYF</t>
        </is>
      </c>
      <c r="C153" s="34" t="inlineStr">
        <is>
          <t>AMH Sukhumvit 8 Co., Ltd.</t>
        </is>
      </c>
      <c r="D153" s="34" t="inlineStr">
        <is>
          <t>Certificate</t>
        </is>
      </c>
      <c r="E153" s="35" t="inlineStr">
        <is>
          <t>Property</t>
        </is>
      </c>
      <c r="F153" s="35" t="inlineStr">
        <is>
          <t>Drinking / potable water quality test</t>
        </is>
      </c>
      <c r="G153" s="35" t="inlineStr">
        <is>
          <t>ผลตรวจคุณภาพน้ำดื่ม</t>
        </is>
      </c>
      <c r="H153" s="34" t="inlineStr">
        <is>
          <t>Accredited laboratory</t>
        </is>
      </c>
      <c r="I153" s="34" t="n"/>
      <c r="J153" s="36" t="n"/>
      <c r="K153" s="36" t="n"/>
      <c r="L153" s="34" t="inlineStr">
        <is>
          <t>Annual</t>
        </is>
      </c>
      <c r="M153" s="34" t="n">
        <v>60</v>
      </c>
      <c r="N153" s="36">
        <f>IF(K153="","",K153-IF(M153="",0,M153))</f>
        <v/>
      </c>
      <c r="O153" s="37">
        <f>IF(K153="","",K153-TODAY())</f>
        <v/>
      </c>
      <c r="P153" s="10">
        <f>IF(F153="","",IF(K153="","No date",IF(O153&lt;0,"Expired",IF(O153&lt;=30,"Urgent",IF(O153&lt;=90,"Due soon","OK")))))</f>
        <v/>
      </c>
      <c r="Q153" s="34" t="n"/>
      <c r="R153" s="38" t="n"/>
      <c r="S153" s="34" t="n"/>
      <c r="T153" s="35" t="n"/>
      <c r="U153" s="34" t="n"/>
      <c r="V153" s="34">
        <f>IF(F153="","",IF(K153="","",O153+ROW()/100000))</f>
        <v/>
      </c>
    </row>
    <row r="154">
      <c r="A154" s="10">
        <f>IF(F154="","",COUNTA($F$5:F154))</f>
        <v/>
      </c>
      <c r="B154" s="34" t="inlineStr">
        <is>
          <t>LYF</t>
        </is>
      </c>
      <c r="C154" s="34" t="inlineStr">
        <is>
          <t>AMH Sukhumvit 8 Co., Ltd.</t>
        </is>
      </c>
      <c r="D154" s="34" t="inlineStr">
        <is>
          <t>Certificate</t>
        </is>
      </c>
      <c r="E154" s="35" t="inlineStr">
        <is>
          <t>Property</t>
        </is>
      </c>
      <c r="F154" s="35" t="inlineStr">
        <is>
          <t>Wastewater treatment monitoring report</t>
        </is>
      </c>
      <c r="G154" s="35" t="inlineStr">
        <is>
          <t>รายงานผลการตรวจวัดคุณภาพน้ำทิ้ง</t>
        </is>
      </c>
      <c r="H154" s="34" t="inlineStr">
        <is>
          <t>Dept. of Pollution Control / local authority</t>
        </is>
      </c>
      <c r="I154" s="34" t="n"/>
      <c r="J154" s="36" t="n"/>
      <c r="K154" s="36" t="n"/>
      <c r="L154" s="34" t="inlineStr">
        <is>
          <t>Other</t>
        </is>
      </c>
      <c r="M154" s="34" t="n">
        <v>60</v>
      </c>
      <c r="N154" s="36">
        <f>IF(K154="","",K154-IF(M154="",0,M154))</f>
        <v/>
      </c>
      <c r="O154" s="37">
        <f>IF(K154="","",K154-TODAY())</f>
        <v/>
      </c>
      <c r="P154" s="10">
        <f>IF(F154="","",IF(K154="","No date",IF(O154&lt;0,"Expired",IF(O154&lt;=30,"Urgent",IF(O154&lt;=90,"Due soon","OK")))))</f>
        <v/>
      </c>
      <c r="Q154" s="34" t="n"/>
      <c r="R154" s="38" t="n"/>
      <c r="S154" s="34" t="n"/>
      <c r="T154" s="35" t="n"/>
      <c r="U154" s="34" t="n"/>
      <c r="V154" s="34">
        <f>IF(F154="","",IF(K154="","",O154+ROW()/100000))</f>
        <v/>
      </c>
    </row>
    <row r="155">
      <c r="A155" s="10">
        <f>IF(F155="","",COUNTA($F$5:F155))</f>
        <v/>
      </c>
      <c r="B155" s="34" t="inlineStr">
        <is>
          <t>LYF</t>
        </is>
      </c>
      <c r="C155" s="34" t="inlineStr">
        <is>
          <t>AMH Sukhumvit 8 Co., Ltd.</t>
        </is>
      </c>
      <c r="D155" s="34" t="inlineStr">
        <is>
          <t>Certificate</t>
        </is>
      </c>
      <c r="E155" s="35" t="inlineStr">
        <is>
          <t>Property</t>
        </is>
      </c>
      <c r="F155" s="35" t="inlineStr">
        <is>
          <t>Food handler health certificates</t>
        </is>
      </c>
      <c r="G155" s="35" t="inlineStr">
        <is>
          <t>ใบรับรองสุขภาพผู้สัมผัสอาหาร</t>
        </is>
      </c>
      <c r="H155" s="34" t="inlineStr">
        <is>
          <t>Public health office</t>
        </is>
      </c>
      <c r="I155" s="34" t="n"/>
      <c r="J155" s="36" t="n"/>
      <c r="K155" s="36" t="n"/>
      <c r="L155" s="34" t="inlineStr">
        <is>
          <t>Annual</t>
        </is>
      </c>
      <c r="M155" s="34" t="n">
        <v>60</v>
      </c>
      <c r="N155" s="36">
        <f>IF(K155="","",K155-IF(M155="",0,M155))</f>
        <v/>
      </c>
      <c r="O155" s="37">
        <f>IF(K155="","",K155-TODAY())</f>
        <v/>
      </c>
      <c r="P155" s="10">
        <f>IF(F155="","",IF(K155="","No date",IF(O155&lt;0,"Expired",IF(O155&lt;=30,"Urgent",IF(O155&lt;=90,"Due soon","OK")))))</f>
        <v/>
      </c>
      <c r="Q155" s="34" t="n"/>
      <c r="R155" s="38" t="n"/>
      <c r="S155" s="34" t="n"/>
      <c r="T155" s="35" t="n"/>
      <c r="U155" s="34" t="n"/>
      <c r="V155" s="34">
        <f>IF(F155="","",IF(K155="","",O155+ROW()/100000))</f>
        <v/>
      </c>
    </row>
    <row r="156">
      <c r="A156" s="10">
        <f>IF(F156="","",COUNTA($F$5:F156))</f>
        <v/>
      </c>
      <c r="B156" s="34" t="inlineStr">
        <is>
          <t>LYF</t>
        </is>
      </c>
      <c r="C156" s="34" t="inlineStr">
        <is>
          <t>AMH Sukhumvit 8 Co., Ltd.</t>
        </is>
      </c>
      <c r="D156" s="34" t="inlineStr">
        <is>
          <t>Certificate</t>
        </is>
      </c>
      <c r="E156" s="35" t="inlineStr">
        <is>
          <t>Property</t>
        </is>
      </c>
      <c r="F156" s="35" t="inlineStr">
        <is>
          <t>Pest control service certificate</t>
        </is>
      </c>
      <c r="G156" s="35" t="inlineStr">
        <is>
          <t>ใบรับรองการกำจัดแมลงและสัตว์พาหะ</t>
        </is>
      </c>
      <c r="H156" s="34" t="inlineStr">
        <is>
          <t>Licensed contractor</t>
        </is>
      </c>
      <c r="I156" s="34" t="n"/>
      <c r="J156" s="36" t="n"/>
      <c r="K156" s="36" t="n"/>
      <c r="L156" s="34" t="inlineStr">
        <is>
          <t>Annual</t>
        </is>
      </c>
      <c r="M156" s="34" t="n">
        <v>60</v>
      </c>
      <c r="N156" s="36">
        <f>IF(K156="","",K156-IF(M156="",0,M156))</f>
        <v/>
      </c>
      <c r="O156" s="37">
        <f>IF(K156="","",K156-TODAY())</f>
        <v/>
      </c>
      <c r="P156" s="10">
        <f>IF(F156="","",IF(K156="","No date",IF(O156&lt;0,"Expired",IF(O156&lt;=30,"Urgent",IF(O156&lt;=90,"Due soon","OK")))))</f>
        <v/>
      </c>
      <c r="Q156" s="34" t="n"/>
      <c r="R156" s="38" t="n"/>
      <c r="S156" s="34" t="n"/>
      <c r="T156" s="35" t="n"/>
      <c r="U156" s="34" t="n"/>
      <c r="V156" s="34">
        <f>IF(F156="","",IF(K156="","",O156+ROW()/100000))</f>
        <v/>
      </c>
    </row>
    <row r="157">
      <c r="A157" s="10">
        <f>IF(F157="","",COUNTA($F$5:F157))</f>
        <v/>
      </c>
      <c r="B157" s="34" t="inlineStr">
        <is>
          <t>LYF</t>
        </is>
      </c>
      <c r="C157" s="34" t="inlineStr">
        <is>
          <t>AMH Sukhumvit 8 Co., Ltd.</t>
        </is>
      </c>
      <c r="D157" s="34" t="inlineStr">
        <is>
          <t>Insurance</t>
        </is>
      </c>
      <c r="E157" s="35" t="inlineStr">
        <is>
          <t>Property</t>
        </is>
      </c>
      <c r="F157" s="35" t="inlineStr">
        <is>
          <t>Hotel guest / hotel-act compulsory insurance</t>
        </is>
      </c>
      <c r="G157" s="35" t="inlineStr">
        <is>
          <t>ประกันภัยตาม พ.ร.บ. โรงแรม</t>
        </is>
      </c>
      <c r="H157" s="34" t="inlineStr">
        <is>
          <t>Insurer / broker</t>
        </is>
      </c>
      <c r="I157" s="34" t="n"/>
      <c r="J157" s="36" t="n"/>
      <c r="K157" s="36" t="n"/>
      <c r="L157" s="34" t="inlineStr">
        <is>
          <t>Annual</t>
        </is>
      </c>
      <c r="M157" s="34" t="n">
        <v>60</v>
      </c>
      <c r="N157" s="36">
        <f>IF(K157="","",K157-IF(M157="",0,M157))</f>
        <v/>
      </c>
      <c r="O157" s="37">
        <f>IF(K157="","",K157-TODAY())</f>
        <v/>
      </c>
      <c r="P157" s="10">
        <f>IF(F157="","",IF(K157="","No date",IF(O157&lt;0,"Expired",IF(O157&lt;=30,"Urgent",IF(O157&lt;=90,"Due soon","OK")))))</f>
        <v/>
      </c>
      <c r="Q157" s="34" t="n"/>
      <c r="R157" s="38" t="n"/>
      <c r="S157" s="34" t="n"/>
      <c r="T157" s="35" t="n"/>
      <c r="U157" s="34" t="n"/>
      <c r="V157" s="34">
        <f>IF(F157="","",IF(K157="","",O157+ROW()/100000))</f>
        <v/>
      </c>
    </row>
    <row r="158">
      <c r="A158" s="10">
        <f>IF(F158="","",COUNTA($F$5:F158))</f>
        <v/>
      </c>
      <c r="B158" s="34" t="inlineStr">
        <is>
          <t>LYF</t>
        </is>
      </c>
      <c r="C158" s="34" t="inlineStr">
        <is>
          <t>AMH Sukhumvit 8 Co., Ltd.</t>
        </is>
      </c>
      <c r="D158" s="34" t="inlineStr">
        <is>
          <t>Contract - OTA</t>
        </is>
      </c>
      <c r="E158" s="35" t="inlineStr">
        <is>
          <t>Property</t>
        </is>
      </c>
      <c r="F158" s="35" t="inlineStr">
        <is>
          <t>Booking.com accommodation agreement</t>
        </is>
      </c>
      <c r="G158" s="35" t="inlineStr">
        <is>
          <t>สัญญากับ Booking.com</t>
        </is>
      </c>
      <c r="H158" s="34" t="inlineStr">
        <is>
          <t>Booking.com B.V.</t>
        </is>
      </c>
      <c r="I158" s="34" t="n"/>
      <c r="J158" s="36" t="n"/>
      <c r="K158" s="36" t="n"/>
      <c r="L158" s="34" t="inlineStr">
        <is>
          <t>Rolling / evergreen</t>
        </is>
      </c>
      <c r="M158" s="34" t="n">
        <v>60</v>
      </c>
      <c r="N158" s="36">
        <f>IF(K158="","",K158-IF(M158="",0,M158))</f>
        <v/>
      </c>
      <c r="O158" s="37">
        <f>IF(K158="","",K158-TODAY())</f>
        <v/>
      </c>
      <c r="P158" s="10">
        <f>IF(F158="","",IF(K158="","No date",IF(O158&lt;0,"Expired",IF(O158&lt;=30,"Urgent",IF(O158&lt;=90,"Due soon","OK")))))</f>
        <v/>
      </c>
      <c r="Q158" s="34" t="n"/>
      <c r="R158" s="38" t="n"/>
      <c r="S158" s="34" t="n"/>
      <c r="T158" s="35" t="n"/>
      <c r="U158" s="34" t="n"/>
      <c r="V158" s="34">
        <f>IF(F158="","",IF(K158="","",O158+ROW()/100000))</f>
        <v/>
      </c>
    </row>
    <row r="159">
      <c r="A159" s="10">
        <f>IF(F159="","",COUNTA($F$5:F159))</f>
        <v/>
      </c>
      <c r="B159" s="34" t="inlineStr">
        <is>
          <t>LYF</t>
        </is>
      </c>
      <c r="C159" s="34" t="inlineStr">
        <is>
          <t>AMH Sukhumvit 8 Co., Ltd.</t>
        </is>
      </c>
      <c r="D159" s="34" t="inlineStr">
        <is>
          <t>Contract - OTA</t>
        </is>
      </c>
      <c r="E159" s="35" t="inlineStr">
        <is>
          <t>Property</t>
        </is>
      </c>
      <c r="F159" s="35" t="inlineStr">
        <is>
          <t>Expedia lodging agreement</t>
        </is>
      </c>
      <c r="G159" s="35" t="inlineStr">
        <is>
          <t>สัญญากับ Expedia</t>
        </is>
      </c>
      <c r="H159" s="34" t="inlineStr">
        <is>
          <t>Travelscape LLC / Expedia (Thailand) Co., Ltd.</t>
        </is>
      </c>
      <c r="I159" s="34" t="n"/>
      <c r="J159" s="36" t="n"/>
      <c r="K159" s="36" t="n"/>
      <c r="L159" s="34" t="inlineStr">
        <is>
          <t>Rolling / evergreen</t>
        </is>
      </c>
      <c r="M159" s="34" t="n">
        <v>60</v>
      </c>
      <c r="N159" s="36">
        <f>IF(K159="","",K159-IF(M159="",0,M159))</f>
        <v/>
      </c>
      <c r="O159" s="37">
        <f>IF(K159="","",K159-TODAY())</f>
        <v/>
      </c>
      <c r="P159" s="10">
        <f>IF(F159="","",IF(K159="","No date",IF(O159&lt;0,"Expired",IF(O159&lt;=30,"Urgent",IF(O159&lt;=90,"Due soon","OK")))))</f>
        <v/>
      </c>
      <c r="Q159" s="34" t="n"/>
      <c r="R159" s="38" t="n"/>
      <c r="S159" s="34" t="n"/>
      <c r="T159" s="35" t="n"/>
      <c r="U159" s="34" t="n"/>
      <c r="V159" s="34">
        <f>IF(F159="","",IF(K159="","",O159+ROW()/100000))</f>
        <v/>
      </c>
    </row>
    <row r="160">
      <c r="A160" s="10">
        <f>IF(F160="","",COUNTA($F$5:F160))</f>
        <v/>
      </c>
      <c r="B160" s="34" t="inlineStr">
        <is>
          <t>LYF</t>
        </is>
      </c>
      <c r="C160" s="34" t="inlineStr">
        <is>
          <t>AMH Sukhumvit 8 Co., Ltd.</t>
        </is>
      </c>
      <c r="D160" s="34" t="inlineStr">
        <is>
          <t>Contract - OTA</t>
        </is>
      </c>
      <c r="E160" s="35" t="inlineStr">
        <is>
          <t>Property</t>
        </is>
      </c>
      <c r="F160" s="35" t="inlineStr">
        <is>
          <t>Agoda accommodation agreement</t>
        </is>
      </c>
      <c r="G160" s="35" t="inlineStr">
        <is>
          <t>สัญญากับ Agoda</t>
        </is>
      </c>
      <c r="H160" s="34" t="inlineStr">
        <is>
          <t>Agoda Company Pte. Ltd.</t>
        </is>
      </c>
      <c r="I160" s="34" t="n"/>
      <c r="J160" s="36" t="n"/>
      <c r="K160" s="36" t="n"/>
      <c r="L160" s="34" t="inlineStr">
        <is>
          <t>Rolling / evergreen</t>
        </is>
      </c>
      <c r="M160" s="34" t="n">
        <v>60</v>
      </c>
      <c r="N160" s="36">
        <f>IF(K160="","",K160-IF(M160="",0,M160))</f>
        <v/>
      </c>
      <c r="O160" s="37">
        <f>IF(K160="","",K160-TODAY())</f>
        <v/>
      </c>
      <c r="P160" s="10">
        <f>IF(F160="","",IF(K160="","No date",IF(O160&lt;0,"Expired",IF(O160&lt;=30,"Urgent",IF(O160&lt;=90,"Due soon","OK")))))</f>
        <v/>
      </c>
      <c r="Q160" s="34" t="n"/>
      <c r="R160" s="38" t="n"/>
      <c r="S160" s="34" t="n"/>
      <c r="T160" s="35" t="n"/>
      <c r="U160" s="34" t="n"/>
      <c r="V160" s="34">
        <f>IF(F160="","",IF(K160="","",O160+ROW()/100000))</f>
        <v/>
      </c>
    </row>
    <row r="161">
      <c r="A161" s="10">
        <f>IF(F161="","",COUNTA($F$5:F161))</f>
        <v/>
      </c>
      <c r="B161" s="34" t="inlineStr">
        <is>
          <t>LYF</t>
        </is>
      </c>
      <c r="C161" s="34" t="inlineStr">
        <is>
          <t>AMH Sukhumvit 8 Co., Ltd.</t>
        </is>
      </c>
      <c r="D161" s="34" t="inlineStr">
        <is>
          <t>Contract - OTA</t>
        </is>
      </c>
      <c r="E161" s="35" t="inlineStr">
        <is>
          <t>Property</t>
        </is>
      </c>
      <c r="F161" s="35" t="inlineStr">
        <is>
          <t>DayUse day-booking agreement</t>
        </is>
      </c>
      <c r="G161" s="35" t="inlineStr">
        <is>
          <t>สัญญากับ DayUse</t>
        </is>
      </c>
      <c r="H161" s="34" t="inlineStr">
        <is>
          <t>DayUse Hong Kong Ltd.</t>
        </is>
      </c>
      <c r="I161" s="34" t="n"/>
      <c r="J161" s="36" t="n"/>
      <c r="K161" s="36" t="n"/>
      <c r="L161" s="34" t="inlineStr">
        <is>
          <t>Rolling / evergreen</t>
        </is>
      </c>
      <c r="M161" s="34" t="n">
        <v>60</v>
      </c>
      <c r="N161" s="36">
        <f>IF(K161="","",K161-IF(M161="",0,M161))</f>
        <v/>
      </c>
      <c r="O161" s="37">
        <f>IF(K161="","",K161-TODAY())</f>
        <v/>
      </c>
      <c r="P161" s="10">
        <f>IF(F161="","",IF(K161="","No date",IF(O161&lt;0,"Expired",IF(O161&lt;=30,"Urgent",IF(O161&lt;=90,"Due soon","OK")))))</f>
        <v/>
      </c>
      <c r="Q161" s="34" t="n"/>
      <c r="R161" s="38" t="n"/>
      <c r="S161" s="34" t="n"/>
      <c r="T161" s="35" t="n"/>
      <c r="U161" s="34" t="n"/>
      <c r="V161" s="34">
        <f>IF(F161="","",IF(K161="","",O161+ROW()/100000))</f>
        <v/>
      </c>
    </row>
    <row r="162">
      <c r="A162" s="10">
        <f>IF(F162="","",COUNTA($F$5:F162))</f>
        <v/>
      </c>
      <c r="B162" s="34" t="inlineStr">
        <is>
          <t>LYF</t>
        </is>
      </c>
      <c r="C162" s="34" t="inlineStr">
        <is>
          <t>AMH Sukhumvit 8 Co., Ltd.</t>
        </is>
      </c>
      <c r="D162" s="34" t="inlineStr">
        <is>
          <t>Contract - Service</t>
        </is>
      </c>
      <c r="E162" s="35" t="inlineStr">
        <is>
          <t>Property</t>
        </is>
      </c>
      <c r="F162" s="35" t="inlineStr">
        <is>
          <t>Laundry &amp; linen services</t>
        </is>
      </c>
      <c r="G162" s="35" t="inlineStr">
        <is>
          <t>สัญญาบริการซักรีด</t>
        </is>
      </c>
      <c r="H162" s="34" t="n"/>
      <c r="I162" s="34" t="n"/>
      <c r="J162" s="36" t="n"/>
      <c r="K162" s="36" t="n"/>
      <c r="L162" s="34" t="inlineStr">
        <is>
          <t>Annual</t>
        </is>
      </c>
      <c r="M162" s="34" t="n">
        <v>60</v>
      </c>
      <c r="N162" s="36">
        <f>IF(K162="","",K162-IF(M162="",0,M162))</f>
        <v/>
      </c>
      <c r="O162" s="37">
        <f>IF(K162="","",K162-TODAY())</f>
        <v/>
      </c>
      <c r="P162" s="10">
        <f>IF(F162="","",IF(K162="","No date",IF(O162&lt;0,"Expired",IF(O162&lt;=30,"Urgent",IF(O162&lt;=90,"Due soon","OK")))))</f>
        <v/>
      </c>
      <c r="Q162" s="34" t="n"/>
      <c r="R162" s="38" t="n"/>
      <c r="S162" s="34" t="n"/>
      <c r="T162" s="35" t="n"/>
      <c r="U162" s="34" t="n"/>
      <c r="V162" s="34">
        <f>IF(F162="","",IF(K162="","",O162+ROW()/100000))</f>
        <v/>
      </c>
    </row>
    <row r="163">
      <c r="A163" s="10">
        <f>IF(F163="","",COUNTA($F$5:F163))</f>
        <v/>
      </c>
      <c r="B163" s="34" t="inlineStr">
        <is>
          <t>LYF</t>
        </is>
      </c>
      <c r="C163" s="34" t="inlineStr">
        <is>
          <t>AMH Sukhumvit 8 Co., Ltd.</t>
        </is>
      </c>
      <c r="D163" s="34" t="inlineStr">
        <is>
          <t>Contract - Service</t>
        </is>
      </c>
      <c r="E163" s="35" t="inlineStr">
        <is>
          <t>Property</t>
        </is>
      </c>
      <c r="F163" s="35" t="inlineStr">
        <is>
          <t>F&amp;B outlet / catering operator</t>
        </is>
      </c>
      <c r="G163" s="35" t="inlineStr">
        <is>
          <t>สัญญาผู้ประกอบการอาหารและเครื่องดื่ม</t>
        </is>
      </c>
      <c r="H163" s="34" t="n"/>
      <c r="I163" s="34" t="n"/>
      <c r="J163" s="36" t="n"/>
      <c r="K163" s="36" t="n"/>
      <c r="L163" s="34" t="inlineStr">
        <is>
          <t>Annual</t>
        </is>
      </c>
      <c r="M163" s="34" t="n">
        <v>60</v>
      </c>
      <c r="N163" s="36">
        <f>IF(K163="","",K163-IF(M163="",0,M163))</f>
        <v/>
      </c>
      <c r="O163" s="37">
        <f>IF(K163="","",K163-TODAY())</f>
        <v/>
      </c>
      <c r="P163" s="10">
        <f>IF(F163="","",IF(K163="","No date",IF(O163&lt;0,"Expired",IF(O163&lt;=30,"Urgent",IF(O163&lt;=90,"Due soon","OK")))))</f>
        <v/>
      </c>
      <c r="Q163" s="34" t="n"/>
      <c r="R163" s="38" t="n"/>
      <c r="S163" s="34" t="n"/>
      <c r="T163" s="35" t="n"/>
      <c r="U163" s="34" t="n"/>
      <c r="V163" s="34">
        <f>IF(F163="","",IF(K163="","",O163+ROW()/100000))</f>
        <v/>
      </c>
    </row>
    <row r="164">
      <c r="A164" s="10">
        <f>IF(F164="","",COUNTA($F$5:F164))</f>
        <v/>
      </c>
      <c r="B164" s="34" t="inlineStr">
        <is>
          <t>LYF</t>
        </is>
      </c>
      <c r="C164" s="34" t="inlineStr">
        <is>
          <t>AMH Sukhumvit 8 Co., Ltd.</t>
        </is>
      </c>
      <c r="D164" s="34" t="inlineStr">
        <is>
          <t>Contract - Service</t>
        </is>
      </c>
      <c r="E164" s="35" t="inlineStr">
        <is>
          <t>Property</t>
        </is>
      </c>
      <c r="F164" s="35" t="inlineStr">
        <is>
          <t>Security services</t>
        </is>
      </c>
      <c r="G164" s="35" t="inlineStr">
        <is>
          <t>สัญญาบริการรักษาความปลอดภัย</t>
        </is>
      </c>
      <c r="H164" s="34" t="n"/>
      <c r="I164" s="34" t="n"/>
      <c r="J164" s="36" t="n"/>
      <c r="K164" s="36" t="n"/>
      <c r="L164" s="34" t="inlineStr">
        <is>
          <t>Annual</t>
        </is>
      </c>
      <c r="M164" s="34" t="n">
        <v>60</v>
      </c>
      <c r="N164" s="36">
        <f>IF(K164="","",K164-IF(M164="",0,M164))</f>
        <v/>
      </c>
      <c r="O164" s="37">
        <f>IF(K164="","",K164-TODAY())</f>
        <v/>
      </c>
      <c r="P164" s="10">
        <f>IF(F164="","",IF(K164="","No date",IF(O164&lt;0,"Expired",IF(O164&lt;=30,"Urgent",IF(O164&lt;=90,"Due soon","OK")))))</f>
        <v/>
      </c>
      <c r="Q164" s="34" t="n"/>
      <c r="R164" s="38" t="n"/>
      <c r="S164" s="34" t="n"/>
      <c r="T164" s="35" t="n"/>
      <c r="U164" s="34" t="n"/>
      <c r="V164" s="34">
        <f>IF(F164="","",IF(K164="","",O164+ROW()/100000))</f>
        <v/>
      </c>
    </row>
    <row r="165">
      <c r="A165" s="10">
        <f>IF(F165="","",COUNTA($F$5:F165))</f>
        <v/>
      </c>
      <c r="B165" s="34" t="inlineStr">
        <is>
          <t>LYF</t>
        </is>
      </c>
      <c r="C165" s="34" t="inlineStr">
        <is>
          <t>AMH Sukhumvit 8 Co., Ltd.</t>
        </is>
      </c>
      <c r="D165" s="34" t="inlineStr">
        <is>
          <t>Contract - Service</t>
        </is>
      </c>
      <c r="E165" s="35" t="inlineStr">
        <is>
          <t>Property</t>
        </is>
      </c>
      <c r="F165" s="35" t="inlineStr">
        <is>
          <t>Cleaning / housekeeping outsource</t>
        </is>
      </c>
      <c r="G165" s="35" t="inlineStr">
        <is>
          <t>สัญญาบริการทำความสะอาด</t>
        </is>
      </c>
      <c r="H165" s="34" t="n"/>
      <c r="I165" s="34" t="n"/>
      <c r="J165" s="36" t="n"/>
      <c r="K165" s="36" t="n"/>
      <c r="L165" s="34" t="inlineStr">
        <is>
          <t>Annual</t>
        </is>
      </c>
      <c r="M165" s="34" t="n">
        <v>60</v>
      </c>
      <c r="N165" s="36">
        <f>IF(K165="","",K165-IF(M165="",0,M165))</f>
        <v/>
      </c>
      <c r="O165" s="37">
        <f>IF(K165="","",K165-TODAY())</f>
        <v/>
      </c>
      <c r="P165" s="10">
        <f>IF(F165="","",IF(K165="","No date",IF(O165&lt;0,"Expired",IF(O165&lt;=30,"Urgent",IF(O165&lt;=90,"Due soon","OK")))))</f>
        <v/>
      </c>
      <c r="Q165" s="34" t="n"/>
      <c r="R165" s="38" t="n"/>
      <c r="S165" s="34" t="n"/>
      <c r="T165" s="35" t="n"/>
      <c r="U165" s="34" t="n"/>
      <c r="V165" s="34">
        <f>IF(F165="","",IF(K165="","",O165+ROW()/100000))</f>
        <v/>
      </c>
    </row>
    <row r="166">
      <c r="A166" s="10">
        <f>IF(F166="","",COUNTA($F$5:F166))</f>
        <v/>
      </c>
      <c r="B166" s="34" t="inlineStr">
        <is>
          <t>LYF</t>
        </is>
      </c>
      <c r="C166" s="34" t="inlineStr">
        <is>
          <t>AMH Sukhumvit 8 Co., Ltd.</t>
        </is>
      </c>
      <c r="D166" s="34" t="inlineStr">
        <is>
          <t>Contract - Service</t>
        </is>
      </c>
      <c r="E166" s="35" t="inlineStr">
        <is>
          <t>Property</t>
        </is>
      </c>
      <c r="F166" s="35" t="inlineStr">
        <is>
          <t>Pest control</t>
        </is>
      </c>
      <c r="G166" s="35" t="inlineStr">
        <is>
          <t>สัญญากำจัดแมลง</t>
        </is>
      </c>
      <c r="H166" s="34" t="n"/>
      <c r="I166" s="34" t="n"/>
      <c r="J166" s="36" t="n"/>
      <c r="K166" s="36" t="n"/>
      <c r="L166" s="34" t="inlineStr">
        <is>
          <t>Annual</t>
        </is>
      </c>
      <c r="M166" s="34" t="n">
        <v>60</v>
      </c>
      <c r="N166" s="36">
        <f>IF(K166="","",K166-IF(M166="",0,M166))</f>
        <v/>
      </c>
      <c r="O166" s="37">
        <f>IF(K166="","",K166-TODAY())</f>
        <v/>
      </c>
      <c r="P166" s="10">
        <f>IF(F166="","",IF(K166="","No date",IF(O166&lt;0,"Expired",IF(O166&lt;=30,"Urgent",IF(O166&lt;=90,"Due soon","OK")))))</f>
        <v/>
      </c>
      <c r="Q166" s="34" t="n"/>
      <c r="R166" s="38" t="n"/>
      <c r="S166" s="34" t="n"/>
      <c r="T166" s="35" t="n"/>
      <c r="U166" s="34" t="n"/>
      <c r="V166" s="34">
        <f>IF(F166="","",IF(K166="","",O166+ROW()/100000))</f>
        <v/>
      </c>
    </row>
    <row r="167">
      <c r="A167" s="10">
        <f>IF(F167="","",COUNTA($F$5:F167))</f>
        <v/>
      </c>
      <c r="B167" s="34" t="inlineStr">
        <is>
          <t>LYF</t>
        </is>
      </c>
      <c r="C167" s="34" t="inlineStr">
        <is>
          <t>AMH Sukhumvit 8 Co., Ltd.</t>
        </is>
      </c>
      <c r="D167" s="34" t="inlineStr">
        <is>
          <t>Contract - Service</t>
        </is>
      </c>
      <c r="E167" s="35" t="inlineStr">
        <is>
          <t>Property</t>
        </is>
      </c>
      <c r="F167" s="35" t="inlineStr">
        <is>
          <t>Landscaping / plant care</t>
        </is>
      </c>
      <c r="G167" s="35" t="inlineStr">
        <is>
          <t>สัญญาดูแลต้นไม้และภูมิทัศน์</t>
        </is>
      </c>
      <c r="H167" s="34" t="n"/>
      <c r="I167" s="34" t="n"/>
      <c r="J167" s="36" t="n"/>
      <c r="K167" s="36" t="n"/>
      <c r="L167" s="34" t="inlineStr">
        <is>
          <t>Annual</t>
        </is>
      </c>
      <c r="M167" s="34" t="n">
        <v>60</v>
      </c>
      <c r="N167" s="36">
        <f>IF(K167="","",K167-IF(M167="",0,M167))</f>
        <v/>
      </c>
      <c r="O167" s="37">
        <f>IF(K167="","",K167-TODAY())</f>
        <v/>
      </c>
      <c r="P167" s="10">
        <f>IF(F167="","",IF(K167="","No date",IF(O167&lt;0,"Expired",IF(O167&lt;=30,"Urgent",IF(O167&lt;=90,"Due soon","OK")))))</f>
        <v/>
      </c>
      <c r="Q167" s="34" t="n"/>
      <c r="R167" s="38" t="n"/>
      <c r="S167" s="34" t="n"/>
      <c r="T167" s="35" t="n"/>
      <c r="U167" s="34" t="n"/>
      <c r="V167" s="34">
        <f>IF(F167="","",IF(K167="","",O167+ROW()/100000))</f>
        <v/>
      </c>
    </row>
    <row r="168">
      <c r="A168" s="10">
        <f>IF(F168="","",COUNTA($F$5:F168))</f>
        <v/>
      </c>
      <c r="B168" s="34" t="inlineStr">
        <is>
          <t>LYF</t>
        </is>
      </c>
      <c r="C168" s="34" t="inlineStr">
        <is>
          <t>AMH Sukhumvit 8 Co., Ltd.</t>
        </is>
      </c>
      <c r="D168" s="34" t="inlineStr">
        <is>
          <t>Contract - Service</t>
        </is>
      </c>
      <c r="E168" s="35" t="inlineStr">
        <is>
          <t>Property</t>
        </is>
      </c>
      <c r="F168" s="35" t="inlineStr">
        <is>
          <t>Waste collection</t>
        </is>
      </c>
      <c r="G168" s="35" t="inlineStr">
        <is>
          <t>สัญญาเก็บขนขยะ</t>
        </is>
      </c>
      <c r="H168" s="34" t="n"/>
      <c r="I168" s="34" t="n"/>
      <c r="J168" s="36" t="n"/>
      <c r="K168" s="36" t="n"/>
      <c r="L168" s="34" t="inlineStr">
        <is>
          <t>Annual</t>
        </is>
      </c>
      <c r="M168" s="34" t="n">
        <v>60</v>
      </c>
      <c r="N168" s="36">
        <f>IF(K168="","",K168-IF(M168="",0,M168))</f>
        <v/>
      </c>
      <c r="O168" s="37">
        <f>IF(K168="","",K168-TODAY())</f>
        <v/>
      </c>
      <c r="P168" s="10">
        <f>IF(F168="","",IF(K168="","No date",IF(O168&lt;0,"Expired",IF(O168&lt;=30,"Urgent",IF(O168&lt;=90,"Due soon","OK")))))</f>
        <v/>
      </c>
      <c r="Q168" s="34" t="n"/>
      <c r="R168" s="38" t="n"/>
      <c r="S168" s="34" t="n"/>
      <c r="T168" s="35" t="n"/>
      <c r="U168" s="34" t="n"/>
      <c r="V168" s="34">
        <f>IF(F168="","",IF(K168="","",O168+ROW()/100000))</f>
        <v/>
      </c>
    </row>
    <row r="169">
      <c r="A169" s="10">
        <f>IF(F169="","",COUNTA($F$5:F169))</f>
        <v/>
      </c>
      <c r="B169" s="34" t="inlineStr">
        <is>
          <t>LYF</t>
        </is>
      </c>
      <c r="C169" s="34" t="inlineStr">
        <is>
          <t>AMH Sukhumvit 8 Co., Ltd.</t>
        </is>
      </c>
      <c r="D169" s="34" t="inlineStr">
        <is>
          <t>Contract - Service</t>
        </is>
      </c>
      <c r="E169" s="35" t="inlineStr">
        <is>
          <t>Property</t>
        </is>
      </c>
      <c r="F169" s="35" t="inlineStr">
        <is>
          <t>PMS / property management system licence</t>
        </is>
      </c>
      <c r="G169" s="35" t="inlineStr">
        <is>
          <t>สัญญาระบบบริหารโรงแรม (PMS)</t>
        </is>
      </c>
      <c r="H169" s="34" t="n"/>
      <c r="I169" s="34" t="n"/>
      <c r="J169" s="36" t="n"/>
      <c r="K169" s="36" t="n"/>
      <c r="L169" s="34" t="inlineStr">
        <is>
          <t>Annual</t>
        </is>
      </c>
      <c r="M169" s="34" t="n">
        <v>60</v>
      </c>
      <c r="N169" s="36">
        <f>IF(K169="","",K169-IF(M169="",0,M169))</f>
        <v/>
      </c>
      <c r="O169" s="37">
        <f>IF(K169="","",K169-TODAY())</f>
        <v/>
      </c>
      <c r="P169" s="10">
        <f>IF(F169="","",IF(K169="","No date",IF(O169&lt;0,"Expired",IF(O169&lt;=30,"Urgent",IF(O169&lt;=90,"Due soon","OK")))))</f>
        <v/>
      </c>
      <c r="Q169" s="34" t="n"/>
      <c r="R169" s="38" t="n"/>
      <c r="S169" s="34" t="n"/>
      <c r="T169" s="35" t="n"/>
      <c r="U169" s="34" t="n"/>
      <c r="V169" s="34">
        <f>IF(F169="","",IF(K169="","",O169+ROW()/100000))</f>
        <v/>
      </c>
    </row>
    <row r="170">
      <c r="A170" s="10">
        <f>IF(F170="","",COUNTA($F$5:F170))</f>
        <v/>
      </c>
      <c r="B170" s="34" t="inlineStr">
        <is>
          <t>LYF</t>
        </is>
      </c>
      <c r="C170" s="34" t="inlineStr">
        <is>
          <t>AMH Sukhumvit 8 Co., Ltd.</t>
        </is>
      </c>
      <c r="D170" s="34" t="inlineStr">
        <is>
          <t>Contract - Service</t>
        </is>
      </c>
      <c r="E170" s="35" t="inlineStr">
        <is>
          <t>Property</t>
        </is>
      </c>
      <c r="F170" s="35" t="inlineStr">
        <is>
          <t>Internet / IPTV / telephone</t>
        </is>
      </c>
      <c r="G170" s="35" t="inlineStr">
        <is>
          <t>สัญญาอินเทอร์เน็ต / IPTV / โทรศัพท์</t>
        </is>
      </c>
      <c r="H170" s="34" t="n"/>
      <c r="I170" s="34" t="n"/>
      <c r="J170" s="36" t="n"/>
      <c r="K170" s="36" t="n"/>
      <c r="L170" s="34" t="inlineStr">
        <is>
          <t>Annual</t>
        </is>
      </c>
      <c r="M170" s="34" t="n">
        <v>60</v>
      </c>
      <c r="N170" s="36">
        <f>IF(K170="","",K170-IF(M170="",0,M170))</f>
        <v/>
      </c>
      <c r="O170" s="37">
        <f>IF(K170="","",K170-TODAY())</f>
        <v/>
      </c>
      <c r="P170" s="10">
        <f>IF(F170="","",IF(K170="","No date",IF(O170&lt;0,"Expired",IF(O170&lt;=30,"Urgent",IF(O170&lt;=90,"Due soon","OK")))))</f>
        <v/>
      </c>
      <c r="Q170" s="34" t="n"/>
      <c r="R170" s="38" t="n"/>
      <c r="S170" s="34" t="n"/>
      <c r="T170" s="35" t="n"/>
      <c r="U170" s="34" t="n"/>
      <c r="V170" s="34">
        <f>IF(F170="","",IF(K170="","",O170+ROW()/100000))</f>
        <v/>
      </c>
    </row>
    <row r="171">
      <c r="A171" s="10">
        <f>IF(F171="","",COUNTA($F$5:F171))</f>
        <v/>
      </c>
      <c r="B171" s="34" t="inlineStr">
        <is>
          <t>LYF</t>
        </is>
      </c>
      <c r="C171" s="34" t="inlineStr">
        <is>
          <t>AMH Sukhumvit 8 Co., Ltd.</t>
        </is>
      </c>
      <c r="D171" s="34" t="inlineStr">
        <is>
          <t>Contract - Service</t>
        </is>
      </c>
      <c r="E171" s="35" t="inlineStr">
        <is>
          <t>Property</t>
        </is>
      </c>
      <c r="F171" s="35" t="inlineStr">
        <is>
          <t>Adria Scan document services</t>
        </is>
      </c>
      <c r="G171" s="35" t="inlineStr">
        <is>
          <t>สัญญาบริการ Adria Scan</t>
        </is>
      </c>
      <c r="H171" s="34" t="inlineStr">
        <is>
          <t>Adria Scan</t>
        </is>
      </c>
      <c r="I171" s="34" t="n"/>
      <c r="J171" s="36" t="n"/>
      <c r="K171" s="36" t="n"/>
      <c r="L171" s="34" t="inlineStr">
        <is>
          <t>Annual</t>
        </is>
      </c>
      <c r="M171" s="34" t="n">
        <v>60</v>
      </c>
      <c r="N171" s="36">
        <f>IF(K171="","",K171-IF(M171="",0,M171))</f>
        <v/>
      </c>
      <c r="O171" s="37">
        <f>IF(K171="","",K171-TODAY())</f>
        <v/>
      </c>
      <c r="P171" s="10">
        <f>IF(F171="","",IF(K171="","No date",IF(O171&lt;0,"Expired",IF(O171&lt;=30,"Urgent",IF(O171&lt;=90,"Due soon","OK")))))</f>
        <v/>
      </c>
      <c r="Q171" s="34" t="n"/>
      <c r="R171" s="38" t="n"/>
      <c r="S171" s="34" t="n"/>
      <c r="T171" s="35" t="n"/>
      <c r="U171" s="34" t="n"/>
      <c r="V171" s="34">
        <f>IF(F171="","",IF(K171="","",O171+ROW()/100000))</f>
        <v/>
      </c>
    </row>
    <row r="172">
      <c r="A172" s="10">
        <f>IF(F172="","",COUNTA($F$5:F172))</f>
        <v/>
      </c>
      <c r="B172" s="34" t="inlineStr">
        <is>
          <t>SP</t>
        </is>
      </c>
      <c r="C172" s="34" t="inlineStr">
        <is>
          <t>AMH Pattaya Co., Ltd.</t>
        </is>
      </c>
      <c r="D172" s="34" t="inlineStr">
        <is>
          <t>Licence</t>
        </is>
      </c>
      <c r="E172" s="35" t="inlineStr">
        <is>
          <t>Owner</t>
        </is>
      </c>
      <c r="F172" s="35" t="inlineStr">
        <is>
          <t>Hotel operating licence</t>
        </is>
      </c>
      <c r="G172" s="35" t="inlineStr">
        <is>
          <t>ใบอนุญาตประกอบธุรกิจโรงแรม</t>
        </is>
      </c>
      <c r="H172" s="34" t="inlineStr">
        <is>
          <t>Dept. of Provincial Administration / District Office</t>
        </is>
      </c>
      <c r="I172" s="34" t="n"/>
      <c r="J172" s="36" t="n"/>
      <c r="K172" s="36" t="n"/>
      <c r="L172" s="34" t="inlineStr">
        <is>
          <t>Every 5 years</t>
        </is>
      </c>
      <c r="M172" s="34" t="n">
        <v>60</v>
      </c>
      <c r="N172" s="36">
        <f>IF(K172="","",K172-IF(M172="",0,M172))</f>
        <v/>
      </c>
      <c r="O172" s="37">
        <f>IF(K172="","",K172-TODAY())</f>
        <v/>
      </c>
      <c r="P172" s="10">
        <f>IF(F172="","",IF(K172="","No date",IF(O172&lt;0,"Expired",IF(O172&lt;=30,"Urgent",IF(O172&lt;=90,"Due soon","OK")))))</f>
        <v/>
      </c>
      <c r="Q172" s="34" t="n"/>
      <c r="R172" s="38" t="n"/>
      <c r="S172" s="34" t="n"/>
      <c r="T172" s="35" t="n"/>
      <c r="U172" s="34" t="n"/>
      <c r="V172" s="34">
        <f>IF(F172="","",IF(K172="","",O172+ROW()/100000))</f>
        <v/>
      </c>
    </row>
    <row r="173">
      <c r="A173" s="10">
        <f>IF(F173="","",COUNTA($F$5:F173))</f>
        <v/>
      </c>
      <c r="B173" s="34" t="inlineStr">
        <is>
          <t>SP</t>
        </is>
      </c>
      <c r="C173" s="34" t="inlineStr">
        <is>
          <t>AMH Pattaya Co., Ltd.</t>
        </is>
      </c>
      <c r="D173" s="34" t="inlineStr">
        <is>
          <t>Permit</t>
        </is>
      </c>
      <c r="E173" s="35" t="inlineStr">
        <is>
          <t>Owner</t>
        </is>
      </c>
      <c r="F173" s="35" t="inlineStr">
        <is>
          <t>Building construction permit (อ.1)</t>
        </is>
      </c>
      <c r="G173" s="35" t="inlineStr">
        <is>
          <t>ใบอนุญาตก่อสร้างอาคาร (อ.1)</t>
        </is>
      </c>
      <c r="H173" s="34" t="inlineStr">
        <is>
          <t>Local authority (BMA / City Municipality)</t>
        </is>
      </c>
      <c r="I173" s="34" t="n"/>
      <c r="J173" s="36" t="n"/>
      <c r="K173" s="36" t="n"/>
      <c r="L173" s="34" t="inlineStr">
        <is>
          <t>One-off</t>
        </is>
      </c>
      <c r="M173" s="34" t="n">
        <v>60</v>
      </c>
      <c r="N173" s="36">
        <f>IF(K173="","",K173-IF(M173="",0,M173))</f>
        <v/>
      </c>
      <c r="O173" s="37">
        <f>IF(K173="","",K173-TODAY())</f>
        <v/>
      </c>
      <c r="P173" s="10">
        <f>IF(F173="","",IF(K173="","No date",IF(O173&lt;0,"Expired",IF(O173&lt;=30,"Urgent",IF(O173&lt;=90,"Due soon","OK")))))</f>
        <v/>
      </c>
      <c r="Q173" s="34" t="n"/>
      <c r="R173" s="38" t="n"/>
      <c r="S173" s="34" t="n"/>
      <c r="T173" s="35" t="n"/>
      <c r="U173" s="34" t="n"/>
      <c r="V173" s="34">
        <f>IF(F173="","",IF(K173="","",O173+ROW()/100000))</f>
        <v/>
      </c>
    </row>
    <row r="174">
      <c r="A174" s="10">
        <f>IF(F174="","",COUNTA($F$5:F174))</f>
        <v/>
      </c>
      <c r="B174" s="34" t="inlineStr">
        <is>
          <t>SP</t>
        </is>
      </c>
      <c r="C174" s="34" t="inlineStr">
        <is>
          <t>AMH Pattaya Co., Ltd.</t>
        </is>
      </c>
      <c r="D174" s="34" t="inlineStr">
        <is>
          <t>Certificate</t>
        </is>
      </c>
      <c r="E174" s="35" t="inlineStr">
        <is>
          <t>Owner</t>
        </is>
      </c>
      <c r="F174" s="35" t="inlineStr">
        <is>
          <t>Certificate of building use (อ.6)</t>
        </is>
      </c>
      <c r="G174" s="35" t="inlineStr">
        <is>
          <t>ใบรับรองการใช้อาคาร (อ.6)</t>
        </is>
      </c>
      <c r="H174" s="34" t="inlineStr">
        <is>
          <t>Local authority (BMA / City Municipality)</t>
        </is>
      </c>
      <c r="I174" s="34" t="n"/>
      <c r="J174" s="36" t="n"/>
      <c r="K174" s="36" t="n"/>
      <c r="L174" s="34" t="inlineStr">
        <is>
          <t>One-off</t>
        </is>
      </c>
      <c r="M174" s="34" t="n">
        <v>60</v>
      </c>
      <c r="N174" s="36">
        <f>IF(K174="","",K174-IF(M174="",0,M174))</f>
        <v/>
      </c>
      <c r="O174" s="37">
        <f>IF(K174="","",K174-TODAY())</f>
        <v/>
      </c>
      <c r="P174" s="10">
        <f>IF(F174="","",IF(K174="","No date",IF(O174&lt;0,"Expired",IF(O174&lt;=30,"Urgent",IF(O174&lt;=90,"Due soon","OK")))))</f>
        <v/>
      </c>
      <c r="Q174" s="34" t="n"/>
      <c r="R174" s="38" t="n"/>
      <c r="S174" s="34" t="n"/>
      <c r="T174" s="35" t="n"/>
      <c r="U174" s="34" t="n"/>
      <c r="V174" s="34">
        <f>IF(F174="","",IF(K174="","",O174+ROW()/100000))</f>
        <v/>
      </c>
    </row>
    <row r="175">
      <c r="A175" s="10">
        <f>IF(F175="","",COUNTA($F$5:F175))</f>
        <v/>
      </c>
      <c r="B175" s="34" t="inlineStr">
        <is>
          <t>SP</t>
        </is>
      </c>
      <c r="C175" s="34" t="inlineStr">
        <is>
          <t>AMH Pattaya Co., Ltd.</t>
        </is>
      </c>
      <c r="D175" s="34" t="inlineStr">
        <is>
          <t>Certificate</t>
        </is>
      </c>
      <c r="E175" s="35" t="inlineStr">
        <is>
          <t>Owner</t>
        </is>
      </c>
      <c r="F175" s="35" t="inlineStr">
        <is>
          <t>Annual building inspection report (ร.1)</t>
        </is>
      </c>
      <c r="G175" s="35" t="inlineStr">
        <is>
          <t>รายงานการตรวจสอบอาคารประจำปี (ร.1)</t>
        </is>
      </c>
      <c r="H175" s="34" t="inlineStr">
        <is>
          <t>Dept. of Public Works / local authority</t>
        </is>
      </c>
      <c r="I175" s="34" t="n"/>
      <c r="J175" s="36" t="n"/>
      <c r="K175" s="36" t="n"/>
      <c r="L175" s="34" t="inlineStr">
        <is>
          <t>Annual</t>
        </is>
      </c>
      <c r="M175" s="34" t="n">
        <v>60</v>
      </c>
      <c r="N175" s="36">
        <f>IF(K175="","",K175-IF(M175="",0,M175))</f>
        <v/>
      </c>
      <c r="O175" s="37">
        <f>IF(K175="","",K175-TODAY())</f>
        <v/>
      </c>
      <c r="P175" s="10">
        <f>IF(F175="","",IF(K175="","No date",IF(O175&lt;0,"Expired",IF(O175&lt;=30,"Urgent",IF(O175&lt;=90,"Due soon","OK")))))</f>
        <v/>
      </c>
      <c r="Q175" s="34" t="n"/>
      <c r="R175" s="38" t="n"/>
      <c r="S175" s="34" t="n"/>
      <c r="T175" s="35" t="n"/>
      <c r="U175" s="34" t="n"/>
      <c r="V175" s="34">
        <f>IF(F175="","",IF(K175="","",O175+ROW()/100000))</f>
        <v/>
      </c>
    </row>
    <row r="176">
      <c r="A176" s="10">
        <f>IF(F176="","",COUNTA($F$5:F176))</f>
        <v/>
      </c>
      <c r="B176" s="34" t="inlineStr">
        <is>
          <t>SP</t>
        </is>
      </c>
      <c r="C176" s="34" t="inlineStr">
        <is>
          <t>AMH Pattaya Co., Ltd.</t>
        </is>
      </c>
      <c r="D176" s="34" t="inlineStr">
        <is>
          <t>Certificate</t>
        </is>
      </c>
      <c r="E176" s="35" t="inlineStr">
        <is>
          <t>Owner</t>
        </is>
      </c>
      <c r="F176" s="35" t="inlineStr">
        <is>
          <t>Fire protection system inspection</t>
        </is>
      </c>
      <c r="G176" s="35" t="inlineStr">
        <is>
          <t>การตรวจสอบระบบป้องกันอัคคีภัย</t>
        </is>
      </c>
      <c r="H176" s="34" t="inlineStr">
        <is>
          <t>Licensed inspector</t>
        </is>
      </c>
      <c r="I176" s="34" t="n"/>
      <c r="J176" s="36" t="n"/>
      <c r="K176" s="36" t="n"/>
      <c r="L176" s="34" t="inlineStr">
        <is>
          <t>Annual</t>
        </is>
      </c>
      <c r="M176" s="34" t="n">
        <v>60</v>
      </c>
      <c r="N176" s="36">
        <f>IF(K176="","",K176-IF(M176="",0,M176))</f>
        <v/>
      </c>
      <c r="O176" s="37">
        <f>IF(K176="","",K176-TODAY())</f>
        <v/>
      </c>
      <c r="P176" s="10">
        <f>IF(F176="","",IF(K176="","No date",IF(O176&lt;0,"Expired",IF(O176&lt;=30,"Urgent",IF(O176&lt;=90,"Due soon","OK")))))</f>
        <v/>
      </c>
      <c r="Q176" s="34" t="n"/>
      <c r="R176" s="38" t="n"/>
      <c r="S176" s="34" t="n"/>
      <c r="T176" s="35" t="n"/>
      <c r="U176" s="34" t="n"/>
      <c r="V176" s="34">
        <f>IF(F176="","",IF(K176="","",O176+ROW()/100000))</f>
        <v/>
      </c>
    </row>
    <row r="177">
      <c r="A177" s="10">
        <f>IF(F177="","",COUNTA($F$5:F177))</f>
        <v/>
      </c>
      <c r="B177" s="34" t="inlineStr">
        <is>
          <t>SP</t>
        </is>
      </c>
      <c r="C177" s="34" t="inlineStr">
        <is>
          <t>AMH Pattaya Co., Ltd.</t>
        </is>
      </c>
      <c r="D177" s="34" t="inlineStr">
        <is>
          <t>Certificate</t>
        </is>
      </c>
      <c r="E177" s="35" t="inlineStr">
        <is>
          <t>Owner</t>
        </is>
      </c>
      <c r="F177" s="35" t="inlineStr">
        <is>
          <t>Lift / elevator inspection certificate</t>
        </is>
      </c>
      <c r="G177" s="35" t="inlineStr">
        <is>
          <t>ใบรับรองการตรวจสอบลิฟต์</t>
        </is>
      </c>
      <c r="H177" s="34" t="inlineStr">
        <is>
          <t>Licensed engineer</t>
        </is>
      </c>
      <c r="I177" s="34" t="n"/>
      <c r="J177" s="36" t="n"/>
      <c r="K177" s="36" t="n"/>
      <c r="L177" s="34" t="inlineStr">
        <is>
          <t>Annual</t>
        </is>
      </c>
      <c r="M177" s="34" t="n">
        <v>60</v>
      </c>
      <c r="N177" s="36">
        <f>IF(K177="","",K177-IF(M177="",0,M177))</f>
        <v/>
      </c>
      <c r="O177" s="37">
        <f>IF(K177="","",K177-TODAY())</f>
        <v/>
      </c>
      <c r="P177" s="10">
        <f>IF(F177="","",IF(K177="","No date",IF(O177&lt;0,"Expired",IF(O177&lt;=30,"Urgent",IF(O177&lt;=90,"Due soon","OK")))))</f>
        <v/>
      </c>
      <c r="Q177" s="34" t="n"/>
      <c r="R177" s="38" t="n"/>
      <c r="S177" s="34" t="n"/>
      <c r="T177" s="35" t="n"/>
      <c r="U177" s="34" t="n"/>
      <c r="V177" s="34">
        <f>IF(F177="","",IF(K177="","",O177+ROW()/100000))</f>
        <v/>
      </c>
    </row>
    <row r="178">
      <c r="A178" s="10">
        <f>IF(F178="","",COUNTA($F$5:F178))</f>
        <v/>
      </c>
      <c r="B178" s="34" t="inlineStr">
        <is>
          <t>SP</t>
        </is>
      </c>
      <c r="C178" s="34" t="inlineStr">
        <is>
          <t>AMH Pattaya Co., Ltd.</t>
        </is>
      </c>
      <c r="D178" s="34" t="inlineStr">
        <is>
          <t>Certificate</t>
        </is>
      </c>
      <c r="E178" s="35" t="inlineStr">
        <is>
          <t>Owner</t>
        </is>
      </c>
      <c r="F178" s="35" t="inlineStr">
        <is>
          <t>Electrical system inspection</t>
        </is>
      </c>
      <c r="G178" s="35" t="inlineStr">
        <is>
          <t>การตรวจสอบระบบไฟฟ้า</t>
        </is>
      </c>
      <c r="H178" s="34" t="inlineStr">
        <is>
          <t>Licensed engineer</t>
        </is>
      </c>
      <c r="I178" s="34" t="n"/>
      <c r="J178" s="36" t="n"/>
      <c r="K178" s="36" t="n"/>
      <c r="L178" s="34" t="inlineStr">
        <is>
          <t>Annual</t>
        </is>
      </c>
      <c r="M178" s="34" t="n">
        <v>60</v>
      </c>
      <c r="N178" s="36">
        <f>IF(K178="","",K178-IF(M178="",0,M178))</f>
        <v/>
      </c>
      <c r="O178" s="37">
        <f>IF(K178="","",K178-TODAY())</f>
        <v/>
      </c>
      <c r="P178" s="10">
        <f>IF(F178="","",IF(K178="","No date",IF(O178&lt;0,"Expired",IF(O178&lt;=30,"Urgent",IF(O178&lt;=90,"Due soon","OK")))))</f>
        <v/>
      </c>
      <c r="Q178" s="34" t="n"/>
      <c r="R178" s="38" t="n"/>
      <c r="S178" s="34" t="n"/>
      <c r="T178" s="35" t="n"/>
      <c r="U178" s="34" t="n"/>
      <c r="V178" s="34">
        <f>IF(F178="","",IF(K178="","",O178+ROW()/100000))</f>
        <v/>
      </c>
    </row>
    <row r="179">
      <c r="A179" s="10">
        <f>IF(F179="","",COUNTA($F$5:F179))</f>
        <v/>
      </c>
      <c r="B179" s="34" t="inlineStr">
        <is>
          <t>SP</t>
        </is>
      </c>
      <c r="C179" s="34" t="inlineStr">
        <is>
          <t>AMH Pattaya Co., Ltd.</t>
        </is>
      </c>
      <c r="D179" s="34" t="inlineStr">
        <is>
          <t>Certificate</t>
        </is>
      </c>
      <c r="E179" s="35" t="inlineStr">
        <is>
          <t>Owner</t>
        </is>
      </c>
      <c r="F179" s="35" t="inlineStr">
        <is>
          <t>Generator / fuel storage permit</t>
        </is>
      </c>
      <c r="G179" s="35" t="inlineStr">
        <is>
          <t>ใบอนุญาตเครื่องกำเนิดไฟฟ้า / เก็บน้ำมันเชื้อเพลิง</t>
        </is>
      </c>
      <c r="H179" s="34" t="inlineStr">
        <is>
          <t>Dept. of Energy Business / local authority</t>
        </is>
      </c>
      <c r="I179" s="34" t="n"/>
      <c r="J179" s="36" t="n"/>
      <c r="K179" s="36" t="n"/>
      <c r="L179" s="34" t="inlineStr">
        <is>
          <t>Annual</t>
        </is>
      </c>
      <c r="M179" s="34" t="n">
        <v>60</v>
      </c>
      <c r="N179" s="36">
        <f>IF(K179="","",K179-IF(M179="",0,M179))</f>
        <v/>
      </c>
      <c r="O179" s="37">
        <f>IF(K179="","",K179-TODAY())</f>
        <v/>
      </c>
      <c r="P179" s="10">
        <f>IF(F179="","",IF(K179="","No date",IF(O179&lt;0,"Expired",IF(O179&lt;=30,"Urgent",IF(O179&lt;=90,"Due soon","OK")))))</f>
        <v/>
      </c>
      <c r="Q179" s="34" t="n"/>
      <c r="R179" s="38" t="n"/>
      <c r="S179" s="34" t="n"/>
      <c r="T179" s="35" t="n"/>
      <c r="U179" s="34" t="n"/>
      <c r="V179" s="34">
        <f>IF(F179="","",IF(K179="","",O179+ROW()/100000))</f>
        <v/>
      </c>
    </row>
    <row r="180">
      <c r="A180" s="10">
        <f>IF(F180="","",COUNTA($F$5:F180))</f>
        <v/>
      </c>
      <c r="B180" s="34" t="inlineStr">
        <is>
          <t>SP</t>
        </is>
      </c>
      <c r="C180" s="34" t="inlineStr">
        <is>
          <t>AMH Pattaya Co., Ltd.</t>
        </is>
      </c>
      <c r="D180" s="34" t="inlineStr">
        <is>
          <t>Certificate</t>
        </is>
      </c>
      <c r="E180" s="35" t="inlineStr">
        <is>
          <t>Owner</t>
        </is>
      </c>
      <c r="F180" s="35" t="inlineStr">
        <is>
          <t>Boiler / pressure vessel inspection</t>
        </is>
      </c>
      <c r="G180" s="35" t="inlineStr">
        <is>
          <t>การตรวจสอบหม้อไอน้ำ / ภาชนะรับแรงดัน</t>
        </is>
      </c>
      <c r="H180" s="34" t="inlineStr">
        <is>
          <t>Licensed engineer</t>
        </is>
      </c>
      <c r="I180" s="34" t="n"/>
      <c r="J180" s="36" t="n"/>
      <c r="K180" s="36" t="n"/>
      <c r="L180" s="34" t="inlineStr">
        <is>
          <t>Annual</t>
        </is>
      </c>
      <c r="M180" s="34" t="n">
        <v>60</v>
      </c>
      <c r="N180" s="36">
        <f>IF(K180="","",K180-IF(M180="",0,M180))</f>
        <v/>
      </c>
      <c r="O180" s="37">
        <f>IF(K180="","",K180-TODAY())</f>
        <v/>
      </c>
      <c r="P180" s="10">
        <f>IF(F180="","",IF(K180="","No date",IF(O180&lt;0,"Expired",IF(O180&lt;=30,"Urgent",IF(O180&lt;=90,"Due soon","OK")))))</f>
        <v/>
      </c>
      <c r="Q180" s="34" t="n"/>
      <c r="R180" s="38" t="n"/>
      <c r="S180" s="34" t="n"/>
      <c r="T180" s="35" t="n"/>
      <c r="U180" s="34" t="n"/>
      <c r="V180" s="34">
        <f>IF(F180="","",IF(K180="","",O180+ROW()/100000))</f>
        <v/>
      </c>
    </row>
    <row r="181">
      <c r="A181" s="10">
        <f>IF(F181="","",COUNTA($F$5:F181))</f>
        <v/>
      </c>
      <c r="B181" s="34" t="inlineStr">
        <is>
          <t>SP</t>
        </is>
      </c>
      <c r="C181" s="34" t="inlineStr">
        <is>
          <t>AMH Pattaya Co., Ltd.</t>
        </is>
      </c>
      <c r="D181" s="34" t="inlineStr">
        <is>
          <t>Certificate</t>
        </is>
      </c>
      <c r="E181" s="35" t="inlineStr">
        <is>
          <t>Owner</t>
        </is>
      </c>
      <c r="F181" s="35" t="inlineStr">
        <is>
          <t>EIA environmental monitoring report</t>
        </is>
      </c>
      <c r="G181" s="35" t="inlineStr">
        <is>
          <t>รายงานผลการปฏิบัติตามมาตรการ EIA</t>
        </is>
      </c>
      <c r="H181" s="34" t="inlineStr">
        <is>
          <t>Office of Natural Resources &amp; Environmental Policy (ONEP)</t>
        </is>
      </c>
      <c r="I181" s="34" t="n"/>
      <c r="J181" s="36" t="n"/>
      <c r="K181" s="36" t="n"/>
      <c r="L181" s="34" t="inlineStr">
        <is>
          <t>Other</t>
        </is>
      </c>
      <c r="M181" s="34" t="n">
        <v>60</v>
      </c>
      <c r="N181" s="36">
        <f>IF(K181="","",K181-IF(M181="",0,M181))</f>
        <v/>
      </c>
      <c r="O181" s="37">
        <f>IF(K181="","",K181-TODAY())</f>
        <v/>
      </c>
      <c r="P181" s="10">
        <f>IF(F181="","",IF(K181="","No date",IF(O181&lt;0,"Expired",IF(O181&lt;=30,"Urgent",IF(O181&lt;=90,"Due soon","OK")))))</f>
        <v/>
      </c>
      <c r="Q181" s="34" t="n"/>
      <c r="R181" s="38" t="n"/>
      <c r="S181" s="34" t="n"/>
      <c r="T181" s="35" t="n"/>
      <c r="U181" s="34" t="n"/>
      <c r="V181" s="34">
        <f>IF(F181="","",IF(K181="","",O181+ROW()/100000))</f>
        <v/>
      </c>
    </row>
    <row r="182">
      <c r="A182" s="10">
        <f>IF(F182="","",COUNTA($F$5:F182))</f>
        <v/>
      </c>
      <c r="B182" s="34" t="inlineStr">
        <is>
          <t>SP</t>
        </is>
      </c>
      <c r="C182" s="34" t="inlineStr">
        <is>
          <t>AMH Pattaya Co., Ltd.</t>
        </is>
      </c>
      <c r="D182" s="34" t="inlineStr">
        <is>
          <t>Tax / Registration</t>
        </is>
      </c>
      <c r="E182" s="35" t="inlineStr">
        <is>
          <t>Owner</t>
        </is>
      </c>
      <c r="F182" s="35" t="inlineStr">
        <is>
          <t>Signage tax (billboard)</t>
        </is>
      </c>
      <c r="G182" s="35" t="inlineStr">
        <is>
          <t>ภาษีป้าย</t>
        </is>
      </c>
      <c r="H182" s="34" t="inlineStr">
        <is>
          <t>Local authority</t>
        </is>
      </c>
      <c r="I182" s="34" t="n"/>
      <c r="J182" s="36" t="n"/>
      <c r="K182" s="36" t="n"/>
      <c r="L182" s="34" t="inlineStr">
        <is>
          <t>Annual</t>
        </is>
      </c>
      <c r="M182" s="34" t="n">
        <v>60</v>
      </c>
      <c r="N182" s="36">
        <f>IF(K182="","",K182-IF(M182="",0,M182))</f>
        <v/>
      </c>
      <c r="O182" s="37">
        <f>IF(K182="","",K182-TODAY())</f>
        <v/>
      </c>
      <c r="P182" s="10">
        <f>IF(F182="","",IF(K182="","No date",IF(O182&lt;0,"Expired",IF(O182&lt;=30,"Urgent",IF(O182&lt;=90,"Due soon","OK")))))</f>
        <v/>
      </c>
      <c r="Q182" s="34" t="n"/>
      <c r="R182" s="38" t="n"/>
      <c r="S182" s="34" t="n"/>
      <c r="T182" s="35" t="n"/>
      <c r="U182" s="34" t="n"/>
      <c r="V182" s="34">
        <f>IF(F182="","",IF(K182="","",O182+ROW()/100000))</f>
        <v/>
      </c>
    </row>
    <row r="183">
      <c r="A183" s="10">
        <f>IF(F183="","",COUNTA($F$5:F183))</f>
        <v/>
      </c>
      <c r="B183" s="34" t="inlineStr">
        <is>
          <t>SP</t>
        </is>
      </c>
      <c r="C183" s="34" t="inlineStr">
        <is>
          <t>AMH Pattaya Co., Ltd.</t>
        </is>
      </c>
      <c r="D183" s="34" t="inlineStr">
        <is>
          <t>Tax / Registration</t>
        </is>
      </c>
      <c r="E183" s="35" t="inlineStr">
        <is>
          <t>Owner</t>
        </is>
      </c>
      <c r="F183" s="35" t="inlineStr">
        <is>
          <t>Land &amp; building tax</t>
        </is>
      </c>
      <c r="G183" s="35" t="inlineStr">
        <is>
          <t>ภาษีที่ดินและสิ่งปลูกสร้าง</t>
        </is>
      </c>
      <c r="H183" s="34" t="inlineStr">
        <is>
          <t>Local authority</t>
        </is>
      </c>
      <c r="I183" s="34" t="n"/>
      <c r="J183" s="36" t="n"/>
      <c r="K183" s="36" t="n"/>
      <c r="L183" s="34" t="inlineStr">
        <is>
          <t>Annual</t>
        </is>
      </c>
      <c r="M183" s="34" t="n">
        <v>60</v>
      </c>
      <c r="N183" s="36">
        <f>IF(K183="","",K183-IF(M183="",0,M183))</f>
        <v/>
      </c>
      <c r="O183" s="37">
        <f>IF(K183="","",K183-TODAY())</f>
        <v/>
      </c>
      <c r="P183" s="10">
        <f>IF(F183="","",IF(K183="","No date",IF(O183&lt;0,"Expired",IF(O183&lt;=30,"Urgent",IF(O183&lt;=90,"Due soon","OK")))))</f>
        <v/>
      </c>
      <c r="Q183" s="34" t="n"/>
      <c r="R183" s="38" t="n"/>
      <c r="S183" s="34" t="n"/>
      <c r="T183" s="35" t="n"/>
      <c r="U183" s="34" t="n"/>
      <c r="V183" s="34">
        <f>IF(F183="","",IF(K183="","",O183+ROW()/100000))</f>
        <v/>
      </c>
    </row>
    <row r="184">
      <c r="A184" s="10">
        <f>IF(F184="","",COUNTA($F$5:F184))</f>
        <v/>
      </c>
      <c r="B184" s="34" t="inlineStr">
        <is>
          <t>SP</t>
        </is>
      </c>
      <c r="C184" s="34" t="inlineStr">
        <is>
          <t>AMH Pattaya Co., Ltd.</t>
        </is>
      </c>
      <c r="D184" s="34" t="inlineStr">
        <is>
          <t>Tax / Registration</t>
        </is>
      </c>
      <c r="E184" s="35" t="inlineStr">
        <is>
          <t>Owner</t>
        </is>
      </c>
      <c r="F184" s="35" t="inlineStr">
        <is>
          <t>VAT registration (ภ.พ.20)</t>
        </is>
      </c>
      <c r="G184" s="35" t="inlineStr">
        <is>
          <t>ใบทะเบียนภาษีมูลค่าเพิ่ม (ภ.พ.20)</t>
        </is>
      </c>
      <c r="H184" s="34" t="inlineStr">
        <is>
          <t>Revenue Department</t>
        </is>
      </c>
      <c r="I184" s="34" t="n"/>
      <c r="J184" s="36" t="n"/>
      <c r="K184" s="36" t="n"/>
      <c r="L184" s="34" t="inlineStr">
        <is>
          <t>One-off</t>
        </is>
      </c>
      <c r="M184" s="34" t="n">
        <v>60</v>
      </c>
      <c r="N184" s="36">
        <f>IF(K184="","",K184-IF(M184="",0,M184))</f>
        <v/>
      </c>
      <c r="O184" s="37">
        <f>IF(K184="","",K184-TODAY())</f>
        <v/>
      </c>
      <c r="P184" s="10">
        <f>IF(F184="","",IF(K184="","No date",IF(O184&lt;0,"Expired",IF(O184&lt;=30,"Urgent",IF(O184&lt;=90,"Due soon","OK")))))</f>
        <v/>
      </c>
      <c r="Q184" s="34" t="n"/>
      <c r="R184" s="38" t="n"/>
      <c r="S184" s="34" t="n"/>
      <c r="T184" s="35" t="n"/>
      <c r="U184" s="34" t="n"/>
      <c r="V184" s="34">
        <f>IF(F184="","",IF(K184="","",O184+ROW()/100000))</f>
        <v/>
      </c>
    </row>
    <row r="185">
      <c r="A185" s="10">
        <f>IF(F185="","",COUNTA($F$5:F185))</f>
        <v/>
      </c>
      <c r="B185" s="34" t="inlineStr">
        <is>
          <t>SP</t>
        </is>
      </c>
      <c r="C185" s="34" t="inlineStr">
        <is>
          <t>AMH Pattaya Co., Ltd.</t>
        </is>
      </c>
      <c r="D185" s="34" t="inlineStr">
        <is>
          <t>Tax / Registration</t>
        </is>
      </c>
      <c r="E185" s="35" t="inlineStr">
        <is>
          <t>Owner</t>
        </is>
      </c>
      <c r="F185" s="35" t="inlineStr">
        <is>
          <t>Company registration / affidavit</t>
        </is>
      </c>
      <c r="G185" s="35" t="inlineStr">
        <is>
          <t>หนังสือรับรองบริษัท</t>
        </is>
      </c>
      <c r="H185" s="34" t="inlineStr">
        <is>
          <t>Dept. of Business Development</t>
        </is>
      </c>
      <c r="I185" s="34" t="n"/>
      <c r="J185" s="36" t="n"/>
      <c r="K185" s="36" t="n"/>
      <c r="L185" s="34" t="inlineStr">
        <is>
          <t>Other</t>
        </is>
      </c>
      <c r="M185" s="34" t="n">
        <v>60</v>
      </c>
      <c r="N185" s="36">
        <f>IF(K185="","",K185-IF(M185="",0,M185))</f>
        <v/>
      </c>
      <c r="O185" s="37">
        <f>IF(K185="","",K185-TODAY())</f>
        <v/>
      </c>
      <c r="P185" s="10">
        <f>IF(F185="","",IF(K185="","No date",IF(O185&lt;0,"Expired",IF(O185&lt;=30,"Urgent",IF(O185&lt;=90,"Due soon","OK")))))</f>
        <v/>
      </c>
      <c r="Q185" s="34" t="n"/>
      <c r="R185" s="38" t="n"/>
      <c r="S185" s="34" t="n"/>
      <c r="T185" s="35" t="n"/>
      <c r="U185" s="34" t="n"/>
      <c r="V185" s="34">
        <f>IF(F185="","",IF(K185="","",O185+ROW()/100000))</f>
        <v/>
      </c>
    </row>
    <row r="186">
      <c r="A186" s="10">
        <f>IF(F186="","",COUNTA($F$5:F186))</f>
        <v/>
      </c>
      <c r="B186" s="34" t="inlineStr">
        <is>
          <t>SP</t>
        </is>
      </c>
      <c r="C186" s="34" t="inlineStr">
        <is>
          <t>AMH Pattaya Co., Ltd.</t>
        </is>
      </c>
      <c r="D186" s="34" t="inlineStr">
        <is>
          <t>Tax / Registration</t>
        </is>
      </c>
      <c r="E186" s="35" t="inlineStr">
        <is>
          <t>Owner</t>
        </is>
      </c>
      <c r="F186" s="35" t="inlineStr">
        <is>
          <t>Social security registration</t>
        </is>
      </c>
      <c r="G186" s="35" t="inlineStr">
        <is>
          <t>ทะเบียนนายจ้างประกันสังคม</t>
        </is>
      </c>
      <c r="H186" s="34" t="inlineStr">
        <is>
          <t>Social Security Office</t>
        </is>
      </c>
      <c r="I186" s="34" t="n"/>
      <c r="J186" s="36" t="n"/>
      <c r="K186" s="36" t="n"/>
      <c r="L186" s="34" t="inlineStr">
        <is>
          <t>One-off</t>
        </is>
      </c>
      <c r="M186" s="34" t="n">
        <v>60</v>
      </c>
      <c r="N186" s="36">
        <f>IF(K186="","",K186-IF(M186="",0,M186))</f>
        <v/>
      </c>
      <c r="O186" s="37">
        <f>IF(K186="","",K186-TODAY())</f>
        <v/>
      </c>
      <c r="P186" s="10">
        <f>IF(F186="","",IF(K186="","No date",IF(O186&lt;0,"Expired",IF(O186&lt;=30,"Urgent",IF(O186&lt;=90,"Due soon","OK")))))</f>
        <v/>
      </c>
      <c r="Q186" s="34" t="n"/>
      <c r="R186" s="38" t="n"/>
      <c r="S186" s="34" t="n"/>
      <c r="T186" s="35" t="n"/>
      <c r="U186" s="34" t="n"/>
      <c r="V186" s="34">
        <f>IF(F186="","",IF(K186="","",O186+ROW()/100000))</f>
        <v/>
      </c>
    </row>
    <row r="187">
      <c r="A187" s="10">
        <f>IF(F187="","",COUNTA($F$5:F187))</f>
        <v/>
      </c>
      <c r="B187" s="34" t="inlineStr">
        <is>
          <t>SP</t>
        </is>
      </c>
      <c r="C187" s="34" t="inlineStr">
        <is>
          <t>AMH Pattaya Co., Ltd.</t>
        </is>
      </c>
      <c r="D187" s="34" t="inlineStr">
        <is>
          <t>Insurance</t>
        </is>
      </c>
      <c r="E187" s="35" t="inlineStr">
        <is>
          <t>Owner</t>
        </is>
      </c>
      <c r="F187" s="35" t="inlineStr">
        <is>
          <t>Property all-risk insurance</t>
        </is>
      </c>
      <c r="G187" s="35" t="inlineStr">
        <is>
          <t>ประกันภัยทรัพย์สินแบบ All Risk</t>
        </is>
      </c>
      <c r="H187" s="34" t="inlineStr">
        <is>
          <t>Insurer / broker</t>
        </is>
      </c>
      <c r="I187" s="34" t="n"/>
      <c r="J187" s="36" t="n"/>
      <c r="K187" s="36" t="n"/>
      <c r="L187" s="34" t="inlineStr">
        <is>
          <t>Annual</t>
        </is>
      </c>
      <c r="M187" s="34" t="n">
        <v>60</v>
      </c>
      <c r="N187" s="36">
        <f>IF(K187="","",K187-IF(M187="",0,M187))</f>
        <v/>
      </c>
      <c r="O187" s="37">
        <f>IF(K187="","",K187-TODAY())</f>
        <v/>
      </c>
      <c r="P187" s="10">
        <f>IF(F187="","",IF(K187="","No date",IF(O187&lt;0,"Expired",IF(O187&lt;=30,"Urgent",IF(O187&lt;=90,"Due soon","OK")))))</f>
        <v/>
      </c>
      <c r="Q187" s="34" t="n"/>
      <c r="R187" s="38" t="n"/>
      <c r="S187" s="34" t="n"/>
      <c r="T187" s="35" t="n"/>
      <c r="U187" s="34" t="n"/>
      <c r="V187" s="34">
        <f>IF(F187="","",IF(K187="","",O187+ROW()/100000))</f>
        <v/>
      </c>
    </row>
    <row r="188">
      <c r="A188" s="10">
        <f>IF(F188="","",COUNTA($F$5:F188))</f>
        <v/>
      </c>
      <c r="B188" s="34" t="inlineStr">
        <is>
          <t>SP</t>
        </is>
      </c>
      <c r="C188" s="34" t="inlineStr">
        <is>
          <t>AMH Pattaya Co., Ltd.</t>
        </is>
      </c>
      <c r="D188" s="34" t="inlineStr">
        <is>
          <t>Insurance</t>
        </is>
      </c>
      <c r="E188" s="35" t="inlineStr">
        <is>
          <t>Owner</t>
        </is>
      </c>
      <c r="F188" s="35" t="inlineStr">
        <is>
          <t>Public liability insurance</t>
        </is>
      </c>
      <c r="G188" s="35" t="inlineStr">
        <is>
          <t>ประกันภัยความรับผิดต่อบุคคลภายนอก</t>
        </is>
      </c>
      <c r="H188" s="34" t="inlineStr">
        <is>
          <t>Insurer / broker</t>
        </is>
      </c>
      <c r="I188" s="34" t="n"/>
      <c r="J188" s="36" t="n"/>
      <c r="K188" s="36" t="n"/>
      <c r="L188" s="34" t="inlineStr">
        <is>
          <t>Annual</t>
        </is>
      </c>
      <c r="M188" s="34" t="n">
        <v>60</v>
      </c>
      <c r="N188" s="36">
        <f>IF(K188="","",K188-IF(M188="",0,M188))</f>
        <v/>
      </c>
      <c r="O188" s="37">
        <f>IF(K188="","",K188-TODAY())</f>
        <v/>
      </c>
      <c r="P188" s="10">
        <f>IF(F188="","",IF(K188="","No date",IF(O188&lt;0,"Expired",IF(O188&lt;=30,"Urgent",IF(O188&lt;=90,"Due soon","OK")))))</f>
        <v/>
      </c>
      <c r="Q188" s="34" t="n"/>
      <c r="R188" s="38" t="n"/>
      <c r="S188" s="34" t="n"/>
      <c r="T188" s="35" t="n"/>
      <c r="U188" s="34" t="n"/>
      <c r="V188" s="34">
        <f>IF(F188="","",IF(K188="","",O188+ROW()/100000))</f>
        <v/>
      </c>
    </row>
    <row r="189">
      <c r="A189" s="10">
        <f>IF(F189="","",COUNTA($F$5:F189))</f>
        <v/>
      </c>
      <c r="B189" s="34" t="inlineStr">
        <is>
          <t>SP</t>
        </is>
      </c>
      <c r="C189" s="34" t="inlineStr">
        <is>
          <t>AMH Pattaya Co., Ltd.</t>
        </is>
      </c>
      <c r="D189" s="34" t="inlineStr">
        <is>
          <t>Insurance</t>
        </is>
      </c>
      <c r="E189" s="35" t="inlineStr">
        <is>
          <t>Owner</t>
        </is>
      </c>
      <c r="F189" s="35" t="inlineStr">
        <is>
          <t>Business interruption insurance</t>
        </is>
      </c>
      <c r="G189" s="35" t="inlineStr">
        <is>
          <t>ประกันภัยธุรกิจหยุดชะงัก</t>
        </is>
      </c>
      <c r="H189" s="34" t="inlineStr">
        <is>
          <t>Insurer / broker</t>
        </is>
      </c>
      <c r="I189" s="34" t="n"/>
      <c r="J189" s="36" t="n"/>
      <c r="K189" s="36" t="n"/>
      <c r="L189" s="34" t="inlineStr">
        <is>
          <t>Annual</t>
        </is>
      </c>
      <c r="M189" s="34" t="n">
        <v>60</v>
      </c>
      <c r="N189" s="36">
        <f>IF(K189="","",K189-IF(M189="",0,M189))</f>
        <v/>
      </c>
      <c r="O189" s="37">
        <f>IF(K189="","",K189-TODAY())</f>
        <v/>
      </c>
      <c r="P189" s="10">
        <f>IF(F189="","",IF(K189="","No date",IF(O189&lt;0,"Expired",IF(O189&lt;=30,"Urgent",IF(O189&lt;=90,"Due soon","OK")))))</f>
        <v/>
      </c>
      <c r="Q189" s="34" t="n"/>
      <c r="R189" s="38" t="n"/>
      <c r="S189" s="34" t="n"/>
      <c r="T189" s="35" t="n"/>
      <c r="U189" s="34" t="n"/>
      <c r="V189" s="34">
        <f>IF(F189="","",IF(K189="","",O189+ROW()/100000))</f>
        <v/>
      </c>
    </row>
    <row r="190">
      <c r="A190" s="10">
        <f>IF(F190="","",COUNTA($F$5:F190))</f>
        <v/>
      </c>
      <c r="B190" s="34" t="inlineStr">
        <is>
          <t>SP</t>
        </is>
      </c>
      <c r="C190" s="34" t="inlineStr">
        <is>
          <t>AMH Pattaya Co., Ltd.</t>
        </is>
      </c>
      <c r="D190" s="34" t="inlineStr">
        <is>
          <t>Contract - Management</t>
        </is>
      </c>
      <c r="E190" s="35" t="inlineStr">
        <is>
          <t>Owner</t>
        </is>
      </c>
      <c r="F190" s="35" t="inlineStr">
        <is>
          <t>Hotel management agreement</t>
        </is>
      </c>
      <c r="G190" s="35" t="inlineStr">
        <is>
          <t>สัญญาบริหารโรงแรม</t>
        </is>
      </c>
      <c r="H190" s="34" t="inlineStr">
        <is>
          <t>Ascott International Management (Thailand) Ltd.</t>
        </is>
      </c>
      <c r="I190" s="34" t="n"/>
      <c r="J190" s="36" t="n"/>
      <c r="K190" s="36" t="n"/>
      <c r="L190" s="34" t="inlineStr">
        <is>
          <t>Rolling / evergreen</t>
        </is>
      </c>
      <c r="M190" s="34" t="n">
        <v>60</v>
      </c>
      <c r="N190" s="36">
        <f>IF(K190="","",K190-IF(M190="",0,M190))</f>
        <v/>
      </c>
      <c r="O190" s="37">
        <f>IF(K190="","",K190-TODAY())</f>
        <v/>
      </c>
      <c r="P190" s="10">
        <f>IF(F190="","",IF(K190="","No date",IF(O190&lt;0,"Expired",IF(O190&lt;=30,"Urgent",IF(O190&lt;=90,"Due soon","OK")))))</f>
        <v/>
      </c>
      <c r="Q190" s="34" t="n"/>
      <c r="R190" s="38" t="n"/>
      <c r="S190" s="34" t="n"/>
      <c r="T190" s="35" t="n"/>
      <c r="U190" s="34" t="n"/>
      <c r="V190" s="34">
        <f>IF(F190="","",IF(K190="","",O190+ROW()/100000))</f>
        <v/>
      </c>
    </row>
    <row r="191">
      <c r="A191" s="10">
        <f>IF(F191="","",COUNTA($F$5:F191))</f>
        <v/>
      </c>
      <c r="B191" s="34" t="inlineStr">
        <is>
          <t>SP</t>
        </is>
      </c>
      <c r="C191" s="34" t="inlineStr">
        <is>
          <t>AMH Pattaya Co., Ltd.</t>
        </is>
      </c>
      <c r="D191" s="34" t="inlineStr">
        <is>
          <t>Contract - Management</t>
        </is>
      </c>
      <c r="E191" s="35" t="inlineStr">
        <is>
          <t>Owner</t>
        </is>
      </c>
      <c r="F191" s="35" t="inlineStr">
        <is>
          <t>Technical services / central fee agreement</t>
        </is>
      </c>
      <c r="G191" s="35" t="inlineStr">
        <is>
          <t>สัญญาค่าบริการส่วนกลาง</t>
        </is>
      </c>
      <c r="H191" s="34" t="inlineStr">
        <is>
          <t>Ascott International Management (Thailand) Ltd.</t>
        </is>
      </c>
      <c r="I191" s="34" t="n"/>
      <c r="J191" s="36" t="n"/>
      <c r="K191" s="36" t="n"/>
      <c r="L191" s="34" t="inlineStr">
        <is>
          <t>Rolling / evergreen</t>
        </is>
      </c>
      <c r="M191" s="34" t="n">
        <v>60</v>
      </c>
      <c r="N191" s="36">
        <f>IF(K191="","",K191-IF(M191="",0,M191))</f>
        <v/>
      </c>
      <c r="O191" s="37">
        <f>IF(K191="","",K191-TODAY())</f>
        <v/>
      </c>
      <c r="P191" s="10">
        <f>IF(F191="","",IF(K191="","No date",IF(O191&lt;0,"Expired",IF(O191&lt;=30,"Urgent",IF(O191&lt;=90,"Due soon","OK")))))</f>
        <v/>
      </c>
      <c r="Q191" s="34" t="n"/>
      <c r="R191" s="38" t="n"/>
      <c r="S191" s="34" t="n"/>
      <c r="T191" s="35" t="n"/>
      <c r="U191" s="34" t="n"/>
      <c r="V191" s="34">
        <f>IF(F191="","",IF(K191="","",O191+ROW()/100000))</f>
        <v/>
      </c>
    </row>
    <row r="192">
      <c r="A192" s="10">
        <f>IF(F192="","",COUNTA($F$5:F192))</f>
        <v/>
      </c>
      <c r="B192" s="34" t="inlineStr">
        <is>
          <t>SP</t>
        </is>
      </c>
      <c r="C192" s="34" t="inlineStr">
        <is>
          <t>AMH Pattaya Co., Ltd.</t>
        </is>
      </c>
      <c r="D192" s="34" t="inlineStr">
        <is>
          <t>Contract - Service</t>
        </is>
      </c>
      <c r="E192" s="35" t="inlineStr">
        <is>
          <t>Owner</t>
        </is>
      </c>
      <c r="F192" s="35" t="inlineStr">
        <is>
          <t>Lift maintenance</t>
        </is>
      </c>
      <c r="G192" s="35" t="inlineStr">
        <is>
          <t>สัญญาบำรุงรักษาลิฟต์</t>
        </is>
      </c>
      <c r="H192" s="34" t="n"/>
      <c r="I192" s="34" t="n"/>
      <c r="J192" s="36" t="n"/>
      <c r="K192" s="36" t="n"/>
      <c r="L192" s="34" t="inlineStr">
        <is>
          <t>Annual</t>
        </is>
      </c>
      <c r="M192" s="34" t="n">
        <v>60</v>
      </c>
      <c r="N192" s="36">
        <f>IF(K192="","",K192-IF(M192="",0,M192))</f>
        <v/>
      </c>
      <c r="O192" s="37">
        <f>IF(K192="","",K192-TODAY())</f>
        <v/>
      </c>
      <c r="P192" s="10">
        <f>IF(F192="","",IF(K192="","No date",IF(O192&lt;0,"Expired",IF(O192&lt;=30,"Urgent",IF(O192&lt;=90,"Due soon","OK")))))</f>
        <v/>
      </c>
      <c r="Q192" s="34" t="n"/>
      <c r="R192" s="38" t="n"/>
      <c r="S192" s="34" t="n"/>
      <c r="T192" s="35" t="n"/>
      <c r="U192" s="34" t="n"/>
      <c r="V192" s="34">
        <f>IF(F192="","",IF(K192="","",O192+ROW()/100000))</f>
        <v/>
      </c>
    </row>
    <row r="193">
      <c r="A193" s="10">
        <f>IF(F193="","",COUNTA($F$5:F193))</f>
        <v/>
      </c>
      <c r="B193" s="34" t="inlineStr">
        <is>
          <t>SP</t>
        </is>
      </c>
      <c r="C193" s="34" t="inlineStr">
        <is>
          <t>AMH Pattaya Co., Ltd.</t>
        </is>
      </c>
      <c r="D193" s="34" t="inlineStr">
        <is>
          <t>Contract - Service</t>
        </is>
      </c>
      <c r="E193" s="35" t="inlineStr">
        <is>
          <t>Owner</t>
        </is>
      </c>
      <c r="F193" s="35" t="inlineStr">
        <is>
          <t>HVAC / chiller maintenance</t>
        </is>
      </c>
      <c r="G193" s="35" t="inlineStr">
        <is>
          <t>สัญญาบำรุงรักษาระบบปรับอากาศ</t>
        </is>
      </c>
      <c r="H193" s="34" t="n"/>
      <c r="I193" s="34" t="n"/>
      <c r="J193" s="36" t="n"/>
      <c r="K193" s="36" t="n"/>
      <c r="L193" s="34" t="inlineStr">
        <is>
          <t>Annual</t>
        </is>
      </c>
      <c r="M193" s="34" t="n">
        <v>60</v>
      </c>
      <c r="N193" s="36">
        <f>IF(K193="","",K193-IF(M193="",0,M193))</f>
        <v/>
      </c>
      <c r="O193" s="37">
        <f>IF(K193="","",K193-TODAY())</f>
        <v/>
      </c>
      <c r="P193" s="10">
        <f>IF(F193="","",IF(K193="","No date",IF(O193&lt;0,"Expired",IF(O193&lt;=30,"Urgent",IF(O193&lt;=90,"Due soon","OK")))))</f>
        <v/>
      </c>
      <c r="Q193" s="34" t="n"/>
      <c r="R193" s="38" t="n"/>
      <c r="S193" s="34" t="n"/>
      <c r="T193" s="35" t="n"/>
      <c r="U193" s="34" t="n"/>
      <c r="V193" s="34">
        <f>IF(F193="","",IF(K193="","",O193+ROW()/100000))</f>
        <v/>
      </c>
    </row>
    <row r="194">
      <c r="A194" s="10">
        <f>IF(F194="","",COUNTA($F$5:F194))</f>
        <v/>
      </c>
      <c r="B194" s="34" t="inlineStr">
        <is>
          <t>SP</t>
        </is>
      </c>
      <c r="C194" s="34" t="inlineStr">
        <is>
          <t>AMH Pattaya Co., Ltd.</t>
        </is>
      </c>
      <c r="D194" s="34" t="inlineStr">
        <is>
          <t>Contract - Service</t>
        </is>
      </c>
      <c r="E194" s="35" t="inlineStr">
        <is>
          <t>Owner</t>
        </is>
      </c>
      <c r="F194" s="35" t="inlineStr">
        <is>
          <t>Fire system maintenance</t>
        </is>
      </c>
      <c r="G194" s="35" t="inlineStr">
        <is>
          <t>สัญญาบำรุงรักษาระบบดับเพลิง</t>
        </is>
      </c>
      <c r="H194" s="34" t="n"/>
      <c r="I194" s="34" t="n"/>
      <c r="J194" s="36" t="n"/>
      <c r="K194" s="36" t="n"/>
      <c r="L194" s="34" t="inlineStr">
        <is>
          <t>Annual</t>
        </is>
      </c>
      <c r="M194" s="34" t="n">
        <v>60</v>
      </c>
      <c r="N194" s="36">
        <f>IF(K194="","",K194-IF(M194="",0,M194))</f>
        <v/>
      </c>
      <c r="O194" s="37">
        <f>IF(K194="","",K194-TODAY())</f>
        <v/>
      </c>
      <c r="P194" s="10">
        <f>IF(F194="","",IF(K194="","No date",IF(O194&lt;0,"Expired",IF(O194&lt;=30,"Urgent",IF(O194&lt;=90,"Due soon","OK")))))</f>
        <v/>
      </c>
      <c r="Q194" s="34" t="n"/>
      <c r="R194" s="38" t="n"/>
      <c r="S194" s="34" t="n"/>
      <c r="T194" s="35" t="n"/>
      <c r="U194" s="34" t="n"/>
      <c r="V194" s="34">
        <f>IF(F194="","",IF(K194="","",O194+ROW()/100000))</f>
        <v/>
      </c>
    </row>
    <row r="195">
      <c r="A195" s="10">
        <f>IF(F195="","",COUNTA($F$5:F195))</f>
        <v/>
      </c>
      <c r="B195" s="34" t="inlineStr">
        <is>
          <t>SP</t>
        </is>
      </c>
      <c r="C195" s="34" t="inlineStr">
        <is>
          <t>AMH Pattaya Co., Ltd.</t>
        </is>
      </c>
      <c r="D195" s="34" t="inlineStr">
        <is>
          <t>Contract - Service</t>
        </is>
      </c>
      <c r="E195" s="35" t="inlineStr">
        <is>
          <t>Owner</t>
        </is>
      </c>
      <c r="F195" s="35" t="inlineStr">
        <is>
          <t>External audit &amp; tax agent</t>
        </is>
      </c>
      <c r="G195" s="35" t="inlineStr">
        <is>
          <t>สัญญาผู้สอบบัญชีและที่ปรึกษาภาษี</t>
        </is>
      </c>
      <c r="H195" s="34" t="n"/>
      <c r="I195" s="34" t="n"/>
      <c r="J195" s="36" t="n"/>
      <c r="K195" s="36" t="n"/>
      <c r="L195" s="34" t="inlineStr">
        <is>
          <t>Annual</t>
        </is>
      </c>
      <c r="M195" s="34" t="n">
        <v>60</v>
      </c>
      <c r="N195" s="36">
        <f>IF(K195="","",K195-IF(M195="",0,M195))</f>
        <v/>
      </c>
      <c r="O195" s="37">
        <f>IF(K195="","",K195-TODAY())</f>
        <v/>
      </c>
      <c r="P195" s="10">
        <f>IF(F195="","",IF(K195="","No date",IF(O195&lt;0,"Expired",IF(O195&lt;=30,"Urgent",IF(O195&lt;=90,"Due soon","OK")))))</f>
        <v/>
      </c>
      <c r="Q195" s="34" t="n"/>
      <c r="R195" s="38" t="n"/>
      <c r="S195" s="34" t="n"/>
      <c r="T195" s="35" t="n"/>
      <c r="U195" s="34" t="n"/>
      <c r="V195" s="34">
        <f>IF(F195="","",IF(K195="","",O195+ROW()/100000))</f>
        <v/>
      </c>
    </row>
    <row r="196">
      <c r="A196" s="10">
        <f>IF(F196="","",COUNTA($F$5:F196))</f>
        <v/>
      </c>
      <c r="B196" s="34" t="inlineStr">
        <is>
          <t>SP</t>
        </is>
      </c>
      <c r="C196" s="34" t="inlineStr">
        <is>
          <t>AMH Pattaya Co., Ltd.</t>
        </is>
      </c>
      <c r="D196" s="34" t="inlineStr">
        <is>
          <t>Contract - Utility</t>
        </is>
      </c>
      <c r="E196" s="35" t="inlineStr">
        <is>
          <t>Owner</t>
        </is>
      </c>
      <c r="F196" s="35" t="inlineStr">
        <is>
          <t>Electricity supply</t>
        </is>
      </c>
      <c r="G196" s="35" t="inlineStr">
        <is>
          <t>สัญญาไฟฟ้า</t>
        </is>
      </c>
      <c r="H196" s="34" t="inlineStr">
        <is>
          <t>Provincial Electricity Authority (PEA)</t>
        </is>
      </c>
      <c r="I196" s="34" t="n"/>
      <c r="J196" s="36" t="n"/>
      <c r="K196" s="36" t="n"/>
      <c r="L196" s="34" t="inlineStr">
        <is>
          <t>Rolling / evergreen</t>
        </is>
      </c>
      <c r="M196" s="34" t="n">
        <v>60</v>
      </c>
      <c r="N196" s="36">
        <f>IF(K196="","",K196-IF(M196="",0,M196))</f>
        <v/>
      </c>
      <c r="O196" s="37">
        <f>IF(K196="","",K196-TODAY())</f>
        <v/>
      </c>
      <c r="P196" s="10">
        <f>IF(F196="","",IF(K196="","No date",IF(O196&lt;0,"Expired",IF(O196&lt;=30,"Urgent",IF(O196&lt;=90,"Due soon","OK")))))</f>
        <v/>
      </c>
      <c r="Q196" s="34" t="n"/>
      <c r="R196" s="38" t="n"/>
      <c r="S196" s="34" t="n"/>
      <c r="T196" s="35" t="n"/>
      <c r="U196" s="34" t="n"/>
      <c r="V196" s="34">
        <f>IF(F196="","",IF(K196="","",O196+ROW()/100000))</f>
        <v/>
      </c>
    </row>
    <row r="197">
      <c r="A197" s="10">
        <f>IF(F197="","",COUNTA($F$5:F197))</f>
        <v/>
      </c>
      <c r="B197" s="34" t="inlineStr">
        <is>
          <t>SP</t>
        </is>
      </c>
      <c r="C197" s="34" t="inlineStr">
        <is>
          <t>AMH Pattaya Co., Ltd.</t>
        </is>
      </c>
      <c r="D197" s="34" t="inlineStr">
        <is>
          <t>Contract - Utility</t>
        </is>
      </c>
      <c r="E197" s="35" t="inlineStr">
        <is>
          <t>Owner</t>
        </is>
      </c>
      <c r="F197" s="35" t="inlineStr">
        <is>
          <t>Water supply</t>
        </is>
      </c>
      <c r="G197" s="35" t="inlineStr">
        <is>
          <t>สัญญาน้ำประปา</t>
        </is>
      </c>
      <c r="H197" s="34" t="n"/>
      <c r="I197" s="34" t="n"/>
      <c r="J197" s="36" t="n"/>
      <c r="K197" s="36" t="n"/>
      <c r="L197" s="34" t="inlineStr">
        <is>
          <t>Rolling / evergreen</t>
        </is>
      </c>
      <c r="M197" s="34" t="n">
        <v>60</v>
      </c>
      <c r="N197" s="36">
        <f>IF(K197="","",K197-IF(M197="",0,M197))</f>
        <v/>
      </c>
      <c r="O197" s="37">
        <f>IF(K197="","",K197-TODAY())</f>
        <v/>
      </c>
      <c r="P197" s="10">
        <f>IF(F197="","",IF(K197="","No date",IF(O197&lt;0,"Expired",IF(O197&lt;=30,"Urgent",IF(O197&lt;=90,"Due soon","OK")))))</f>
        <v/>
      </c>
      <c r="Q197" s="34" t="n"/>
      <c r="R197" s="38" t="n"/>
      <c r="S197" s="34" t="n"/>
      <c r="T197" s="35" t="n"/>
      <c r="U197" s="34" t="n"/>
      <c r="V197" s="34">
        <f>IF(F197="","",IF(K197="","",O197+ROW()/100000))</f>
        <v/>
      </c>
    </row>
    <row r="198">
      <c r="A198" s="10">
        <f>IF(F198="","",COUNTA($F$5:F198))</f>
        <v/>
      </c>
      <c r="B198" s="34" t="inlineStr">
        <is>
          <t>SP</t>
        </is>
      </c>
      <c r="C198" s="34" t="inlineStr">
        <is>
          <t>AMH Pattaya Co., Ltd.</t>
        </is>
      </c>
      <c r="D198" s="34" t="inlineStr">
        <is>
          <t>Contract - Lease / Finance</t>
        </is>
      </c>
      <c r="E198" s="35" t="inlineStr">
        <is>
          <t>Owner</t>
        </is>
      </c>
      <c r="F198" s="35" t="inlineStr">
        <is>
          <t>Land / building lease</t>
        </is>
      </c>
      <c r="G198" s="35" t="inlineStr">
        <is>
          <t>สัญญาเช่าที่ดิน / อาคาร</t>
        </is>
      </c>
      <c r="H198" s="34" t="n"/>
      <c r="I198" s="34" t="n"/>
      <c r="J198" s="36" t="n"/>
      <c r="K198" s="36" t="n"/>
      <c r="L198" s="34" t="inlineStr">
        <is>
          <t>Other</t>
        </is>
      </c>
      <c r="M198" s="34" t="n">
        <v>60</v>
      </c>
      <c r="N198" s="36">
        <f>IF(K198="","",K198-IF(M198="",0,M198))</f>
        <v/>
      </c>
      <c r="O198" s="37">
        <f>IF(K198="","",K198-TODAY())</f>
        <v/>
      </c>
      <c r="P198" s="10">
        <f>IF(F198="","",IF(K198="","No date",IF(O198&lt;0,"Expired",IF(O198&lt;=30,"Urgent",IF(O198&lt;=90,"Due soon","OK")))))</f>
        <v/>
      </c>
      <c r="Q198" s="34" t="n"/>
      <c r="R198" s="38" t="n"/>
      <c r="S198" s="34" t="n"/>
      <c r="T198" s="35" t="n"/>
      <c r="U198" s="34" t="n"/>
      <c r="V198" s="34">
        <f>IF(F198="","",IF(K198="","",O198+ROW()/100000))</f>
        <v/>
      </c>
    </row>
    <row r="199">
      <c r="A199" s="10">
        <f>IF(F199="","",COUNTA($F$5:F199))</f>
        <v/>
      </c>
      <c r="B199" s="34" t="inlineStr">
        <is>
          <t>SP</t>
        </is>
      </c>
      <c r="C199" s="34" t="inlineStr">
        <is>
          <t>AMH Pattaya Co., Ltd.</t>
        </is>
      </c>
      <c r="D199" s="34" t="inlineStr">
        <is>
          <t>Contract - Lease / Finance</t>
        </is>
      </c>
      <c r="E199" s="35" t="inlineStr">
        <is>
          <t>Owner</t>
        </is>
      </c>
      <c r="F199" s="35" t="inlineStr">
        <is>
          <t>Bank facility / loan agreement</t>
        </is>
      </c>
      <c r="G199" s="35" t="inlineStr">
        <is>
          <t>สัญญาสินเชื่อธนาคาร</t>
        </is>
      </c>
      <c r="H199" s="34" t="n"/>
      <c r="I199" s="34" t="n"/>
      <c r="J199" s="36" t="n"/>
      <c r="K199" s="36" t="n"/>
      <c r="L199" s="34" t="inlineStr">
        <is>
          <t>Other</t>
        </is>
      </c>
      <c r="M199" s="34" t="n">
        <v>60</v>
      </c>
      <c r="N199" s="36">
        <f>IF(K199="","",K199-IF(M199="",0,M199))</f>
        <v/>
      </c>
      <c r="O199" s="37">
        <f>IF(K199="","",K199-TODAY())</f>
        <v/>
      </c>
      <c r="P199" s="10">
        <f>IF(F199="","",IF(K199="","No date",IF(O199&lt;0,"Expired",IF(O199&lt;=30,"Urgent",IF(O199&lt;=90,"Due soon","OK")))))</f>
        <v/>
      </c>
      <c r="Q199" s="34" t="n"/>
      <c r="R199" s="38" t="n"/>
      <c r="S199" s="34" t="n"/>
      <c r="T199" s="35" t="n"/>
      <c r="U199" s="34" t="n"/>
      <c r="V199" s="34">
        <f>IF(F199="","",IF(K199="","",O199+ROW()/100000))</f>
        <v/>
      </c>
    </row>
    <row r="200">
      <c r="A200" s="10">
        <f>IF(F200="","",COUNTA($F$5:F200))</f>
        <v/>
      </c>
      <c r="B200" s="34" t="inlineStr">
        <is>
          <t>SP</t>
        </is>
      </c>
      <c r="C200" s="34" t="inlineStr">
        <is>
          <t>AMH Pattaya Co., Ltd.</t>
        </is>
      </c>
      <c r="D200" s="34" t="inlineStr">
        <is>
          <t>Licence</t>
        </is>
      </c>
      <c r="E200" s="35" t="inlineStr">
        <is>
          <t>Property</t>
        </is>
      </c>
      <c r="F200" s="35" t="inlineStr">
        <is>
          <t>Hotel manager licence</t>
        </is>
      </c>
      <c r="G200" s="35" t="inlineStr">
        <is>
          <t>ใบอนุญาตผู้จัดการโรงแรม</t>
        </is>
      </c>
      <c r="H200" s="34" t="inlineStr">
        <is>
          <t>Dept. of Provincial Administration / District Office</t>
        </is>
      </c>
      <c r="I200" s="34" t="n"/>
      <c r="J200" s="36" t="n"/>
      <c r="K200" s="36" t="n"/>
      <c r="L200" s="34" t="inlineStr">
        <is>
          <t>Every 5 years</t>
        </is>
      </c>
      <c r="M200" s="34" t="n">
        <v>60</v>
      </c>
      <c r="N200" s="36">
        <f>IF(K200="","",K200-IF(M200="",0,M200))</f>
        <v/>
      </c>
      <c r="O200" s="37">
        <f>IF(K200="","",K200-TODAY())</f>
        <v/>
      </c>
      <c r="P200" s="10">
        <f>IF(F200="","",IF(K200="","No date",IF(O200&lt;0,"Expired",IF(O200&lt;=30,"Urgent",IF(O200&lt;=90,"Due soon","OK")))))</f>
        <v/>
      </c>
      <c r="Q200" s="34" t="n"/>
      <c r="R200" s="38" t="n"/>
      <c r="S200" s="34" t="n"/>
      <c r="T200" s="35" t="n"/>
      <c r="U200" s="34" t="n"/>
      <c r="V200" s="34">
        <f>IF(F200="","",IF(K200="","",O200+ROW()/100000))</f>
        <v/>
      </c>
    </row>
    <row r="201">
      <c r="A201" s="10">
        <f>IF(F201="","",COUNTA($F$5:F201))</f>
        <v/>
      </c>
      <c r="B201" s="34" t="inlineStr">
        <is>
          <t>SP</t>
        </is>
      </c>
      <c r="C201" s="34" t="inlineStr">
        <is>
          <t>AMH Pattaya Co., Ltd.</t>
        </is>
      </c>
      <c r="D201" s="34" t="inlineStr">
        <is>
          <t>Licence</t>
        </is>
      </c>
      <c r="E201" s="35" t="inlineStr">
        <is>
          <t>Property</t>
        </is>
      </c>
      <c r="F201" s="35" t="inlineStr">
        <is>
          <t>Food establishment licence</t>
        </is>
      </c>
      <c r="G201" s="35" t="inlineStr">
        <is>
          <t>ใบอนุญาตสถานที่จำหน่ายอาหาร/สะสมอาหาร</t>
        </is>
      </c>
      <c r="H201" s="34" t="inlineStr">
        <is>
          <t>Local authority (BMA / City Municipality)</t>
        </is>
      </c>
      <c r="I201" s="34" t="n"/>
      <c r="J201" s="36" t="n"/>
      <c r="K201" s="36" t="n"/>
      <c r="L201" s="34" t="inlineStr">
        <is>
          <t>Annual</t>
        </is>
      </c>
      <c r="M201" s="34" t="n">
        <v>60</v>
      </c>
      <c r="N201" s="36">
        <f>IF(K201="","",K201-IF(M201="",0,M201))</f>
        <v/>
      </c>
      <c r="O201" s="37">
        <f>IF(K201="","",K201-TODAY())</f>
        <v/>
      </c>
      <c r="P201" s="10">
        <f>IF(F201="","",IF(K201="","No date",IF(O201&lt;0,"Expired",IF(O201&lt;=30,"Urgent",IF(O201&lt;=90,"Due soon","OK")))))</f>
        <v/>
      </c>
      <c r="Q201" s="34" t="n"/>
      <c r="R201" s="38" t="n"/>
      <c r="S201" s="34" t="n"/>
      <c r="T201" s="35" t="n"/>
      <c r="U201" s="34" t="n"/>
      <c r="V201" s="34">
        <f>IF(F201="","",IF(K201="","",O201+ROW()/100000))</f>
        <v/>
      </c>
    </row>
    <row r="202">
      <c r="A202" s="10">
        <f>IF(F202="","",COUNTA($F$5:F202))</f>
        <v/>
      </c>
      <c r="B202" s="34" t="inlineStr">
        <is>
          <t>SP</t>
        </is>
      </c>
      <c r="C202" s="34" t="inlineStr">
        <is>
          <t>AMH Pattaya Co., Ltd.</t>
        </is>
      </c>
      <c r="D202" s="34" t="inlineStr">
        <is>
          <t>Licence</t>
        </is>
      </c>
      <c r="E202" s="35" t="inlineStr">
        <is>
          <t>Property</t>
        </is>
      </c>
      <c r="F202" s="35" t="inlineStr">
        <is>
          <t>Alcohol sale licence</t>
        </is>
      </c>
      <c r="G202" s="35" t="inlineStr">
        <is>
          <t>ใบอนุญาตขายสุรา</t>
        </is>
      </c>
      <c r="H202" s="34" t="inlineStr">
        <is>
          <t>Excise Department</t>
        </is>
      </c>
      <c r="I202" s="34" t="n"/>
      <c r="J202" s="36" t="n"/>
      <c r="K202" s="36" t="n"/>
      <c r="L202" s="34" t="inlineStr">
        <is>
          <t>Annual</t>
        </is>
      </c>
      <c r="M202" s="34" t="n">
        <v>60</v>
      </c>
      <c r="N202" s="36">
        <f>IF(K202="","",K202-IF(M202="",0,M202))</f>
        <v/>
      </c>
      <c r="O202" s="37">
        <f>IF(K202="","",K202-TODAY())</f>
        <v/>
      </c>
      <c r="P202" s="10">
        <f>IF(F202="","",IF(K202="","No date",IF(O202&lt;0,"Expired",IF(O202&lt;=30,"Urgent",IF(O202&lt;=90,"Due soon","OK")))))</f>
        <v/>
      </c>
      <c r="Q202" s="34" t="n"/>
      <c r="R202" s="38" t="n"/>
      <c r="S202" s="34" t="n"/>
      <c r="T202" s="35" t="n"/>
      <c r="U202" s="34" t="n"/>
      <c r="V202" s="34">
        <f>IF(F202="","",IF(K202="","",O202+ROW()/100000))</f>
        <v/>
      </c>
    </row>
    <row r="203">
      <c r="A203" s="10">
        <f>IF(F203="","",COUNTA($F$5:F203))</f>
        <v/>
      </c>
      <c r="B203" s="34" t="inlineStr">
        <is>
          <t>SP</t>
        </is>
      </c>
      <c r="C203" s="34" t="inlineStr">
        <is>
          <t>AMH Pattaya Co., Ltd.</t>
        </is>
      </c>
      <c r="D203" s="34" t="inlineStr">
        <is>
          <t>Licence</t>
        </is>
      </c>
      <c r="E203" s="35" t="inlineStr">
        <is>
          <t>Property</t>
        </is>
      </c>
      <c r="F203" s="35" t="inlineStr">
        <is>
          <t>Tobacco sale licence</t>
        </is>
      </c>
      <c r="G203" s="35" t="inlineStr">
        <is>
          <t>ใบอนุญาตขายยาสูบ</t>
        </is>
      </c>
      <c r="H203" s="34" t="inlineStr">
        <is>
          <t>Excise Department</t>
        </is>
      </c>
      <c r="I203" s="34" t="n"/>
      <c r="J203" s="36" t="n"/>
      <c r="K203" s="36" t="n"/>
      <c r="L203" s="34" t="inlineStr">
        <is>
          <t>Annual</t>
        </is>
      </c>
      <c r="M203" s="34" t="n">
        <v>60</v>
      </c>
      <c r="N203" s="36">
        <f>IF(K203="","",K203-IF(M203="",0,M203))</f>
        <v/>
      </c>
      <c r="O203" s="37">
        <f>IF(K203="","",K203-TODAY())</f>
        <v/>
      </c>
      <c r="P203" s="10">
        <f>IF(F203="","",IF(K203="","No date",IF(O203&lt;0,"Expired",IF(O203&lt;=30,"Urgent",IF(O203&lt;=90,"Due soon","OK")))))</f>
        <v/>
      </c>
      <c r="Q203" s="34" t="n"/>
      <c r="R203" s="38" t="n"/>
      <c r="S203" s="34" t="n"/>
      <c r="T203" s="35" t="n"/>
      <c r="U203" s="34" t="n"/>
      <c r="V203" s="34">
        <f>IF(F203="","",IF(K203="","",O203+ROW()/100000))</f>
        <v/>
      </c>
    </row>
    <row r="204">
      <c r="A204" s="10">
        <f>IF(F204="","",COUNTA($F$5:F204))</f>
        <v/>
      </c>
      <c r="B204" s="34" t="inlineStr">
        <is>
          <t>SP</t>
        </is>
      </c>
      <c r="C204" s="34" t="inlineStr">
        <is>
          <t>AMH Pattaya Co., Ltd.</t>
        </is>
      </c>
      <c r="D204" s="34" t="inlineStr">
        <is>
          <t>Licence</t>
        </is>
      </c>
      <c r="E204" s="35" t="inlineStr">
        <is>
          <t>Property</t>
        </is>
      </c>
      <c r="F204" s="35" t="inlineStr">
        <is>
          <t>Swimming pool / public place licence</t>
        </is>
      </c>
      <c r="G204" s="35" t="inlineStr">
        <is>
          <t>ใบอนุญาตสถานที่สาธารณะ (สระว่ายน้ำ)</t>
        </is>
      </c>
      <c r="H204" s="34" t="inlineStr">
        <is>
          <t>Local authority (BMA / City Municipality)</t>
        </is>
      </c>
      <c r="I204" s="34" t="n"/>
      <c r="J204" s="36" t="n"/>
      <c r="K204" s="36" t="n"/>
      <c r="L204" s="34" t="inlineStr">
        <is>
          <t>Annual</t>
        </is>
      </c>
      <c r="M204" s="34" t="n">
        <v>60</v>
      </c>
      <c r="N204" s="36">
        <f>IF(K204="","",K204-IF(M204="",0,M204))</f>
        <v/>
      </c>
      <c r="O204" s="37">
        <f>IF(K204="","",K204-TODAY())</f>
        <v/>
      </c>
      <c r="P204" s="10">
        <f>IF(F204="","",IF(K204="","No date",IF(O204&lt;0,"Expired",IF(O204&lt;=30,"Urgent",IF(O204&lt;=90,"Due soon","OK")))))</f>
        <v/>
      </c>
      <c r="Q204" s="34" t="n"/>
      <c r="R204" s="38" t="n"/>
      <c r="S204" s="34" t="n"/>
      <c r="T204" s="35" t="n"/>
      <c r="U204" s="34" t="n"/>
      <c r="V204" s="34">
        <f>IF(F204="","",IF(K204="","",O204+ROW()/100000))</f>
        <v/>
      </c>
    </row>
    <row r="205">
      <c r="A205" s="10">
        <f>IF(F205="","",COUNTA($F$5:F205))</f>
        <v/>
      </c>
      <c r="B205" s="34" t="inlineStr">
        <is>
          <t>SP</t>
        </is>
      </c>
      <c r="C205" s="34" t="inlineStr">
        <is>
          <t>AMH Pattaya Co., Ltd.</t>
        </is>
      </c>
      <c r="D205" s="34" t="inlineStr">
        <is>
          <t>Licence</t>
        </is>
      </c>
      <c r="E205" s="35" t="inlineStr">
        <is>
          <t>Property</t>
        </is>
      </c>
      <c r="F205" s="35" t="inlineStr">
        <is>
          <t>Radio / walkie-talkie frequency licence</t>
        </is>
      </c>
      <c r="G205" s="35" t="inlineStr">
        <is>
          <t>ใบอนุญาตวิทยุคมนาคม</t>
        </is>
      </c>
      <c r="H205" s="34" t="inlineStr">
        <is>
          <t>NBTC</t>
        </is>
      </c>
      <c r="I205" s="34" t="n"/>
      <c r="J205" s="36" t="n"/>
      <c r="K205" s="36" t="n"/>
      <c r="L205" s="34" t="inlineStr">
        <is>
          <t>Annual</t>
        </is>
      </c>
      <c r="M205" s="34" t="n">
        <v>60</v>
      </c>
      <c r="N205" s="36">
        <f>IF(K205="","",K205-IF(M205="",0,M205))</f>
        <v/>
      </c>
      <c r="O205" s="37">
        <f>IF(K205="","",K205-TODAY())</f>
        <v/>
      </c>
      <c r="P205" s="10">
        <f>IF(F205="","",IF(K205="","No date",IF(O205&lt;0,"Expired",IF(O205&lt;=30,"Urgent",IF(O205&lt;=90,"Due soon","OK")))))</f>
        <v/>
      </c>
      <c r="Q205" s="34" t="n"/>
      <c r="R205" s="38" t="n"/>
      <c r="S205" s="34" t="n"/>
      <c r="T205" s="35" t="n"/>
      <c r="U205" s="34" t="n"/>
      <c r="V205" s="34">
        <f>IF(F205="","",IF(K205="","",O205+ROW()/100000))</f>
        <v/>
      </c>
    </row>
    <row r="206">
      <c r="A206" s="10">
        <f>IF(F206="","",COUNTA($F$5:F206))</f>
        <v/>
      </c>
      <c r="B206" s="34" t="inlineStr">
        <is>
          <t>SP</t>
        </is>
      </c>
      <c r="C206" s="34" t="inlineStr">
        <is>
          <t>AMH Pattaya Co., Ltd.</t>
        </is>
      </c>
      <c r="D206" s="34" t="inlineStr">
        <is>
          <t>Licence</t>
        </is>
      </c>
      <c r="E206" s="35" t="inlineStr">
        <is>
          <t>Property</t>
        </is>
      </c>
      <c r="F206" s="35" t="inlineStr">
        <is>
          <t>Music / copyright public performance licence</t>
        </is>
      </c>
      <c r="G206" s="35" t="inlineStr">
        <is>
          <t>ใบอนุญาตเผยแพร่งานดนตรี (MCT / ลิขสิทธิ์)</t>
        </is>
      </c>
      <c r="H206" s="34" t="inlineStr">
        <is>
          <t>MCT / Phonorights / collecting societies</t>
        </is>
      </c>
      <c r="I206" s="34" t="n"/>
      <c r="J206" s="36" t="n"/>
      <c r="K206" s="36" t="n"/>
      <c r="L206" s="34" t="inlineStr">
        <is>
          <t>Annual</t>
        </is>
      </c>
      <c r="M206" s="34" t="n">
        <v>60</v>
      </c>
      <c r="N206" s="36">
        <f>IF(K206="","",K206-IF(M206="",0,M206))</f>
        <v/>
      </c>
      <c r="O206" s="37">
        <f>IF(K206="","",K206-TODAY())</f>
        <v/>
      </c>
      <c r="P206" s="10">
        <f>IF(F206="","",IF(K206="","No date",IF(O206&lt;0,"Expired",IF(O206&lt;=30,"Urgent",IF(O206&lt;=90,"Due soon","OK")))))</f>
        <v/>
      </c>
      <c r="Q206" s="34" t="n"/>
      <c r="R206" s="38" t="n"/>
      <c r="S206" s="34" t="n"/>
      <c r="T206" s="35" t="n"/>
      <c r="U206" s="34" t="n"/>
      <c r="V206" s="34">
        <f>IF(F206="","",IF(K206="","",O206+ROW()/100000))</f>
        <v/>
      </c>
    </row>
    <row r="207">
      <c r="A207" s="10">
        <f>IF(F207="","",COUNTA($F$5:F207))</f>
        <v/>
      </c>
      <c r="B207" s="34" t="inlineStr">
        <is>
          <t>SP</t>
        </is>
      </c>
      <c r="C207" s="34" t="inlineStr">
        <is>
          <t>AMH Pattaya Co., Ltd.</t>
        </is>
      </c>
      <c r="D207" s="34" t="inlineStr">
        <is>
          <t>Permit</t>
        </is>
      </c>
      <c r="E207" s="35" t="inlineStr">
        <is>
          <t>Property</t>
        </is>
      </c>
      <c r="F207" s="35" t="inlineStr">
        <is>
          <t>Waste / refuse disposal permit</t>
        </is>
      </c>
      <c r="G207" s="35" t="inlineStr">
        <is>
          <t>ใบอนุญาตกำจัดสิ่งปฏิกูลและมูลฝอย</t>
        </is>
      </c>
      <c r="H207" s="34" t="inlineStr">
        <is>
          <t>Local authority</t>
        </is>
      </c>
      <c r="I207" s="34" t="n"/>
      <c r="J207" s="36" t="n"/>
      <c r="K207" s="36" t="n"/>
      <c r="L207" s="34" t="inlineStr">
        <is>
          <t>Annual</t>
        </is>
      </c>
      <c r="M207" s="34" t="n">
        <v>60</v>
      </c>
      <c r="N207" s="36">
        <f>IF(K207="","",K207-IF(M207="",0,M207))</f>
        <v/>
      </c>
      <c r="O207" s="37">
        <f>IF(K207="","",K207-TODAY())</f>
        <v/>
      </c>
      <c r="P207" s="10">
        <f>IF(F207="","",IF(K207="","No date",IF(O207&lt;0,"Expired",IF(O207&lt;=30,"Urgent",IF(O207&lt;=90,"Due soon","OK")))))</f>
        <v/>
      </c>
      <c r="Q207" s="34" t="n"/>
      <c r="R207" s="38" t="n"/>
      <c r="S207" s="34" t="n"/>
      <c r="T207" s="35" t="n"/>
      <c r="U207" s="34" t="n"/>
      <c r="V207" s="34">
        <f>IF(F207="","",IF(K207="","",O207+ROW()/100000))</f>
        <v/>
      </c>
    </row>
    <row r="208">
      <c r="A208" s="10">
        <f>IF(F208="","",COUNTA($F$5:F208))</f>
        <v/>
      </c>
      <c r="B208" s="34" t="inlineStr">
        <is>
          <t>SP</t>
        </is>
      </c>
      <c r="C208" s="34" t="inlineStr">
        <is>
          <t>AMH Pattaya Co., Ltd.</t>
        </is>
      </c>
      <c r="D208" s="34" t="inlineStr">
        <is>
          <t>Permit</t>
        </is>
      </c>
      <c r="E208" s="35" t="inlineStr">
        <is>
          <t>Property</t>
        </is>
      </c>
      <c r="F208" s="35" t="inlineStr">
        <is>
          <t>Work permits / visas — foreign staff</t>
        </is>
      </c>
      <c r="G208" s="35" t="inlineStr">
        <is>
          <t>ใบอนุญาตทำงาน / วีซ่าพนักงานต่างชาติ</t>
        </is>
      </c>
      <c r="H208" s="34" t="inlineStr">
        <is>
          <t>Dept. of Employment / Immigration</t>
        </is>
      </c>
      <c r="I208" s="34" t="n"/>
      <c r="J208" s="36" t="n"/>
      <c r="K208" s="36" t="n"/>
      <c r="L208" s="34" t="inlineStr">
        <is>
          <t>Annual</t>
        </is>
      </c>
      <c r="M208" s="34" t="n">
        <v>60</v>
      </c>
      <c r="N208" s="36">
        <f>IF(K208="","",K208-IF(M208="",0,M208))</f>
        <v/>
      </c>
      <c r="O208" s="37">
        <f>IF(K208="","",K208-TODAY())</f>
        <v/>
      </c>
      <c r="P208" s="10">
        <f>IF(F208="","",IF(K208="","No date",IF(O208&lt;0,"Expired",IF(O208&lt;=30,"Urgent",IF(O208&lt;=90,"Due soon","OK")))))</f>
        <v/>
      </c>
      <c r="Q208" s="34" t="n"/>
      <c r="R208" s="38" t="n"/>
      <c r="S208" s="34" t="n"/>
      <c r="T208" s="35" t="n"/>
      <c r="U208" s="34" t="n"/>
      <c r="V208" s="34">
        <f>IF(F208="","",IF(K208="","",O208+ROW()/100000))</f>
        <v/>
      </c>
    </row>
    <row r="209">
      <c r="A209" s="10">
        <f>IF(F209="","",COUNTA($F$5:F209))</f>
        <v/>
      </c>
      <c r="B209" s="34" t="inlineStr">
        <is>
          <t>SP</t>
        </is>
      </c>
      <c r="C209" s="34" t="inlineStr">
        <is>
          <t>AMH Pattaya Co., Ltd.</t>
        </is>
      </c>
      <c r="D209" s="34" t="inlineStr">
        <is>
          <t>Certificate</t>
        </is>
      </c>
      <c r="E209" s="35" t="inlineStr">
        <is>
          <t>Property</t>
        </is>
      </c>
      <c r="F209" s="35" t="inlineStr">
        <is>
          <t>Swimming pool water quality test</t>
        </is>
      </c>
      <c r="G209" s="35" t="inlineStr">
        <is>
          <t>ผลตรวจคุณภาพน้ำสระว่ายน้ำ</t>
        </is>
      </c>
      <c r="H209" s="34" t="inlineStr">
        <is>
          <t>Accredited laboratory</t>
        </is>
      </c>
      <c r="I209" s="34" t="n"/>
      <c r="J209" s="36" t="n"/>
      <c r="K209" s="36" t="n"/>
      <c r="L209" s="34" t="inlineStr">
        <is>
          <t>Other</t>
        </is>
      </c>
      <c r="M209" s="34" t="n">
        <v>60</v>
      </c>
      <c r="N209" s="36">
        <f>IF(K209="","",K209-IF(M209="",0,M209))</f>
        <v/>
      </c>
      <c r="O209" s="37">
        <f>IF(K209="","",K209-TODAY())</f>
        <v/>
      </c>
      <c r="P209" s="10">
        <f>IF(F209="","",IF(K209="","No date",IF(O209&lt;0,"Expired",IF(O209&lt;=30,"Urgent",IF(O209&lt;=90,"Due soon","OK")))))</f>
        <v/>
      </c>
      <c r="Q209" s="34" t="n"/>
      <c r="R209" s="38" t="n"/>
      <c r="S209" s="34" t="n"/>
      <c r="T209" s="35" t="n"/>
      <c r="U209" s="34" t="n"/>
      <c r="V209" s="34">
        <f>IF(F209="","",IF(K209="","",O209+ROW()/100000))</f>
        <v/>
      </c>
    </row>
    <row r="210">
      <c r="A210" s="10">
        <f>IF(F210="","",COUNTA($F$5:F210))</f>
        <v/>
      </c>
      <c r="B210" s="34" t="inlineStr">
        <is>
          <t>SP</t>
        </is>
      </c>
      <c r="C210" s="34" t="inlineStr">
        <is>
          <t>AMH Pattaya Co., Ltd.</t>
        </is>
      </c>
      <c r="D210" s="34" t="inlineStr">
        <is>
          <t>Certificate</t>
        </is>
      </c>
      <c r="E210" s="35" t="inlineStr">
        <is>
          <t>Property</t>
        </is>
      </c>
      <c r="F210" s="35" t="inlineStr">
        <is>
          <t>Drinking / potable water quality test</t>
        </is>
      </c>
      <c r="G210" s="35" t="inlineStr">
        <is>
          <t>ผลตรวจคุณภาพน้ำดื่ม</t>
        </is>
      </c>
      <c r="H210" s="34" t="inlineStr">
        <is>
          <t>Accredited laboratory</t>
        </is>
      </c>
      <c r="I210" s="34" t="n"/>
      <c r="J210" s="36" t="n"/>
      <c r="K210" s="36" t="n"/>
      <c r="L210" s="34" t="inlineStr">
        <is>
          <t>Annual</t>
        </is>
      </c>
      <c r="M210" s="34" t="n">
        <v>60</v>
      </c>
      <c r="N210" s="36">
        <f>IF(K210="","",K210-IF(M210="",0,M210))</f>
        <v/>
      </c>
      <c r="O210" s="37">
        <f>IF(K210="","",K210-TODAY())</f>
        <v/>
      </c>
      <c r="P210" s="10">
        <f>IF(F210="","",IF(K210="","No date",IF(O210&lt;0,"Expired",IF(O210&lt;=30,"Urgent",IF(O210&lt;=90,"Due soon","OK")))))</f>
        <v/>
      </c>
      <c r="Q210" s="34" t="n"/>
      <c r="R210" s="38" t="n"/>
      <c r="S210" s="34" t="n"/>
      <c r="T210" s="35" t="n"/>
      <c r="U210" s="34" t="n"/>
      <c r="V210" s="34">
        <f>IF(F210="","",IF(K210="","",O210+ROW()/100000))</f>
        <v/>
      </c>
    </row>
    <row r="211">
      <c r="A211" s="10">
        <f>IF(F211="","",COUNTA($F$5:F211))</f>
        <v/>
      </c>
      <c r="B211" s="34" t="inlineStr">
        <is>
          <t>SP</t>
        </is>
      </c>
      <c r="C211" s="34" t="inlineStr">
        <is>
          <t>AMH Pattaya Co., Ltd.</t>
        </is>
      </c>
      <c r="D211" s="34" t="inlineStr">
        <is>
          <t>Certificate</t>
        </is>
      </c>
      <c r="E211" s="35" t="inlineStr">
        <is>
          <t>Property</t>
        </is>
      </c>
      <c r="F211" s="35" t="inlineStr">
        <is>
          <t>Wastewater treatment monitoring report</t>
        </is>
      </c>
      <c r="G211" s="35" t="inlineStr">
        <is>
          <t>รายงานผลการตรวจวัดคุณภาพน้ำทิ้ง</t>
        </is>
      </c>
      <c r="H211" s="34" t="inlineStr">
        <is>
          <t>Dept. of Pollution Control / local authority</t>
        </is>
      </c>
      <c r="I211" s="34" t="n"/>
      <c r="J211" s="36" t="n"/>
      <c r="K211" s="36" t="n"/>
      <c r="L211" s="34" t="inlineStr">
        <is>
          <t>Other</t>
        </is>
      </c>
      <c r="M211" s="34" t="n">
        <v>60</v>
      </c>
      <c r="N211" s="36">
        <f>IF(K211="","",K211-IF(M211="",0,M211))</f>
        <v/>
      </c>
      <c r="O211" s="37">
        <f>IF(K211="","",K211-TODAY())</f>
        <v/>
      </c>
      <c r="P211" s="10">
        <f>IF(F211="","",IF(K211="","No date",IF(O211&lt;0,"Expired",IF(O211&lt;=30,"Urgent",IF(O211&lt;=90,"Due soon","OK")))))</f>
        <v/>
      </c>
      <c r="Q211" s="34" t="n"/>
      <c r="R211" s="38" t="n"/>
      <c r="S211" s="34" t="n"/>
      <c r="T211" s="35" t="n"/>
      <c r="U211" s="34" t="n"/>
      <c r="V211" s="34">
        <f>IF(F211="","",IF(K211="","",O211+ROW()/100000))</f>
        <v/>
      </c>
    </row>
    <row r="212">
      <c r="A212" s="10">
        <f>IF(F212="","",COUNTA($F$5:F212))</f>
        <v/>
      </c>
      <c r="B212" s="34" t="inlineStr">
        <is>
          <t>SP</t>
        </is>
      </c>
      <c r="C212" s="34" t="inlineStr">
        <is>
          <t>AMH Pattaya Co., Ltd.</t>
        </is>
      </c>
      <c r="D212" s="34" t="inlineStr">
        <is>
          <t>Certificate</t>
        </is>
      </c>
      <c r="E212" s="35" t="inlineStr">
        <is>
          <t>Property</t>
        </is>
      </c>
      <c r="F212" s="35" t="inlineStr">
        <is>
          <t>Food handler health certificates</t>
        </is>
      </c>
      <c r="G212" s="35" t="inlineStr">
        <is>
          <t>ใบรับรองสุขภาพผู้สัมผัสอาหาร</t>
        </is>
      </c>
      <c r="H212" s="34" t="inlineStr">
        <is>
          <t>Public health office</t>
        </is>
      </c>
      <c r="I212" s="34" t="n"/>
      <c r="J212" s="36" t="n"/>
      <c r="K212" s="36" t="n"/>
      <c r="L212" s="34" t="inlineStr">
        <is>
          <t>Annual</t>
        </is>
      </c>
      <c r="M212" s="34" t="n">
        <v>60</v>
      </c>
      <c r="N212" s="36">
        <f>IF(K212="","",K212-IF(M212="",0,M212))</f>
        <v/>
      </c>
      <c r="O212" s="37">
        <f>IF(K212="","",K212-TODAY())</f>
        <v/>
      </c>
      <c r="P212" s="10">
        <f>IF(F212="","",IF(K212="","No date",IF(O212&lt;0,"Expired",IF(O212&lt;=30,"Urgent",IF(O212&lt;=90,"Due soon","OK")))))</f>
        <v/>
      </c>
      <c r="Q212" s="34" t="n"/>
      <c r="R212" s="38" t="n"/>
      <c r="S212" s="34" t="n"/>
      <c r="T212" s="35" t="n"/>
      <c r="U212" s="34" t="n"/>
      <c r="V212" s="34">
        <f>IF(F212="","",IF(K212="","",O212+ROW()/100000))</f>
        <v/>
      </c>
    </row>
    <row r="213">
      <c r="A213" s="10">
        <f>IF(F213="","",COUNTA($F$5:F213))</f>
        <v/>
      </c>
      <c r="B213" s="34" t="inlineStr">
        <is>
          <t>SP</t>
        </is>
      </c>
      <c r="C213" s="34" t="inlineStr">
        <is>
          <t>AMH Pattaya Co., Ltd.</t>
        </is>
      </c>
      <c r="D213" s="34" t="inlineStr">
        <is>
          <t>Certificate</t>
        </is>
      </c>
      <c r="E213" s="35" t="inlineStr">
        <is>
          <t>Property</t>
        </is>
      </c>
      <c r="F213" s="35" t="inlineStr">
        <is>
          <t>Pest control service certificate</t>
        </is>
      </c>
      <c r="G213" s="35" t="inlineStr">
        <is>
          <t>ใบรับรองการกำจัดแมลงและสัตว์พาหะ</t>
        </is>
      </c>
      <c r="H213" s="34" t="inlineStr">
        <is>
          <t>Licensed contractor</t>
        </is>
      </c>
      <c r="I213" s="34" t="n"/>
      <c r="J213" s="36" t="n"/>
      <c r="K213" s="36" t="n"/>
      <c r="L213" s="34" t="inlineStr">
        <is>
          <t>Annual</t>
        </is>
      </c>
      <c r="M213" s="34" t="n">
        <v>60</v>
      </c>
      <c r="N213" s="36">
        <f>IF(K213="","",K213-IF(M213="",0,M213))</f>
        <v/>
      </c>
      <c r="O213" s="37">
        <f>IF(K213="","",K213-TODAY())</f>
        <v/>
      </c>
      <c r="P213" s="10">
        <f>IF(F213="","",IF(K213="","No date",IF(O213&lt;0,"Expired",IF(O213&lt;=30,"Urgent",IF(O213&lt;=90,"Due soon","OK")))))</f>
        <v/>
      </c>
      <c r="Q213" s="34" t="n"/>
      <c r="R213" s="38" t="n"/>
      <c r="S213" s="34" t="n"/>
      <c r="T213" s="35" t="n"/>
      <c r="U213" s="34" t="n"/>
      <c r="V213" s="34">
        <f>IF(F213="","",IF(K213="","",O213+ROW()/100000))</f>
        <v/>
      </c>
    </row>
    <row r="214">
      <c r="A214" s="10">
        <f>IF(F214="","",COUNTA($F$5:F214))</f>
        <v/>
      </c>
      <c r="B214" s="34" t="inlineStr">
        <is>
          <t>SP</t>
        </is>
      </c>
      <c r="C214" s="34" t="inlineStr">
        <is>
          <t>AMH Pattaya Co., Ltd.</t>
        </is>
      </c>
      <c r="D214" s="34" t="inlineStr">
        <is>
          <t>Insurance</t>
        </is>
      </c>
      <c r="E214" s="35" t="inlineStr">
        <is>
          <t>Property</t>
        </is>
      </c>
      <c r="F214" s="35" t="inlineStr">
        <is>
          <t>Hotel guest / hotel-act compulsory insurance</t>
        </is>
      </c>
      <c r="G214" s="35" t="inlineStr">
        <is>
          <t>ประกันภัยตาม พ.ร.บ. โรงแรม</t>
        </is>
      </c>
      <c r="H214" s="34" t="inlineStr">
        <is>
          <t>Insurer / broker</t>
        </is>
      </c>
      <c r="I214" s="34" t="n"/>
      <c r="J214" s="36" t="n"/>
      <c r="K214" s="36" t="n"/>
      <c r="L214" s="34" t="inlineStr">
        <is>
          <t>Annual</t>
        </is>
      </c>
      <c r="M214" s="34" t="n">
        <v>60</v>
      </c>
      <c r="N214" s="36">
        <f>IF(K214="","",K214-IF(M214="",0,M214))</f>
        <v/>
      </c>
      <c r="O214" s="37">
        <f>IF(K214="","",K214-TODAY())</f>
        <v/>
      </c>
      <c r="P214" s="10">
        <f>IF(F214="","",IF(K214="","No date",IF(O214&lt;0,"Expired",IF(O214&lt;=30,"Urgent",IF(O214&lt;=90,"Due soon","OK")))))</f>
        <v/>
      </c>
      <c r="Q214" s="34" t="n"/>
      <c r="R214" s="38" t="n"/>
      <c r="S214" s="34" t="n"/>
      <c r="T214" s="35" t="n"/>
      <c r="U214" s="34" t="n"/>
      <c r="V214" s="34">
        <f>IF(F214="","",IF(K214="","",O214+ROW()/100000))</f>
        <v/>
      </c>
    </row>
    <row r="215">
      <c r="A215" s="10">
        <f>IF(F215="","",COUNTA($F$5:F215))</f>
        <v/>
      </c>
      <c r="B215" s="34" t="inlineStr">
        <is>
          <t>SP</t>
        </is>
      </c>
      <c r="C215" s="34" t="inlineStr">
        <is>
          <t>AMH Pattaya Co., Ltd.</t>
        </is>
      </c>
      <c r="D215" s="34" t="inlineStr">
        <is>
          <t>Contract - OTA</t>
        </is>
      </c>
      <c r="E215" s="35" t="inlineStr">
        <is>
          <t>Property</t>
        </is>
      </c>
      <c r="F215" s="35" t="inlineStr">
        <is>
          <t>Booking.com accommodation agreement</t>
        </is>
      </c>
      <c r="G215" s="35" t="inlineStr">
        <is>
          <t>สัญญากับ Booking.com</t>
        </is>
      </c>
      <c r="H215" s="34" t="inlineStr">
        <is>
          <t>Booking.com B.V.</t>
        </is>
      </c>
      <c r="I215" s="34" t="n"/>
      <c r="J215" s="36" t="n"/>
      <c r="K215" s="36" t="n"/>
      <c r="L215" s="34" t="inlineStr">
        <is>
          <t>Rolling / evergreen</t>
        </is>
      </c>
      <c r="M215" s="34" t="n">
        <v>60</v>
      </c>
      <c r="N215" s="36">
        <f>IF(K215="","",K215-IF(M215="",0,M215))</f>
        <v/>
      </c>
      <c r="O215" s="37">
        <f>IF(K215="","",K215-TODAY())</f>
        <v/>
      </c>
      <c r="P215" s="10">
        <f>IF(F215="","",IF(K215="","No date",IF(O215&lt;0,"Expired",IF(O215&lt;=30,"Urgent",IF(O215&lt;=90,"Due soon","OK")))))</f>
        <v/>
      </c>
      <c r="Q215" s="34" t="n"/>
      <c r="R215" s="38" t="n"/>
      <c r="S215" s="34" t="n"/>
      <c r="T215" s="35" t="n"/>
      <c r="U215" s="34" t="n"/>
      <c r="V215" s="34">
        <f>IF(F215="","",IF(K215="","",O215+ROW()/100000))</f>
        <v/>
      </c>
    </row>
    <row r="216">
      <c r="A216" s="10">
        <f>IF(F216="","",COUNTA($F$5:F216))</f>
        <v/>
      </c>
      <c r="B216" s="34" t="inlineStr">
        <is>
          <t>SP</t>
        </is>
      </c>
      <c r="C216" s="34" t="inlineStr">
        <is>
          <t>AMH Pattaya Co., Ltd.</t>
        </is>
      </c>
      <c r="D216" s="34" t="inlineStr">
        <is>
          <t>Contract - OTA</t>
        </is>
      </c>
      <c r="E216" s="35" t="inlineStr">
        <is>
          <t>Property</t>
        </is>
      </c>
      <c r="F216" s="35" t="inlineStr">
        <is>
          <t>Expedia lodging agreement</t>
        </is>
      </c>
      <c r="G216" s="35" t="inlineStr">
        <is>
          <t>สัญญากับ Expedia</t>
        </is>
      </c>
      <c r="H216" s="34" t="inlineStr">
        <is>
          <t>Travelscape LLC / Expedia (Thailand) Co., Ltd.</t>
        </is>
      </c>
      <c r="I216" s="34" t="n"/>
      <c r="J216" s="36" t="n"/>
      <c r="K216" s="36" t="n"/>
      <c r="L216" s="34" t="inlineStr">
        <is>
          <t>Rolling / evergreen</t>
        </is>
      </c>
      <c r="M216" s="34" t="n">
        <v>60</v>
      </c>
      <c r="N216" s="36">
        <f>IF(K216="","",K216-IF(M216="",0,M216))</f>
        <v/>
      </c>
      <c r="O216" s="37">
        <f>IF(K216="","",K216-TODAY())</f>
        <v/>
      </c>
      <c r="P216" s="10">
        <f>IF(F216="","",IF(K216="","No date",IF(O216&lt;0,"Expired",IF(O216&lt;=30,"Urgent",IF(O216&lt;=90,"Due soon","OK")))))</f>
        <v/>
      </c>
      <c r="Q216" s="34" t="n"/>
      <c r="R216" s="38" t="n"/>
      <c r="S216" s="34" t="n"/>
      <c r="T216" s="35" t="n"/>
      <c r="U216" s="34" t="n"/>
      <c r="V216" s="34">
        <f>IF(F216="","",IF(K216="","",O216+ROW()/100000))</f>
        <v/>
      </c>
    </row>
    <row r="217">
      <c r="A217" s="10">
        <f>IF(F217="","",COUNTA($F$5:F217))</f>
        <v/>
      </c>
      <c r="B217" s="34" t="inlineStr">
        <is>
          <t>SP</t>
        </is>
      </c>
      <c r="C217" s="34" t="inlineStr">
        <is>
          <t>AMH Pattaya Co., Ltd.</t>
        </is>
      </c>
      <c r="D217" s="34" t="inlineStr">
        <is>
          <t>Contract - OTA</t>
        </is>
      </c>
      <c r="E217" s="35" t="inlineStr">
        <is>
          <t>Property</t>
        </is>
      </c>
      <c r="F217" s="35" t="inlineStr">
        <is>
          <t>Agoda accommodation agreement</t>
        </is>
      </c>
      <c r="G217" s="35" t="inlineStr">
        <is>
          <t>สัญญากับ Agoda</t>
        </is>
      </c>
      <c r="H217" s="34" t="inlineStr">
        <is>
          <t>Agoda Company Pte. Ltd.</t>
        </is>
      </c>
      <c r="I217" s="34" t="n"/>
      <c r="J217" s="36" t="n"/>
      <c r="K217" s="36" t="n"/>
      <c r="L217" s="34" t="inlineStr">
        <is>
          <t>Rolling / evergreen</t>
        </is>
      </c>
      <c r="M217" s="34" t="n">
        <v>60</v>
      </c>
      <c r="N217" s="36">
        <f>IF(K217="","",K217-IF(M217="",0,M217))</f>
        <v/>
      </c>
      <c r="O217" s="37">
        <f>IF(K217="","",K217-TODAY())</f>
        <v/>
      </c>
      <c r="P217" s="10">
        <f>IF(F217="","",IF(K217="","No date",IF(O217&lt;0,"Expired",IF(O217&lt;=30,"Urgent",IF(O217&lt;=90,"Due soon","OK")))))</f>
        <v/>
      </c>
      <c r="Q217" s="34" t="n"/>
      <c r="R217" s="38" t="n"/>
      <c r="S217" s="34" t="n"/>
      <c r="T217" s="35" t="n"/>
      <c r="U217" s="34" t="n"/>
      <c r="V217" s="34">
        <f>IF(F217="","",IF(K217="","",O217+ROW()/100000))</f>
        <v/>
      </c>
    </row>
    <row r="218">
      <c r="A218" s="10">
        <f>IF(F218="","",COUNTA($F$5:F218))</f>
        <v/>
      </c>
      <c r="B218" s="34" t="inlineStr">
        <is>
          <t>SP</t>
        </is>
      </c>
      <c r="C218" s="34" t="inlineStr">
        <is>
          <t>AMH Pattaya Co., Ltd.</t>
        </is>
      </c>
      <c r="D218" s="34" t="inlineStr">
        <is>
          <t>Contract - Service</t>
        </is>
      </c>
      <c r="E218" s="35" t="inlineStr">
        <is>
          <t>Property</t>
        </is>
      </c>
      <c r="F218" s="35" t="inlineStr">
        <is>
          <t>Laundry &amp; linen services</t>
        </is>
      </c>
      <c r="G218" s="35" t="inlineStr">
        <is>
          <t>สัญญาบริการซักรีด</t>
        </is>
      </c>
      <c r="H218" s="34" t="inlineStr">
        <is>
          <t>Laundry Pattaya</t>
        </is>
      </c>
      <c r="I218" s="34" t="n"/>
      <c r="J218" s="36" t="n"/>
      <c r="K218" s="36" t="n"/>
      <c r="L218" s="34" t="inlineStr">
        <is>
          <t>Annual</t>
        </is>
      </c>
      <c r="M218" s="34" t="n">
        <v>60</v>
      </c>
      <c r="N218" s="36">
        <f>IF(K218="","",K218-IF(M218="",0,M218))</f>
        <v/>
      </c>
      <c r="O218" s="37">
        <f>IF(K218="","",K218-TODAY())</f>
        <v/>
      </c>
      <c r="P218" s="10">
        <f>IF(F218="","",IF(K218="","No date",IF(O218&lt;0,"Expired",IF(O218&lt;=30,"Urgent",IF(O218&lt;=90,"Due soon","OK")))))</f>
        <v/>
      </c>
      <c r="Q218" s="34" t="n"/>
      <c r="R218" s="38" t="n"/>
      <c r="S218" s="34" t="n"/>
      <c r="T218" s="35" t="n"/>
      <c r="U218" s="34" t="n"/>
      <c r="V218" s="34">
        <f>IF(F218="","",IF(K218="","",O218+ROW()/100000))</f>
        <v/>
      </c>
    </row>
    <row r="219">
      <c r="A219" s="10">
        <f>IF(F219="","",COUNTA($F$5:F219))</f>
        <v/>
      </c>
      <c r="B219" s="34" t="inlineStr">
        <is>
          <t>SP</t>
        </is>
      </c>
      <c r="C219" s="34" t="inlineStr">
        <is>
          <t>AMH Pattaya Co., Ltd.</t>
        </is>
      </c>
      <c r="D219" s="34" t="inlineStr">
        <is>
          <t>Contract - Service</t>
        </is>
      </c>
      <c r="E219" s="35" t="inlineStr">
        <is>
          <t>Property</t>
        </is>
      </c>
      <c r="F219" s="35" t="inlineStr">
        <is>
          <t>F&amp;B outlet / catering operator</t>
        </is>
      </c>
      <c r="G219" s="35" t="inlineStr">
        <is>
          <t>สัญญาผู้ประกอบการอาหารและเครื่องดื่ม</t>
        </is>
      </c>
      <c r="H219" s="34" t="inlineStr">
        <is>
          <t>DK Wow Venture Co., Ltd.</t>
        </is>
      </c>
      <c r="I219" s="34" t="n"/>
      <c r="J219" s="36" t="n"/>
      <c r="K219" s="36" t="n"/>
      <c r="L219" s="34" t="inlineStr">
        <is>
          <t>Annual</t>
        </is>
      </c>
      <c r="M219" s="34" t="n">
        <v>60</v>
      </c>
      <c r="N219" s="36">
        <f>IF(K219="","",K219-IF(M219="",0,M219))</f>
        <v/>
      </c>
      <c r="O219" s="37">
        <f>IF(K219="","",K219-TODAY())</f>
        <v/>
      </c>
      <c r="P219" s="10">
        <f>IF(F219="","",IF(K219="","No date",IF(O219&lt;0,"Expired",IF(O219&lt;=30,"Urgent",IF(O219&lt;=90,"Due soon","OK")))))</f>
        <v/>
      </c>
      <c r="Q219" s="34" t="n"/>
      <c r="R219" s="38" t="n"/>
      <c r="S219" s="34" t="n"/>
      <c r="T219" s="35" t="n"/>
      <c r="U219" s="34" t="n"/>
      <c r="V219" s="34">
        <f>IF(F219="","",IF(K219="","",O219+ROW()/100000))</f>
        <v/>
      </c>
    </row>
    <row r="220">
      <c r="A220" s="10">
        <f>IF(F220="","",COUNTA($F$5:F220))</f>
        <v/>
      </c>
      <c r="B220" s="34" t="inlineStr">
        <is>
          <t>SP</t>
        </is>
      </c>
      <c r="C220" s="34" t="inlineStr">
        <is>
          <t>AMH Pattaya Co., Ltd.</t>
        </is>
      </c>
      <c r="D220" s="34" t="inlineStr">
        <is>
          <t>Contract - Service</t>
        </is>
      </c>
      <c r="E220" s="35" t="inlineStr">
        <is>
          <t>Property</t>
        </is>
      </c>
      <c r="F220" s="35" t="inlineStr">
        <is>
          <t>Security services</t>
        </is>
      </c>
      <c r="G220" s="35" t="inlineStr">
        <is>
          <t>สัญญาบริการรักษาความปลอดภัย</t>
        </is>
      </c>
      <c r="H220" s="34" t="n"/>
      <c r="I220" s="34" t="n"/>
      <c r="J220" s="36" t="n"/>
      <c r="K220" s="36" t="n"/>
      <c r="L220" s="34" t="inlineStr">
        <is>
          <t>Annual</t>
        </is>
      </c>
      <c r="M220" s="34" t="n">
        <v>60</v>
      </c>
      <c r="N220" s="36">
        <f>IF(K220="","",K220-IF(M220="",0,M220))</f>
        <v/>
      </c>
      <c r="O220" s="37">
        <f>IF(K220="","",K220-TODAY())</f>
        <v/>
      </c>
      <c r="P220" s="10">
        <f>IF(F220="","",IF(K220="","No date",IF(O220&lt;0,"Expired",IF(O220&lt;=30,"Urgent",IF(O220&lt;=90,"Due soon","OK")))))</f>
        <v/>
      </c>
      <c r="Q220" s="34" t="n"/>
      <c r="R220" s="38" t="n"/>
      <c r="S220" s="34" t="n"/>
      <c r="T220" s="35" t="n"/>
      <c r="U220" s="34" t="n"/>
      <c r="V220" s="34">
        <f>IF(F220="","",IF(K220="","",O220+ROW()/100000))</f>
        <v/>
      </c>
    </row>
    <row r="221">
      <c r="A221" s="10">
        <f>IF(F221="","",COUNTA($F$5:F221))</f>
        <v/>
      </c>
      <c r="B221" s="34" t="inlineStr">
        <is>
          <t>SP</t>
        </is>
      </c>
      <c r="C221" s="34" t="inlineStr">
        <is>
          <t>AMH Pattaya Co., Ltd.</t>
        </is>
      </c>
      <c r="D221" s="34" t="inlineStr">
        <is>
          <t>Contract - Service</t>
        </is>
      </c>
      <c r="E221" s="35" t="inlineStr">
        <is>
          <t>Property</t>
        </is>
      </c>
      <c r="F221" s="35" t="inlineStr">
        <is>
          <t>Cleaning / housekeeping outsource</t>
        </is>
      </c>
      <c r="G221" s="35" t="inlineStr">
        <is>
          <t>สัญญาบริการทำความสะอาด</t>
        </is>
      </c>
      <c r="H221" s="34" t="n"/>
      <c r="I221" s="34" t="n"/>
      <c r="J221" s="36" t="n"/>
      <c r="K221" s="36" t="n"/>
      <c r="L221" s="34" t="inlineStr">
        <is>
          <t>Annual</t>
        </is>
      </c>
      <c r="M221" s="34" t="n">
        <v>60</v>
      </c>
      <c r="N221" s="36">
        <f>IF(K221="","",K221-IF(M221="",0,M221))</f>
        <v/>
      </c>
      <c r="O221" s="37">
        <f>IF(K221="","",K221-TODAY())</f>
        <v/>
      </c>
      <c r="P221" s="10">
        <f>IF(F221="","",IF(K221="","No date",IF(O221&lt;0,"Expired",IF(O221&lt;=30,"Urgent",IF(O221&lt;=90,"Due soon","OK")))))</f>
        <v/>
      </c>
      <c r="Q221" s="34" t="n"/>
      <c r="R221" s="38" t="n"/>
      <c r="S221" s="34" t="n"/>
      <c r="T221" s="35" t="n"/>
      <c r="U221" s="34" t="n"/>
      <c r="V221" s="34">
        <f>IF(F221="","",IF(K221="","",O221+ROW()/100000))</f>
        <v/>
      </c>
    </row>
    <row r="222">
      <c r="A222" s="10">
        <f>IF(F222="","",COUNTA($F$5:F222))</f>
        <v/>
      </c>
      <c r="B222" s="34" t="inlineStr">
        <is>
          <t>SP</t>
        </is>
      </c>
      <c r="C222" s="34" t="inlineStr">
        <is>
          <t>AMH Pattaya Co., Ltd.</t>
        </is>
      </c>
      <c r="D222" s="34" t="inlineStr">
        <is>
          <t>Contract - Service</t>
        </is>
      </c>
      <c r="E222" s="35" t="inlineStr">
        <is>
          <t>Property</t>
        </is>
      </c>
      <c r="F222" s="35" t="inlineStr">
        <is>
          <t>Pest control</t>
        </is>
      </c>
      <c r="G222" s="35" t="inlineStr">
        <is>
          <t>สัญญากำจัดแมลง</t>
        </is>
      </c>
      <c r="H222" s="34" t="n"/>
      <c r="I222" s="34" t="n"/>
      <c r="J222" s="36" t="n"/>
      <c r="K222" s="36" t="n"/>
      <c r="L222" s="34" t="inlineStr">
        <is>
          <t>Annual</t>
        </is>
      </c>
      <c r="M222" s="34" t="n">
        <v>60</v>
      </c>
      <c r="N222" s="36">
        <f>IF(K222="","",K222-IF(M222="",0,M222))</f>
        <v/>
      </c>
      <c r="O222" s="37">
        <f>IF(K222="","",K222-TODAY())</f>
        <v/>
      </c>
      <c r="P222" s="10">
        <f>IF(F222="","",IF(K222="","No date",IF(O222&lt;0,"Expired",IF(O222&lt;=30,"Urgent",IF(O222&lt;=90,"Due soon","OK")))))</f>
        <v/>
      </c>
      <c r="Q222" s="34" t="n"/>
      <c r="R222" s="38" t="n"/>
      <c r="S222" s="34" t="n"/>
      <c r="T222" s="35" t="n"/>
      <c r="U222" s="34" t="n"/>
      <c r="V222" s="34">
        <f>IF(F222="","",IF(K222="","",O222+ROW()/100000))</f>
        <v/>
      </c>
    </row>
    <row r="223">
      <c r="A223" s="10">
        <f>IF(F223="","",COUNTA($F$5:F223))</f>
        <v/>
      </c>
      <c r="B223" s="34" t="inlineStr">
        <is>
          <t>SP</t>
        </is>
      </c>
      <c r="C223" s="34" t="inlineStr">
        <is>
          <t>AMH Pattaya Co., Ltd.</t>
        </is>
      </c>
      <c r="D223" s="34" t="inlineStr">
        <is>
          <t>Contract - Service</t>
        </is>
      </c>
      <c r="E223" s="35" t="inlineStr">
        <is>
          <t>Property</t>
        </is>
      </c>
      <c r="F223" s="35" t="inlineStr">
        <is>
          <t>Landscaping / plant care</t>
        </is>
      </c>
      <c r="G223" s="35" t="inlineStr">
        <is>
          <t>สัญญาดูแลต้นไม้และภูมิทัศน์</t>
        </is>
      </c>
      <c r="H223" s="34" t="n"/>
      <c r="I223" s="34" t="n"/>
      <c r="J223" s="36" t="n"/>
      <c r="K223" s="36" t="n"/>
      <c r="L223" s="34" t="inlineStr">
        <is>
          <t>Annual</t>
        </is>
      </c>
      <c r="M223" s="34" t="n">
        <v>60</v>
      </c>
      <c r="N223" s="36">
        <f>IF(K223="","",K223-IF(M223="",0,M223))</f>
        <v/>
      </c>
      <c r="O223" s="37">
        <f>IF(K223="","",K223-TODAY())</f>
        <v/>
      </c>
      <c r="P223" s="10">
        <f>IF(F223="","",IF(K223="","No date",IF(O223&lt;0,"Expired",IF(O223&lt;=30,"Urgent",IF(O223&lt;=90,"Due soon","OK")))))</f>
        <v/>
      </c>
      <c r="Q223" s="34" t="n"/>
      <c r="R223" s="38" t="n"/>
      <c r="S223" s="34" t="n"/>
      <c r="T223" s="35" t="n"/>
      <c r="U223" s="34" t="n"/>
      <c r="V223" s="34">
        <f>IF(F223="","",IF(K223="","",O223+ROW()/100000))</f>
        <v/>
      </c>
    </row>
    <row r="224">
      <c r="A224" s="10">
        <f>IF(F224="","",COUNTA($F$5:F224))</f>
        <v/>
      </c>
      <c r="B224" s="34" t="inlineStr">
        <is>
          <t>SP</t>
        </is>
      </c>
      <c r="C224" s="34" t="inlineStr">
        <is>
          <t>AMH Pattaya Co., Ltd.</t>
        </is>
      </c>
      <c r="D224" s="34" t="inlineStr">
        <is>
          <t>Contract - Service</t>
        </is>
      </c>
      <c r="E224" s="35" t="inlineStr">
        <is>
          <t>Property</t>
        </is>
      </c>
      <c r="F224" s="35" t="inlineStr">
        <is>
          <t>Waste collection</t>
        </is>
      </c>
      <c r="G224" s="35" t="inlineStr">
        <is>
          <t>สัญญาเก็บขนขยะ</t>
        </is>
      </c>
      <c r="H224" s="34" t="n"/>
      <c r="I224" s="34" t="n"/>
      <c r="J224" s="36" t="n"/>
      <c r="K224" s="36" t="n"/>
      <c r="L224" s="34" t="inlineStr">
        <is>
          <t>Annual</t>
        </is>
      </c>
      <c r="M224" s="34" t="n">
        <v>60</v>
      </c>
      <c r="N224" s="36">
        <f>IF(K224="","",K224-IF(M224="",0,M224))</f>
        <v/>
      </c>
      <c r="O224" s="37">
        <f>IF(K224="","",K224-TODAY())</f>
        <v/>
      </c>
      <c r="P224" s="10">
        <f>IF(F224="","",IF(K224="","No date",IF(O224&lt;0,"Expired",IF(O224&lt;=30,"Urgent",IF(O224&lt;=90,"Due soon","OK")))))</f>
        <v/>
      </c>
      <c r="Q224" s="34" t="n"/>
      <c r="R224" s="38" t="n"/>
      <c r="S224" s="34" t="n"/>
      <c r="T224" s="35" t="n"/>
      <c r="U224" s="34" t="n"/>
      <c r="V224" s="34">
        <f>IF(F224="","",IF(K224="","",O224+ROW()/100000))</f>
        <v/>
      </c>
    </row>
    <row r="225">
      <c r="A225" s="10">
        <f>IF(F225="","",COUNTA($F$5:F225))</f>
        <v/>
      </c>
      <c r="B225" s="34" t="inlineStr">
        <is>
          <t>SP</t>
        </is>
      </c>
      <c r="C225" s="34" t="inlineStr">
        <is>
          <t>AMH Pattaya Co., Ltd.</t>
        </is>
      </c>
      <c r="D225" s="34" t="inlineStr">
        <is>
          <t>Contract - Service</t>
        </is>
      </c>
      <c r="E225" s="35" t="inlineStr">
        <is>
          <t>Property</t>
        </is>
      </c>
      <c r="F225" s="35" t="inlineStr">
        <is>
          <t>PMS / property management system licence</t>
        </is>
      </c>
      <c r="G225" s="35" t="inlineStr">
        <is>
          <t>สัญญาระบบบริหารโรงแรม (PMS)</t>
        </is>
      </c>
      <c r="H225" s="34" t="n"/>
      <c r="I225" s="34" t="n"/>
      <c r="J225" s="36" t="n"/>
      <c r="K225" s="36" t="n"/>
      <c r="L225" s="34" t="inlineStr">
        <is>
          <t>Annual</t>
        </is>
      </c>
      <c r="M225" s="34" t="n">
        <v>60</v>
      </c>
      <c r="N225" s="36">
        <f>IF(K225="","",K225-IF(M225="",0,M225))</f>
        <v/>
      </c>
      <c r="O225" s="37">
        <f>IF(K225="","",K225-TODAY())</f>
        <v/>
      </c>
      <c r="P225" s="10">
        <f>IF(F225="","",IF(K225="","No date",IF(O225&lt;0,"Expired",IF(O225&lt;=30,"Urgent",IF(O225&lt;=90,"Due soon","OK")))))</f>
        <v/>
      </c>
      <c r="Q225" s="34" t="n"/>
      <c r="R225" s="38" t="n"/>
      <c r="S225" s="34" t="n"/>
      <c r="T225" s="35" t="n"/>
      <c r="U225" s="34" t="n"/>
      <c r="V225" s="34">
        <f>IF(F225="","",IF(K225="","",O225+ROW()/100000))</f>
        <v/>
      </c>
    </row>
    <row r="226">
      <c r="A226" s="10">
        <f>IF(F226="","",COUNTA($F$5:F226))</f>
        <v/>
      </c>
      <c r="B226" s="34" t="inlineStr">
        <is>
          <t>SP</t>
        </is>
      </c>
      <c r="C226" s="34" t="inlineStr">
        <is>
          <t>AMH Pattaya Co., Ltd.</t>
        </is>
      </c>
      <c r="D226" s="34" t="inlineStr">
        <is>
          <t>Contract - Service</t>
        </is>
      </c>
      <c r="E226" s="35" t="inlineStr">
        <is>
          <t>Property</t>
        </is>
      </c>
      <c r="F226" s="35" t="inlineStr">
        <is>
          <t>Internet / IPTV / telephone</t>
        </is>
      </c>
      <c r="G226" s="35" t="inlineStr">
        <is>
          <t>สัญญาอินเทอร์เน็ต / IPTV / โทรศัพท์</t>
        </is>
      </c>
      <c r="H226" s="34" t="n"/>
      <c r="I226" s="34" t="n"/>
      <c r="J226" s="36" t="n"/>
      <c r="K226" s="36" t="n"/>
      <c r="L226" s="34" t="inlineStr">
        <is>
          <t>Annual</t>
        </is>
      </c>
      <c r="M226" s="34" t="n">
        <v>60</v>
      </c>
      <c r="N226" s="36">
        <f>IF(K226="","",K226-IF(M226="",0,M226))</f>
        <v/>
      </c>
      <c r="O226" s="37">
        <f>IF(K226="","",K226-TODAY())</f>
        <v/>
      </c>
      <c r="P226" s="10">
        <f>IF(F226="","",IF(K226="","No date",IF(O226&lt;0,"Expired",IF(O226&lt;=30,"Urgent",IF(O226&lt;=90,"Due soon","OK")))))</f>
        <v/>
      </c>
      <c r="Q226" s="34" t="n"/>
      <c r="R226" s="38" t="n"/>
      <c r="S226" s="34" t="n"/>
      <c r="T226" s="35" t="n"/>
      <c r="U226" s="34" t="n"/>
      <c r="V226" s="34">
        <f>IF(F226="","",IF(K226="","",O226+ROW()/100000))</f>
        <v/>
      </c>
    </row>
    <row r="227">
      <c r="A227" s="10">
        <f>IF(F227="","",COUNTA($F$5:F227))</f>
        <v/>
      </c>
      <c r="B227" s="34" t="n"/>
      <c r="C227" s="34" t="n"/>
      <c r="D227" s="34" t="n"/>
      <c r="E227" s="35" t="n"/>
      <c r="F227" s="35" t="n"/>
      <c r="G227" s="35" t="n"/>
      <c r="H227" s="34" t="n"/>
      <c r="I227" s="34" t="n"/>
      <c r="J227" s="36" t="n"/>
      <c r="K227" s="36" t="n"/>
      <c r="L227" s="34" t="n"/>
      <c r="M227" s="34" t="n"/>
      <c r="N227" s="36">
        <f>IF(K227="","",K227-IF(M227="",0,M227))</f>
        <v/>
      </c>
      <c r="O227" s="37">
        <f>IF(K227="","",K227-TODAY())</f>
        <v/>
      </c>
      <c r="P227" s="10">
        <f>IF(F227="","",IF(K227="","No date",IF(O227&lt;0,"Expired",IF(O227&lt;=30,"Urgent",IF(O227&lt;=90,"Due soon","OK")))))</f>
        <v/>
      </c>
      <c r="Q227" s="34" t="n"/>
      <c r="R227" s="38" t="n"/>
      <c r="S227" s="34" t="n"/>
      <c r="T227" s="35" t="n"/>
      <c r="U227" s="34" t="n"/>
      <c r="V227" s="34">
        <f>IF(F227="","",IF(K227="","",O227+ROW()/100000))</f>
        <v/>
      </c>
    </row>
    <row r="228">
      <c r="A228" s="10">
        <f>IF(F228="","",COUNTA($F$5:F228))</f>
        <v/>
      </c>
      <c r="B228" s="34" t="n"/>
      <c r="C228" s="34" t="n"/>
      <c r="D228" s="34" t="n"/>
      <c r="E228" s="35" t="n"/>
      <c r="F228" s="35" t="n"/>
      <c r="G228" s="35" t="n"/>
      <c r="H228" s="34" t="n"/>
      <c r="I228" s="34" t="n"/>
      <c r="J228" s="36" t="n"/>
      <c r="K228" s="36" t="n"/>
      <c r="L228" s="34" t="n"/>
      <c r="M228" s="34" t="n"/>
      <c r="N228" s="36">
        <f>IF(K228="","",K228-IF(M228="",0,M228))</f>
        <v/>
      </c>
      <c r="O228" s="37">
        <f>IF(K228="","",K228-TODAY())</f>
        <v/>
      </c>
      <c r="P228" s="10">
        <f>IF(F228="","",IF(K228="","No date",IF(O228&lt;0,"Expired",IF(O228&lt;=30,"Urgent",IF(O228&lt;=90,"Due soon","OK")))))</f>
        <v/>
      </c>
      <c r="Q228" s="34" t="n"/>
      <c r="R228" s="38" t="n"/>
      <c r="S228" s="34" t="n"/>
      <c r="T228" s="35" t="n"/>
      <c r="U228" s="34" t="n"/>
      <c r="V228" s="34">
        <f>IF(F228="","",IF(K228="","",O228+ROW()/100000))</f>
        <v/>
      </c>
    </row>
    <row r="229">
      <c r="A229" s="10">
        <f>IF(F229="","",COUNTA($F$5:F229))</f>
        <v/>
      </c>
      <c r="B229" s="34" t="n"/>
      <c r="C229" s="34" t="n"/>
      <c r="D229" s="34" t="n"/>
      <c r="E229" s="35" t="n"/>
      <c r="F229" s="35" t="n"/>
      <c r="G229" s="35" t="n"/>
      <c r="H229" s="34" t="n"/>
      <c r="I229" s="34" t="n"/>
      <c r="J229" s="36" t="n"/>
      <c r="K229" s="36" t="n"/>
      <c r="L229" s="34" t="n"/>
      <c r="M229" s="34" t="n"/>
      <c r="N229" s="36">
        <f>IF(K229="","",K229-IF(M229="",0,M229))</f>
        <v/>
      </c>
      <c r="O229" s="37">
        <f>IF(K229="","",K229-TODAY())</f>
        <v/>
      </c>
      <c r="P229" s="10">
        <f>IF(F229="","",IF(K229="","No date",IF(O229&lt;0,"Expired",IF(O229&lt;=30,"Urgent",IF(O229&lt;=90,"Due soon","OK")))))</f>
        <v/>
      </c>
      <c r="Q229" s="34" t="n"/>
      <c r="R229" s="38" t="n"/>
      <c r="S229" s="34" t="n"/>
      <c r="T229" s="35" t="n"/>
      <c r="U229" s="34" t="n"/>
      <c r="V229" s="34">
        <f>IF(F229="","",IF(K229="","",O229+ROW()/100000))</f>
        <v/>
      </c>
    </row>
    <row r="230">
      <c r="A230" s="10">
        <f>IF(F230="","",COUNTA($F$5:F230))</f>
        <v/>
      </c>
      <c r="B230" s="34" t="n"/>
      <c r="C230" s="34" t="n"/>
      <c r="D230" s="34" t="n"/>
      <c r="E230" s="35" t="n"/>
      <c r="F230" s="35" t="n"/>
      <c r="G230" s="35" t="n"/>
      <c r="H230" s="34" t="n"/>
      <c r="I230" s="34" t="n"/>
      <c r="J230" s="36" t="n"/>
      <c r="K230" s="36" t="n"/>
      <c r="L230" s="34" t="n"/>
      <c r="M230" s="34" t="n"/>
      <c r="N230" s="36">
        <f>IF(K230="","",K230-IF(M230="",0,M230))</f>
        <v/>
      </c>
      <c r="O230" s="37">
        <f>IF(K230="","",K230-TODAY())</f>
        <v/>
      </c>
      <c r="P230" s="10">
        <f>IF(F230="","",IF(K230="","No date",IF(O230&lt;0,"Expired",IF(O230&lt;=30,"Urgent",IF(O230&lt;=90,"Due soon","OK")))))</f>
        <v/>
      </c>
      <c r="Q230" s="34" t="n"/>
      <c r="R230" s="38" t="n"/>
      <c r="S230" s="34" t="n"/>
      <c r="T230" s="35" t="n"/>
      <c r="U230" s="34" t="n"/>
      <c r="V230" s="34">
        <f>IF(F230="","",IF(K230="","",O230+ROW()/100000))</f>
        <v/>
      </c>
    </row>
    <row r="231">
      <c r="A231" s="10">
        <f>IF(F231="","",COUNTA($F$5:F231))</f>
        <v/>
      </c>
      <c r="B231" s="34" t="n"/>
      <c r="C231" s="34" t="n"/>
      <c r="D231" s="34" t="n"/>
      <c r="E231" s="35" t="n"/>
      <c r="F231" s="35" t="n"/>
      <c r="G231" s="35" t="n"/>
      <c r="H231" s="34" t="n"/>
      <c r="I231" s="34" t="n"/>
      <c r="J231" s="36" t="n"/>
      <c r="K231" s="36" t="n"/>
      <c r="L231" s="34" t="n"/>
      <c r="M231" s="34" t="n"/>
      <c r="N231" s="36">
        <f>IF(K231="","",K231-IF(M231="",0,M231))</f>
        <v/>
      </c>
      <c r="O231" s="37">
        <f>IF(K231="","",K231-TODAY())</f>
        <v/>
      </c>
      <c r="P231" s="10">
        <f>IF(F231="","",IF(K231="","No date",IF(O231&lt;0,"Expired",IF(O231&lt;=30,"Urgent",IF(O231&lt;=90,"Due soon","OK")))))</f>
        <v/>
      </c>
      <c r="Q231" s="34" t="n"/>
      <c r="R231" s="38" t="n"/>
      <c r="S231" s="34" t="n"/>
      <c r="T231" s="35" t="n"/>
      <c r="U231" s="34" t="n"/>
      <c r="V231" s="34">
        <f>IF(F231="","",IF(K231="","",O231+ROW()/100000))</f>
        <v/>
      </c>
    </row>
    <row r="232">
      <c r="A232" s="10">
        <f>IF(F232="","",COUNTA($F$5:F232))</f>
        <v/>
      </c>
      <c r="B232" s="34" t="n"/>
      <c r="C232" s="34" t="n"/>
      <c r="D232" s="34" t="n"/>
      <c r="E232" s="35" t="n"/>
      <c r="F232" s="35" t="n"/>
      <c r="G232" s="35" t="n"/>
      <c r="H232" s="34" t="n"/>
      <c r="I232" s="34" t="n"/>
      <c r="J232" s="36" t="n"/>
      <c r="K232" s="36" t="n"/>
      <c r="L232" s="34" t="n"/>
      <c r="M232" s="34" t="n"/>
      <c r="N232" s="36">
        <f>IF(K232="","",K232-IF(M232="",0,M232))</f>
        <v/>
      </c>
      <c r="O232" s="37">
        <f>IF(K232="","",K232-TODAY())</f>
        <v/>
      </c>
      <c r="P232" s="10">
        <f>IF(F232="","",IF(K232="","No date",IF(O232&lt;0,"Expired",IF(O232&lt;=30,"Urgent",IF(O232&lt;=90,"Due soon","OK")))))</f>
        <v/>
      </c>
      <c r="Q232" s="34" t="n"/>
      <c r="R232" s="38" t="n"/>
      <c r="S232" s="34" t="n"/>
      <c r="T232" s="35" t="n"/>
      <c r="U232" s="34" t="n"/>
      <c r="V232" s="34">
        <f>IF(F232="","",IF(K232="","",O232+ROW()/100000))</f>
        <v/>
      </c>
    </row>
    <row r="233">
      <c r="A233" s="10">
        <f>IF(F233="","",COUNTA($F$5:F233))</f>
        <v/>
      </c>
      <c r="B233" s="34" t="n"/>
      <c r="C233" s="34" t="n"/>
      <c r="D233" s="34" t="n"/>
      <c r="E233" s="35" t="n"/>
      <c r="F233" s="35" t="n"/>
      <c r="G233" s="35" t="n"/>
      <c r="H233" s="34" t="n"/>
      <c r="I233" s="34" t="n"/>
      <c r="J233" s="36" t="n"/>
      <c r="K233" s="36" t="n"/>
      <c r="L233" s="34" t="n"/>
      <c r="M233" s="34" t="n"/>
      <c r="N233" s="36">
        <f>IF(K233="","",K233-IF(M233="",0,M233))</f>
        <v/>
      </c>
      <c r="O233" s="37">
        <f>IF(K233="","",K233-TODAY())</f>
        <v/>
      </c>
      <c r="P233" s="10">
        <f>IF(F233="","",IF(K233="","No date",IF(O233&lt;0,"Expired",IF(O233&lt;=30,"Urgent",IF(O233&lt;=90,"Due soon","OK")))))</f>
        <v/>
      </c>
      <c r="Q233" s="34" t="n"/>
      <c r="R233" s="38" t="n"/>
      <c r="S233" s="34" t="n"/>
      <c r="T233" s="35" t="n"/>
      <c r="U233" s="34" t="n"/>
      <c r="V233" s="34">
        <f>IF(F233="","",IF(K233="","",O233+ROW()/100000))</f>
        <v/>
      </c>
    </row>
    <row r="234">
      <c r="A234" s="10">
        <f>IF(F234="","",COUNTA($F$5:F234))</f>
        <v/>
      </c>
      <c r="B234" s="34" t="n"/>
      <c r="C234" s="34" t="n"/>
      <c r="D234" s="34" t="n"/>
      <c r="E234" s="35" t="n"/>
      <c r="F234" s="35" t="n"/>
      <c r="G234" s="35" t="n"/>
      <c r="H234" s="34" t="n"/>
      <c r="I234" s="34" t="n"/>
      <c r="J234" s="36" t="n"/>
      <c r="K234" s="36" t="n"/>
      <c r="L234" s="34" t="n"/>
      <c r="M234" s="34" t="n"/>
      <c r="N234" s="36">
        <f>IF(K234="","",K234-IF(M234="",0,M234))</f>
        <v/>
      </c>
      <c r="O234" s="37">
        <f>IF(K234="","",K234-TODAY())</f>
        <v/>
      </c>
      <c r="P234" s="10">
        <f>IF(F234="","",IF(K234="","No date",IF(O234&lt;0,"Expired",IF(O234&lt;=30,"Urgent",IF(O234&lt;=90,"Due soon","OK")))))</f>
        <v/>
      </c>
      <c r="Q234" s="34" t="n"/>
      <c r="R234" s="38" t="n"/>
      <c r="S234" s="34" t="n"/>
      <c r="T234" s="35" t="n"/>
      <c r="U234" s="34" t="n"/>
      <c r="V234" s="34">
        <f>IF(F234="","",IF(K234="","",O234+ROW()/100000))</f>
        <v/>
      </c>
    </row>
    <row r="235">
      <c r="A235" s="10">
        <f>IF(F235="","",COUNTA($F$5:F235))</f>
        <v/>
      </c>
      <c r="B235" s="34" t="n"/>
      <c r="C235" s="34" t="n"/>
      <c r="D235" s="34" t="n"/>
      <c r="E235" s="35" t="n"/>
      <c r="F235" s="35" t="n"/>
      <c r="G235" s="35" t="n"/>
      <c r="H235" s="34" t="n"/>
      <c r="I235" s="34" t="n"/>
      <c r="J235" s="36" t="n"/>
      <c r="K235" s="36" t="n"/>
      <c r="L235" s="34" t="n"/>
      <c r="M235" s="34" t="n"/>
      <c r="N235" s="36">
        <f>IF(K235="","",K235-IF(M235="",0,M235))</f>
        <v/>
      </c>
      <c r="O235" s="37">
        <f>IF(K235="","",K235-TODAY())</f>
        <v/>
      </c>
      <c r="P235" s="10">
        <f>IF(F235="","",IF(K235="","No date",IF(O235&lt;0,"Expired",IF(O235&lt;=30,"Urgent",IF(O235&lt;=90,"Due soon","OK")))))</f>
        <v/>
      </c>
      <c r="Q235" s="34" t="n"/>
      <c r="R235" s="38" t="n"/>
      <c r="S235" s="34" t="n"/>
      <c r="T235" s="35" t="n"/>
      <c r="U235" s="34" t="n"/>
      <c r="V235" s="34">
        <f>IF(F235="","",IF(K235="","",O235+ROW()/100000))</f>
        <v/>
      </c>
    </row>
    <row r="236">
      <c r="A236" s="10">
        <f>IF(F236="","",COUNTA($F$5:F236))</f>
        <v/>
      </c>
      <c r="B236" s="34" t="n"/>
      <c r="C236" s="34" t="n"/>
      <c r="D236" s="34" t="n"/>
      <c r="E236" s="35" t="n"/>
      <c r="F236" s="35" t="n"/>
      <c r="G236" s="35" t="n"/>
      <c r="H236" s="34" t="n"/>
      <c r="I236" s="34" t="n"/>
      <c r="J236" s="36" t="n"/>
      <c r="K236" s="36" t="n"/>
      <c r="L236" s="34" t="n"/>
      <c r="M236" s="34" t="n"/>
      <c r="N236" s="36">
        <f>IF(K236="","",K236-IF(M236="",0,M236))</f>
        <v/>
      </c>
      <c r="O236" s="37">
        <f>IF(K236="","",K236-TODAY())</f>
        <v/>
      </c>
      <c r="P236" s="10">
        <f>IF(F236="","",IF(K236="","No date",IF(O236&lt;0,"Expired",IF(O236&lt;=30,"Urgent",IF(O236&lt;=90,"Due soon","OK")))))</f>
        <v/>
      </c>
      <c r="Q236" s="34" t="n"/>
      <c r="R236" s="38" t="n"/>
      <c r="S236" s="34" t="n"/>
      <c r="T236" s="35" t="n"/>
      <c r="U236" s="34" t="n"/>
      <c r="V236" s="34">
        <f>IF(F236="","",IF(K236="","",O236+ROW()/100000))</f>
        <v/>
      </c>
    </row>
    <row r="237">
      <c r="A237" s="10">
        <f>IF(F237="","",COUNTA($F$5:F237))</f>
        <v/>
      </c>
      <c r="B237" s="34" t="n"/>
      <c r="C237" s="34" t="n"/>
      <c r="D237" s="34" t="n"/>
      <c r="E237" s="35" t="n"/>
      <c r="F237" s="35" t="n"/>
      <c r="G237" s="35" t="n"/>
      <c r="H237" s="34" t="n"/>
      <c r="I237" s="34" t="n"/>
      <c r="J237" s="36" t="n"/>
      <c r="K237" s="36" t="n"/>
      <c r="L237" s="34" t="n"/>
      <c r="M237" s="34" t="n"/>
      <c r="N237" s="36">
        <f>IF(K237="","",K237-IF(M237="",0,M237))</f>
        <v/>
      </c>
      <c r="O237" s="37">
        <f>IF(K237="","",K237-TODAY())</f>
        <v/>
      </c>
      <c r="P237" s="10">
        <f>IF(F237="","",IF(K237="","No date",IF(O237&lt;0,"Expired",IF(O237&lt;=30,"Urgent",IF(O237&lt;=90,"Due soon","OK")))))</f>
        <v/>
      </c>
      <c r="Q237" s="34" t="n"/>
      <c r="R237" s="38" t="n"/>
      <c r="S237" s="34" t="n"/>
      <c r="T237" s="35" t="n"/>
      <c r="U237" s="34" t="n"/>
      <c r="V237" s="34">
        <f>IF(F237="","",IF(K237="","",O237+ROW()/100000))</f>
        <v/>
      </c>
    </row>
    <row r="238">
      <c r="A238" s="10">
        <f>IF(F238="","",COUNTA($F$5:F238))</f>
        <v/>
      </c>
      <c r="B238" s="34" t="n"/>
      <c r="C238" s="34" t="n"/>
      <c r="D238" s="34" t="n"/>
      <c r="E238" s="35" t="n"/>
      <c r="F238" s="35" t="n"/>
      <c r="G238" s="35" t="n"/>
      <c r="H238" s="34" t="n"/>
      <c r="I238" s="34" t="n"/>
      <c r="J238" s="36" t="n"/>
      <c r="K238" s="36" t="n"/>
      <c r="L238" s="34" t="n"/>
      <c r="M238" s="34" t="n"/>
      <c r="N238" s="36">
        <f>IF(K238="","",K238-IF(M238="",0,M238))</f>
        <v/>
      </c>
      <c r="O238" s="37">
        <f>IF(K238="","",K238-TODAY())</f>
        <v/>
      </c>
      <c r="P238" s="10">
        <f>IF(F238="","",IF(K238="","No date",IF(O238&lt;0,"Expired",IF(O238&lt;=30,"Urgent",IF(O238&lt;=90,"Due soon","OK")))))</f>
        <v/>
      </c>
      <c r="Q238" s="34" t="n"/>
      <c r="R238" s="38" t="n"/>
      <c r="S238" s="34" t="n"/>
      <c r="T238" s="35" t="n"/>
      <c r="U238" s="34" t="n"/>
      <c r="V238" s="34">
        <f>IF(F238="","",IF(K238="","",O238+ROW()/100000))</f>
        <v/>
      </c>
    </row>
    <row r="239">
      <c r="A239" s="10">
        <f>IF(F239="","",COUNTA($F$5:F239))</f>
        <v/>
      </c>
      <c r="B239" s="34" t="n"/>
      <c r="C239" s="34" t="n"/>
      <c r="D239" s="34" t="n"/>
      <c r="E239" s="35" t="n"/>
      <c r="F239" s="35" t="n"/>
      <c r="G239" s="35" t="n"/>
      <c r="H239" s="34" t="n"/>
      <c r="I239" s="34" t="n"/>
      <c r="J239" s="36" t="n"/>
      <c r="K239" s="36" t="n"/>
      <c r="L239" s="34" t="n"/>
      <c r="M239" s="34" t="n"/>
      <c r="N239" s="36">
        <f>IF(K239="","",K239-IF(M239="",0,M239))</f>
        <v/>
      </c>
      <c r="O239" s="37">
        <f>IF(K239="","",K239-TODAY())</f>
        <v/>
      </c>
      <c r="P239" s="10">
        <f>IF(F239="","",IF(K239="","No date",IF(O239&lt;0,"Expired",IF(O239&lt;=30,"Urgent",IF(O239&lt;=90,"Due soon","OK")))))</f>
        <v/>
      </c>
      <c r="Q239" s="34" t="n"/>
      <c r="R239" s="38" t="n"/>
      <c r="S239" s="34" t="n"/>
      <c r="T239" s="35" t="n"/>
      <c r="U239" s="34" t="n"/>
      <c r="V239" s="34">
        <f>IF(F239="","",IF(K239="","",O239+ROW()/100000))</f>
        <v/>
      </c>
    </row>
    <row r="240">
      <c r="A240" s="10">
        <f>IF(F240="","",COUNTA($F$5:F240))</f>
        <v/>
      </c>
      <c r="B240" s="34" t="n"/>
      <c r="C240" s="34" t="n"/>
      <c r="D240" s="34" t="n"/>
      <c r="E240" s="35" t="n"/>
      <c r="F240" s="35" t="n"/>
      <c r="G240" s="35" t="n"/>
      <c r="H240" s="34" t="n"/>
      <c r="I240" s="34" t="n"/>
      <c r="J240" s="36" t="n"/>
      <c r="K240" s="36" t="n"/>
      <c r="L240" s="34" t="n"/>
      <c r="M240" s="34" t="n"/>
      <c r="N240" s="36">
        <f>IF(K240="","",K240-IF(M240="",0,M240))</f>
        <v/>
      </c>
      <c r="O240" s="37">
        <f>IF(K240="","",K240-TODAY())</f>
        <v/>
      </c>
      <c r="P240" s="10">
        <f>IF(F240="","",IF(K240="","No date",IF(O240&lt;0,"Expired",IF(O240&lt;=30,"Urgent",IF(O240&lt;=90,"Due soon","OK")))))</f>
        <v/>
      </c>
      <c r="Q240" s="34" t="n"/>
      <c r="R240" s="38" t="n"/>
      <c r="S240" s="34" t="n"/>
      <c r="T240" s="35" t="n"/>
      <c r="U240" s="34" t="n"/>
      <c r="V240" s="34">
        <f>IF(F240="","",IF(K240="","",O240+ROW()/100000))</f>
        <v/>
      </c>
    </row>
    <row r="241">
      <c r="A241" s="10">
        <f>IF(F241="","",COUNTA($F$5:F241))</f>
        <v/>
      </c>
      <c r="B241" s="34" t="n"/>
      <c r="C241" s="34" t="n"/>
      <c r="D241" s="34" t="n"/>
      <c r="E241" s="35" t="n"/>
      <c r="F241" s="35" t="n"/>
      <c r="G241" s="35" t="n"/>
      <c r="H241" s="34" t="n"/>
      <c r="I241" s="34" t="n"/>
      <c r="J241" s="36" t="n"/>
      <c r="K241" s="36" t="n"/>
      <c r="L241" s="34" t="n"/>
      <c r="M241" s="34" t="n"/>
      <c r="N241" s="36">
        <f>IF(K241="","",K241-IF(M241="",0,M241))</f>
        <v/>
      </c>
      <c r="O241" s="37">
        <f>IF(K241="","",K241-TODAY())</f>
        <v/>
      </c>
      <c r="P241" s="10">
        <f>IF(F241="","",IF(K241="","No date",IF(O241&lt;0,"Expired",IF(O241&lt;=30,"Urgent",IF(O241&lt;=90,"Due soon","OK")))))</f>
        <v/>
      </c>
      <c r="Q241" s="34" t="n"/>
      <c r="R241" s="38" t="n"/>
      <c r="S241" s="34" t="n"/>
      <c r="T241" s="35" t="n"/>
      <c r="U241" s="34" t="n"/>
      <c r="V241" s="34">
        <f>IF(F241="","",IF(K241="","",O241+ROW()/100000))</f>
        <v/>
      </c>
    </row>
    <row r="242">
      <c r="A242" s="10">
        <f>IF(F242="","",COUNTA($F$5:F242))</f>
        <v/>
      </c>
      <c r="B242" s="34" t="n"/>
      <c r="C242" s="34" t="n"/>
      <c r="D242" s="34" t="n"/>
      <c r="E242" s="35" t="n"/>
      <c r="F242" s="35" t="n"/>
      <c r="G242" s="35" t="n"/>
      <c r="H242" s="34" t="n"/>
      <c r="I242" s="34" t="n"/>
      <c r="J242" s="36" t="n"/>
      <c r="K242" s="36" t="n"/>
      <c r="L242" s="34" t="n"/>
      <c r="M242" s="34" t="n"/>
      <c r="N242" s="36">
        <f>IF(K242="","",K242-IF(M242="",0,M242))</f>
        <v/>
      </c>
      <c r="O242" s="37">
        <f>IF(K242="","",K242-TODAY())</f>
        <v/>
      </c>
      <c r="P242" s="10">
        <f>IF(F242="","",IF(K242="","No date",IF(O242&lt;0,"Expired",IF(O242&lt;=30,"Urgent",IF(O242&lt;=90,"Due soon","OK")))))</f>
        <v/>
      </c>
      <c r="Q242" s="34" t="n"/>
      <c r="R242" s="38" t="n"/>
      <c r="S242" s="34" t="n"/>
      <c r="T242" s="35" t="n"/>
      <c r="U242" s="34" t="n"/>
      <c r="V242" s="34">
        <f>IF(F242="","",IF(K242="","",O242+ROW()/100000))</f>
        <v/>
      </c>
    </row>
    <row r="243">
      <c r="A243" s="10">
        <f>IF(F243="","",COUNTA($F$5:F243))</f>
        <v/>
      </c>
      <c r="B243" s="34" t="n"/>
      <c r="C243" s="34" t="n"/>
      <c r="D243" s="34" t="n"/>
      <c r="E243" s="35" t="n"/>
      <c r="F243" s="35" t="n"/>
      <c r="G243" s="35" t="n"/>
      <c r="H243" s="34" t="n"/>
      <c r="I243" s="34" t="n"/>
      <c r="J243" s="36" t="n"/>
      <c r="K243" s="36" t="n"/>
      <c r="L243" s="34" t="n"/>
      <c r="M243" s="34" t="n"/>
      <c r="N243" s="36">
        <f>IF(K243="","",K243-IF(M243="",0,M243))</f>
        <v/>
      </c>
      <c r="O243" s="37">
        <f>IF(K243="","",K243-TODAY())</f>
        <v/>
      </c>
      <c r="P243" s="10">
        <f>IF(F243="","",IF(K243="","No date",IF(O243&lt;0,"Expired",IF(O243&lt;=30,"Urgent",IF(O243&lt;=90,"Due soon","OK")))))</f>
        <v/>
      </c>
      <c r="Q243" s="34" t="n"/>
      <c r="R243" s="38" t="n"/>
      <c r="S243" s="34" t="n"/>
      <c r="T243" s="35" t="n"/>
      <c r="U243" s="34" t="n"/>
      <c r="V243" s="34">
        <f>IF(F243="","",IF(K243="","",O243+ROW()/100000))</f>
        <v/>
      </c>
    </row>
    <row r="244">
      <c r="A244" s="10">
        <f>IF(F244="","",COUNTA($F$5:F244))</f>
        <v/>
      </c>
      <c r="B244" s="34" t="n"/>
      <c r="C244" s="34" t="n"/>
      <c r="D244" s="34" t="n"/>
      <c r="E244" s="35" t="n"/>
      <c r="F244" s="35" t="n"/>
      <c r="G244" s="35" t="n"/>
      <c r="H244" s="34" t="n"/>
      <c r="I244" s="34" t="n"/>
      <c r="J244" s="36" t="n"/>
      <c r="K244" s="36" t="n"/>
      <c r="L244" s="34" t="n"/>
      <c r="M244" s="34" t="n"/>
      <c r="N244" s="36">
        <f>IF(K244="","",K244-IF(M244="",0,M244))</f>
        <v/>
      </c>
      <c r="O244" s="37">
        <f>IF(K244="","",K244-TODAY())</f>
        <v/>
      </c>
      <c r="P244" s="10">
        <f>IF(F244="","",IF(K244="","No date",IF(O244&lt;0,"Expired",IF(O244&lt;=30,"Urgent",IF(O244&lt;=90,"Due soon","OK")))))</f>
        <v/>
      </c>
      <c r="Q244" s="34" t="n"/>
      <c r="R244" s="38" t="n"/>
      <c r="S244" s="34" t="n"/>
      <c r="T244" s="35" t="n"/>
      <c r="U244" s="34" t="n"/>
      <c r="V244" s="34">
        <f>IF(F244="","",IF(K244="","",O244+ROW()/100000))</f>
        <v/>
      </c>
    </row>
    <row r="245">
      <c r="A245" s="10">
        <f>IF(F245="","",COUNTA($F$5:F245))</f>
        <v/>
      </c>
      <c r="B245" s="34" t="n"/>
      <c r="C245" s="34" t="n"/>
      <c r="D245" s="34" t="n"/>
      <c r="E245" s="35" t="n"/>
      <c r="F245" s="35" t="n"/>
      <c r="G245" s="35" t="n"/>
      <c r="H245" s="34" t="n"/>
      <c r="I245" s="34" t="n"/>
      <c r="J245" s="36" t="n"/>
      <c r="K245" s="36" t="n"/>
      <c r="L245" s="34" t="n"/>
      <c r="M245" s="34" t="n"/>
      <c r="N245" s="36">
        <f>IF(K245="","",K245-IF(M245="",0,M245))</f>
        <v/>
      </c>
      <c r="O245" s="37">
        <f>IF(K245="","",K245-TODAY())</f>
        <v/>
      </c>
      <c r="P245" s="10">
        <f>IF(F245="","",IF(K245="","No date",IF(O245&lt;0,"Expired",IF(O245&lt;=30,"Urgent",IF(O245&lt;=90,"Due soon","OK")))))</f>
        <v/>
      </c>
      <c r="Q245" s="34" t="n"/>
      <c r="R245" s="38" t="n"/>
      <c r="S245" s="34" t="n"/>
      <c r="T245" s="35" t="n"/>
      <c r="U245" s="34" t="n"/>
      <c r="V245" s="34">
        <f>IF(F245="","",IF(K245="","",O245+ROW()/100000))</f>
        <v/>
      </c>
    </row>
    <row r="246">
      <c r="A246" s="10">
        <f>IF(F246="","",COUNTA($F$5:F246))</f>
        <v/>
      </c>
      <c r="B246" s="34" t="n"/>
      <c r="C246" s="34" t="n"/>
      <c r="D246" s="34" t="n"/>
      <c r="E246" s="35" t="n"/>
      <c r="F246" s="35" t="n"/>
      <c r="G246" s="35" t="n"/>
      <c r="H246" s="34" t="n"/>
      <c r="I246" s="34" t="n"/>
      <c r="J246" s="36" t="n"/>
      <c r="K246" s="36" t="n"/>
      <c r="L246" s="34" t="n"/>
      <c r="M246" s="34" t="n"/>
      <c r="N246" s="36">
        <f>IF(K246="","",K246-IF(M246="",0,M246))</f>
        <v/>
      </c>
      <c r="O246" s="37">
        <f>IF(K246="","",K246-TODAY())</f>
        <v/>
      </c>
      <c r="P246" s="10">
        <f>IF(F246="","",IF(K246="","No date",IF(O246&lt;0,"Expired",IF(O246&lt;=30,"Urgent",IF(O246&lt;=90,"Due soon","OK")))))</f>
        <v/>
      </c>
      <c r="Q246" s="34" t="n"/>
      <c r="R246" s="38" t="n"/>
      <c r="S246" s="34" t="n"/>
      <c r="T246" s="35" t="n"/>
      <c r="U246" s="34" t="n"/>
      <c r="V246" s="34">
        <f>IF(F246="","",IF(K246="","",O246+ROW()/100000))</f>
        <v/>
      </c>
    </row>
    <row r="247">
      <c r="A247" s="10">
        <f>IF(F247="","",COUNTA($F$5:F247))</f>
        <v/>
      </c>
      <c r="B247" s="34" t="n"/>
      <c r="C247" s="34" t="n"/>
      <c r="D247" s="34" t="n"/>
      <c r="E247" s="35" t="n"/>
      <c r="F247" s="35" t="n"/>
      <c r="G247" s="35" t="n"/>
      <c r="H247" s="34" t="n"/>
      <c r="I247" s="34" t="n"/>
      <c r="J247" s="36" t="n"/>
      <c r="K247" s="36" t="n"/>
      <c r="L247" s="34" t="n"/>
      <c r="M247" s="34" t="n"/>
      <c r="N247" s="36">
        <f>IF(K247="","",K247-IF(M247="",0,M247))</f>
        <v/>
      </c>
      <c r="O247" s="37">
        <f>IF(K247="","",K247-TODAY())</f>
        <v/>
      </c>
      <c r="P247" s="10">
        <f>IF(F247="","",IF(K247="","No date",IF(O247&lt;0,"Expired",IF(O247&lt;=30,"Urgent",IF(O247&lt;=90,"Due soon","OK")))))</f>
        <v/>
      </c>
      <c r="Q247" s="34" t="n"/>
      <c r="R247" s="38" t="n"/>
      <c r="S247" s="34" t="n"/>
      <c r="T247" s="35" t="n"/>
      <c r="U247" s="34" t="n"/>
      <c r="V247" s="34">
        <f>IF(F247="","",IF(K247="","",O247+ROW()/100000))</f>
        <v/>
      </c>
    </row>
    <row r="248">
      <c r="A248" s="10">
        <f>IF(F248="","",COUNTA($F$5:F248))</f>
        <v/>
      </c>
      <c r="B248" s="34" t="n"/>
      <c r="C248" s="34" t="n"/>
      <c r="D248" s="34" t="n"/>
      <c r="E248" s="35" t="n"/>
      <c r="F248" s="35" t="n"/>
      <c r="G248" s="35" t="n"/>
      <c r="H248" s="34" t="n"/>
      <c r="I248" s="34" t="n"/>
      <c r="J248" s="36" t="n"/>
      <c r="K248" s="36" t="n"/>
      <c r="L248" s="34" t="n"/>
      <c r="M248" s="34" t="n"/>
      <c r="N248" s="36">
        <f>IF(K248="","",K248-IF(M248="",0,M248))</f>
        <v/>
      </c>
      <c r="O248" s="37">
        <f>IF(K248="","",K248-TODAY())</f>
        <v/>
      </c>
      <c r="P248" s="10">
        <f>IF(F248="","",IF(K248="","No date",IF(O248&lt;0,"Expired",IF(O248&lt;=30,"Urgent",IF(O248&lt;=90,"Due soon","OK")))))</f>
        <v/>
      </c>
      <c r="Q248" s="34" t="n"/>
      <c r="R248" s="38" t="n"/>
      <c r="S248" s="34" t="n"/>
      <c r="T248" s="35" t="n"/>
      <c r="U248" s="34" t="n"/>
      <c r="V248" s="34">
        <f>IF(F248="","",IF(K248="","",O248+ROW()/100000))</f>
        <v/>
      </c>
    </row>
    <row r="249">
      <c r="A249" s="10">
        <f>IF(F249="","",COUNTA($F$5:F249))</f>
        <v/>
      </c>
      <c r="B249" s="34" t="n"/>
      <c r="C249" s="34" t="n"/>
      <c r="D249" s="34" t="n"/>
      <c r="E249" s="35" t="n"/>
      <c r="F249" s="35" t="n"/>
      <c r="G249" s="35" t="n"/>
      <c r="H249" s="34" t="n"/>
      <c r="I249" s="34" t="n"/>
      <c r="J249" s="36" t="n"/>
      <c r="K249" s="36" t="n"/>
      <c r="L249" s="34" t="n"/>
      <c r="M249" s="34" t="n"/>
      <c r="N249" s="36">
        <f>IF(K249="","",K249-IF(M249="",0,M249))</f>
        <v/>
      </c>
      <c r="O249" s="37">
        <f>IF(K249="","",K249-TODAY())</f>
        <v/>
      </c>
      <c r="P249" s="10">
        <f>IF(F249="","",IF(K249="","No date",IF(O249&lt;0,"Expired",IF(O249&lt;=30,"Urgent",IF(O249&lt;=90,"Due soon","OK")))))</f>
        <v/>
      </c>
      <c r="Q249" s="34" t="n"/>
      <c r="R249" s="38" t="n"/>
      <c r="S249" s="34" t="n"/>
      <c r="T249" s="35" t="n"/>
      <c r="U249" s="34" t="n"/>
      <c r="V249" s="34">
        <f>IF(F249="","",IF(K249="","",O249+ROW()/100000))</f>
        <v/>
      </c>
    </row>
    <row r="250">
      <c r="A250" s="10">
        <f>IF(F250="","",COUNTA($F$5:F250))</f>
        <v/>
      </c>
      <c r="B250" s="34" t="n"/>
      <c r="C250" s="34" t="n"/>
      <c r="D250" s="34" t="n"/>
      <c r="E250" s="35" t="n"/>
      <c r="F250" s="35" t="n"/>
      <c r="G250" s="35" t="n"/>
      <c r="H250" s="34" t="n"/>
      <c r="I250" s="34" t="n"/>
      <c r="J250" s="36" t="n"/>
      <c r="K250" s="36" t="n"/>
      <c r="L250" s="34" t="n"/>
      <c r="M250" s="34" t="n"/>
      <c r="N250" s="36">
        <f>IF(K250="","",K250-IF(M250="",0,M250))</f>
        <v/>
      </c>
      <c r="O250" s="37">
        <f>IF(K250="","",K250-TODAY())</f>
        <v/>
      </c>
      <c r="P250" s="10">
        <f>IF(F250="","",IF(K250="","No date",IF(O250&lt;0,"Expired",IF(O250&lt;=30,"Urgent",IF(O250&lt;=90,"Due soon","OK")))))</f>
        <v/>
      </c>
      <c r="Q250" s="34" t="n"/>
      <c r="R250" s="38" t="n"/>
      <c r="S250" s="34" t="n"/>
      <c r="T250" s="35" t="n"/>
      <c r="U250" s="34" t="n"/>
      <c r="V250" s="34">
        <f>IF(F250="","",IF(K250="","",O250+ROW()/100000))</f>
        <v/>
      </c>
    </row>
    <row r="251">
      <c r="A251" s="10">
        <f>IF(F251="","",COUNTA($F$5:F251))</f>
        <v/>
      </c>
      <c r="B251" s="34" t="n"/>
      <c r="C251" s="34" t="n"/>
      <c r="D251" s="34" t="n"/>
      <c r="E251" s="35" t="n"/>
      <c r="F251" s="35" t="n"/>
      <c r="G251" s="35" t="n"/>
      <c r="H251" s="34" t="n"/>
      <c r="I251" s="34" t="n"/>
      <c r="J251" s="36" t="n"/>
      <c r="K251" s="36" t="n"/>
      <c r="L251" s="34" t="n"/>
      <c r="M251" s="34" t="n"/>
      <c r="N251" s="36">
        <f>IF(K251="","",K251-IF(M251="",0,M251))</f>
        <v/>
      </c>
      <c r="O251" s="37">
        <f>IF(K251="","",K251-TODAY())</f>
        <v/>
      </c>
      <c r="P251" s="10">
        <f>IF(F251="","",IF(K251="","No date",IF(O251&lt;0,"Expired",IF(O251&lt;=30,"Urgent",IF(O251&lt;=90,"Due soon","OK")))))</f>
        <v/>
      </c>
      <c r="Q251" s="34" t="n"/>
      <c r="R251" s="38" t="n"/>
      <c r="S251" s="34" t="n"/>
      <c r="T251" s="35" t="n"/>
      <c r="U251" s="34" t="n"/>
      <c r="V251" s="34">
        <f>IF(F251="","",IF(K251="","",O251+ROW()/100000))</f>
        <v/>
      </c>
    </row>
    <row r="252">
      <c r="A252" s="10">
        <f>IF(F252="","",COUNTA($F$5:F252))</f>
        <v/>
      </c>
      <c r="B252" s="34" t="n"/>
      <c r="C252" s="34" t="n"/>
      <c r="D252" s="34" t="n"/>
      <c r="E252" s="35" t="n"/>
      <c r="F252" s="35" t="n"/>
      <c r="G252" s="35" t="n"/>
      <c r="H252" s="34" t="n"/>
      <c r="I252" s="34" t="n"/>
      <c r="J252" s="36" t="n"/>
      <c r="K252" s="36" t="n"/>
      <c r="L252" s="34" t="n"/>
      <c r="M252" s="34" t="n"/>
      <c r="N252" s="36">
        <f>IF(K252="","",K252-IF(M252="",0,M252))</f>
        <v/>
      </c>
      <c r="O252" s="37">
        <f>IF(K252="","",K252-TODAY())</f>
        <v/>
      </c>
      <c r="P252" s="10">
        <f>IF(F252="","",IF(K252="","No date",IF(O252&lt;0,"Expired",IF(O252&lt;=30,"Urgent",IF(O252&lt;=90,"Due soon","OK")))))</f>
        <v/>
      </c>
      <c r="Q252" s="34" t="n"/>
      <c r="R252" s="38" t="n"/>
      <c r="S252" s="34" t="n"/>
      <c r="T252" s="35" t="n"/>
      <c r="U252" s="34" t="n"/>
      <c r="V252" s="34">
        <f>IF(F252="","",IF(K252="","",O252+ROW()/100000))</f>
        <v/>
      </c>
    </row>
    <row r="253">
      <c r="A253" s="10">
        <f>IF(F253="","",COUNTA($F$5:F253))</f>
        <v/>
      </c>
      <c r="B253" s="34" t="n"/>
      <c r="C253" s="34" t="n"/>
      <c r="D253" s="34" t="n"/>
      <c r="E253" s="35" t="n"/>
      <c r="F253" s="35" t="n"/>
      <c r="G253" s="35" t="n"/>
      <c r="H253" s="34" t="n"/>
      <c r="I253" s="34" t="n"/>
      <c r="J253" s="36" t="n"/>
      <c r="K253" s="36" t="n"/>
      <c r="L253" s="34" t="n"/>
      <c r="M253" s="34" t="n"/>
      <c r="N253" s="36">
        <f>IF(K253="","",K253-IF(M253="",0,M253))</f>
        <v/>
      </c>
      <c r="O253" s="37">
        <f>IF(K253="","",K253-TODAY())</f>
        <v/>
      </c>
      <c r="P253" s="10">
        <f>IF(F253="","",IF(K253="","No date",IF(O253&lt;0,"Expired",IF(O253&lt;=30,"Urgent",IF(O253&lt;=90,"Due soon","OK")))))</f>
        <v/>
      </c>
      <c r="Q253" s="34" t="n"/>
      <c r="R253" s="38" t="n"/>
      <c r="S253" s="34" t="n"/>
      <c r="T253" s="35" t="n"/>
      <c r="U253" s="34" t="n"/>
      <c r="V253" s="34">
        <f>IF(F253="","",IF(K253="","",O253+ROW()/100000))</f>
        <v/>
      </c>
    </row>
    <row r="254">
      <c r="A254" s="10">
        <f>IF(F254="","",COUNTA($F$5:F254))</f>
        <v/>
      </c>
      <c r="B254" s="34" t="n"/>
      <c r="C254" s="34" t="n"/>
      <c r="D254" s="34" t="n"/>
      <c r="E254" s="35" t="n"/>
      <c r="F254" s="35" t="n"/>
      <c r="G254" s="35" t="n"/>
      <c r="H254" s="34" t="n"/>
      <c r="I254" s="34" t="n"/>
      <c r="J254" s="36" t="n"/>
      <c r="K254" s="36" t="n"/>
      <c r="L254" s="34" t="n"/>
      <c r="M254" s="34" t="n"/>
      <c r="N254" s="36">
        <f>IF(K254="","",K254-IF(M254="",0,M254))</f>
        <v/>
      </c>
      <c r="O254" s="37">
        <f>IF(K254="","",K254-TODAY())</f>
        <v/>
      </c>
      <c r="P254" s="10">
        <f>IF(F254="","",IF(K254="","No date",IF(O254&lt;0,"Expired",IF(O254&lt;=30,"Urgent",IF(O254&lt;=90,"Due soon","OK")))))</f>
        <v/>
      </c>
      <c r="Q254" s="34" t="n"/>
      <c r="R254" s="38" t="n"/>
      <c r="S254" s="34" t="n"/>
      <c r="T254" s="35" t="n"/>
      <c r="U254" s="34" t="n"/>
      <c r="V254" s="34">
        <f>IF(F254="","",IF(K254="","",O254+ROW()/100000))</f>
        <v/>
      </c>
    </row>
    <row r="255">
      <c r="A255" s="10">
        <f>IF(F255="","",COUNTA($F$5:F255))</f>
        <v/>
      </c>
      <c r="B255" s="34" t="n"/>
      <c r="C255" s="34" t="n"/>
      <c r="D255" s="34" t="n"/>
      <c r="E255" s="35" t="n"/>
      <c r="F255" s="35" t="n"/>
      <c r="G255" s="35" t="n"/>
      <c r="H255" s="34" t="n"/>
      <c r="I255" s="34" t="n"/>
      <c r="J255" s="36" t="n"/>
      <c r="K255" s="36" t="n"/>
      <c r="L255" s="34" t="n"/>
      <c r="M255" s="34" t="n"/>
      <c r="N255" s="36">
        <f>IF(K255="","",K255-IF(M255="",0,M255))</f>
        <v/>
      </c>
      <c r="O255" s="37">
        <f>IF(K255="","",K255-TODAY())</f>
        <v/>
      </c>
      <c r="P255" s="10">
        <f>IF(F255="","",IF(K255="","No date",IF(O255&lt;0,"Expired",IF(O255&lt;=30,"Urgent",IF(O255&lt;=90,"Due soon","OK")))))</f>
        <v/>
      </c>
      <c r="Q255" s="34" t="n"/>
      <c r="R255" s="38" t="n"/>
      <c r="S255" s="34" t="n"/>
      <c r="T255" s="35" t="n"/>
      <c r="U255" s="34" t="n"/>
      <c r="V255" s="34">
        <f>IF(F255="","",IF(K255="","",O255+ROW()/100000))</f>
        <v/>
      </c>
    </row>
    <row r="256">
      <c r="A256" s="10">
        <f>IF(F256="","",COUNTA($F$5:F256))</f>
        <v/>
      </c>
      <c r="B256" s="34" t="n"/>
      <c r="C256" s="34" t="n"/>
      <c r="D256" s="34" t="n"/>
      <c r="E256" s="35" t="n"/>
      <c r="F256" s="35" t="n"/>
      <c r="G256" s="35" t="n"/>
      <c r="H256" s="34" t="n"/>
      <c r="I256" s="34" t="n"/>
      <c r="J256" s="36" t="n"/>
      <c r="K256" s="36" t="n"/>
      <c r="L256" s="34" t="n"/>
      <c r="M256" s="34" t="n"/>
      <c r="N256" s="36">
        <f>IF(K256="","",K256-IF(M256="",0,M256))</f>
        <v/>
      </c>
      <c r="O256" s="37">
        <f>IF(K256="","",K256-TODAY())</f>
        <v/>
      </c>
      <c r="P256" s="10">
        <f>IF(F256="","",IF(K256="","No date",IF(O256&lt;0,"Expired",IF(O256&lt;=30,"Urgent",IF(O256&lt;=90,"Due soon","OK")))))</f>
        <v/>
      </c>
      <c r="Q256" s="34" t="n"/>
      <c r="R256" s="38" t="n"/>
      <c r="S256" s="34" t="n"/>
      <c r="T256" s="35" t="n"/>
      <c r="U256" s="34" t="n"/>
      <c r="V256" s="34">
        <f>IF(F256="","",IF(K256="","",O256+ROW()/100000))</f>
        <v/>
      </c>
    </row>
    <row r="257">
      <c r="A257" s="10">
        <f>IF(F257="","",COUNTA($F$5:F257))</f>
        <v/>
      </c>
      <c r="B257" s="34" t="n"/>
      <c r="C257" s="34" t="n"/>
      <c r="D257" s="34" t="n"/>
      <c r="E257" s="35" t="n"/>
      <c r="F257" s="35" t="n"/>
      <c r="G257" s="35" t="n"/>
      <c r="H257" s="34" t="n"/>
      <c r="I257" s="34" t="n"/>
      <c r="J257" s="36" t="n"/>
      <c r="K257" s="36" t="n"/>
      <c r="L257" s="34" t="n"/>
      <c r="M257" s="34" t="n"/>
      <c r="N257" s="36">
        <f>IF(K257="","",K257-IF(M257="",0,M257))</f>
        <v/>
      </c>
      <c r="O257" s="37">
        <f>IF(K257="","",K257-TODAY())</f>
        <v/>
      </c>
      <c r="P257" s="10">
        <f>IF(F257="","",IF(K257="","No date",IF(O257&lt;0,"Expired",IF(O257&lt;=30,"Urgent",IF(O257&lt;=90,"Due soon","OK")))))</f>
        <v/>
      </c>
      <c r="Q257" s="34" t="n"/>
      <c r="R257" s="38" t="n"/>
      <c r="S257" s="34" t="n"/>
      <c r="T257" s="35" t="n"/>
      <c r="U257" s="34" t="n"/>
      <c r="V257" s="34">
        <f>IF(F257="","",IF(K257="","",O257+ROW()/100000))</f>
        <v/>
      </c>
    </row>
    <row r="258">
      <c r="A258" s="10">
        <f>IF(F258="","",COUNTA($F$5:F258))</f>
        <v/>
      </c>
      <c r="B258" s="34" t="n"/>
      <c r="C258" s="34" t="n"/>
      <c r="D258" s="34" t="n"/>
      <c r="E258" s="35" t="n"/>
      <c r="F258" s="35" t="n"/>
      <c r="G258" s="35" t="n"/>
      <c r="H258" s="34" t="n"/>
      <c r="I258" s="34" t="n"/>
      <c r="J258" s="36" t="n"/>
      <c r="K258" s="36" t="n"/>
      <c r="L258" s="34" t="n"/>
      <c r="M258" s="34" t="n"/>
      <c r="N258" s="36">
        <f>IF(K258="","",K258-IF(M258="",0,M258))</f>
        <v/>
      </c>
      <c r="O258" s="37">
        <f>IF(K258="","",K258-TODAY())</f>
        <v/>
      </c>
      <c r="P258" s="10">
        <f>IF(F258="","",IF(K258="","No date",IF(O258&lt;0,"Expired",IF(O258&lt;=30,"Urgent",IF(O258&lt;=90,"Due soon","OK")))))</f>
        <v/>
      </c>
      <c r="Q258" s="34" t="n"/>
      <c r="R258" s="38" t="n"/>
      <c r="S258" s="34" t="n"/>
      <c r="T258" s="35" t="n"/>
      <c r="U258" s="34" t="n"/>
      <c r="V258" s="34">
        <f>IF(F258="","",IF(K258="","",O258+ROW()/100000))</f>
        <v/>
      </c>
    </row>
    <row r="259">
      <c r="A259" s="10">
        <f>IF(F259="","",COUNTA($F$5:F259))</f>
        <v/>
      </c>
      <c r="B259" s="34" t="n"/>
      <c r="C259" s="34" t="n"/>
      <c r="D259" s="34" t="n"/>
      <c r="E259" s="35" t="n"/>
      <c r="F259" s="35" t="n"/>
      <c r="G259" s="35" t="n"/>
      <c r="H259" s="34" t="n"/>
      <c r="I259" s="34" t="n"/>
      <c r="J259" s="36" t="n"/>
      <c r="K259" s="36" t="n"/>
      <c r="L259" s="34" t="n"/>
      <c r="M259" s="34" t="n"/>
      <c r="N259" s="36">
        <f>IF(K259="","",K259-IF(M259="",0,M259))</f>
        <v/>
      </c>
      <c r="O259" s="37">
        <f>IF(K259="","",K259-TODAY())</f>
        <v/>
      </c>
      <c r="P259" s="10">
        <f>IF(F259="","",IF(K259="","No date",IF(O259&lt;0,"Expired",IF(O259&lt;=30,"Urgent",IF(O259&lt;=90,"Due soon","OK")))))</f>
        <v/>
      </c>
      <c r="Q259" s="34" t="n"/>
      <c r="R259" s="38" t="n"/>
      <c r="S259" s="34" t="n"/>
      <c r="T259" s="35" t="n"/>
      <c r="U259" s="34" t="n"/>
      <c r="V259" s="34">
        <f>IF(F259="","",IF(K259="","",O259+ROW()/100000))</f>
        <v/>
      </c>
    </row>
    <row r="260">
      <c r="A260" s="10">
        <f>IF(F260="","",COUNTA($F$5:F260))</f>
        <v/>
      </c>
      <c r="B260" s="34" t="n"/>
      <c r="C260" s="34" t="n"/>
      <c r="D260" s="34" t="n"/>
      <c r="E260" s="35" t="n"/>
      <c r="F260" s="35" t="n"/>
      <c r="G260" s="35" t="n"/>
      <c r="H260" s="34" t="n"/>
      <c r="I260" s="34" t="n"/>
      <c r="J260" s="36" t="n"/>
      <c r="K260" s="36" t="n"/>
      <c r="L260" s="34" t="n"/>
      <c r="M260" s="34" t="n"/>
      <c r="N260" s="36">
        <f>IF(K260="","",K260-IF(M260="",0,M260))</f>
        <v/>
      </c>
      <c r="O260" s="37">
        <f>IF(K260="","",K260-TODAY())</f>
        <v/>
      </c>
      <c r="P260" s="10">
        <f>IF(F260="","",IF(K260="","No date",IF(O260&lt;0,"Expired",IF(O260&lt;=30,"Urgent",IF(O260&lt;=90,"Due soon","OK")))))</f>
        <v/>
      </c>
      <c r="Q260" s="34" t="n"/>
      <c r="R260" s="38" t="n"/>
      <c r="S260" s="34" t="n"/>
      <c r="T260" s="35" t="n"/>
      <c r="U260" s="34" t="n"/>
      <c r="V260" s="34">
        <f>IF(F260="","",IF(K260="","",O260+ROW()/100000))</f>
        <v/>
      </c>
    </row>
    <row r="261">
      <c r="A261" s="10">
        <f>IF(F261="","",COUNTA($F$5:F261))</f>
        <v/>
      </c>
      <c r="B261" s="34" t="n"/>
      <c r="C261" s="34" t="n"/>
      <c r="D261" s="34" t="n"/>
      <c r="E261" s="35" t="n"/>
      <c r="F261" s="35" t="n"/>
      <c r="G261" s="35" t="n"/>
      <c r="H261" s="34" t="n"/>
      <c r="I261" s="34" t="n"/>
      <c r="J261" s="36" t="n"/>
      <c r="K261" s="36" t="n"/>
      <c r="L261" s="34" t="n"/>
      <c r="M261" s="34" t="n"/>
      <c r="N261" s="36">
        <f>IF(K261="","",K261-IF(M261="",0,M261))</f>
        <v/>
      </c>
      <c r="O261" s="37">
        <f>IF(K261="","",K261-TODAY())</f>
        <v/>
      </c>
      <c r="P261" s="10">
        <f>IF(F261="","",IF(K261="","No date",IF(O261&lt;0,"Expired",IF(O261&lt;=30,"Urgent",IF(O261&lt;=90,"Due soon","OK")))))</f>
        <v/>
      </c>
      <c r="Q261" s="34" t="n"/>
      <c r="R261" s="38" t="n"/>
      <c r="S261" s="34" t="n"/>
      <c r="T261" s="35" t="n"/>
      <c r="U261" s="34" t="n"/>
      <c r="V261" s="34">
        <f>IF(F261="","",IF(K261="","",O261+ROW()/100000))</f>
        <v/>
      </c>
    </row>
    <row r="262">
      <c r="A262" s="10">
        <f>IF(F262="","",COUNTA($F$5:F262))</f>
        <v/>
      </c>
      <c r="B262" s="34" t="n"/>
      <c r="C262" s="34" t="n"/>
      <c r="D262" s="34" t="n"/>
      <c r="E262" s="35" t="n"/>
      <c r="F262" s="35" t="n"/>
      <c r="G262" s="35" t="n"/>
      <c r="H262" s="34" t="n"/>
      <c r="I262" s="34" t="n"/>
      <c r="J262" s="36" t="n"/>
      <c r="K262" s="36" t="n"/>
      <c r="L262" s="34" t="n"/>
      <c r="M262" s="34" t="n"/>
      <c r="N262" s="36">
        <f>IF(K262="","",K262-IF(M262="",0,M262))</f>
        <v/>
      </c>
      <c r="O262" s="37">
        <f>IF(K262="","",K262-TODAY())</f>
        <v/>
      </c>
      <c r="P262" s="10">
        <f>IF(F262="","",IF(K262="","No date",IF(O262&lt;0,"Expired",IF(O262&lt;=30,"Urgent",IF(O262&lt;=90,"Due soon","OK")))))</f>
        <v/>
      </c>
      <c r="Q262" s="34" t="n"/>
      <c r="R262" s="38" t="n"/>
      <c r="S262" s="34" t="n"/>
      <c r="T262" s="35" t="n"/>
      <c r="U262" s="34" t="n"/>
      <c r="V262" s="34">
        <f>IF(F262="","",IF(K262="","",O262+ROW()/100000))</f>
        <v/>
      </c>
    </row>
    <row r="263">
      <c r="A263" s="10">
        <f>IF(F263="","",COUNTA($F$5:F263))</f>
        <v/>
      </c>
      <c r="B263" s="34" t="n"/>
      <c r="C263" s="34" t="n"/>
      <c r="D263" s="34" t="n"/>
      <c r="E263" s="35" t="n"/>
      <c r="F263" s="35" t="n"/>
      <c r="G263" s="35" t="n"/>
      <c r="H263" s="34" t="n"/>
      <c r="I263" s="34" t="n"/>
      <c r="J263" s="36" t="n"/>
      <c r="K263" s="36" t="n"/>
      <c r="L263" s="34" t="n"/>
      <c r="M263" s="34" t="n"/>
      <c r="N263" s="36">
        <f>IF(K263="","",K263-IF(M263="",0,M263))</f>
        <v/>
      </c>
      <c r="O263" s="37">
        <f>IF(K263="","",K263-TODAY())</f>
        <v/>
      </c>
      <c r="P263" s="10">
        <f>IF(F263="","",IF(K263="","No date",IF(O263&lt;0,"Expired",IF(O263&lt;=30,"Urgent",IF(O263&lt;=90,"Due soon","OK")))))</f>
        <v/>
      </c>
      <c r="Q263" s="34" t="n"/>
      <c r="R263" s="38" t="n"/>
      <c r="S263" s="34" t="n"/>
      <c r="T263" s="35" t="n"/>
      <c r="U263" s="34" t="n"/>
      <c r="V263" s="34">
        <f>IF(F263="","",IF(K263="","",O263+ROW()/100000))</f>
        <v/>
      </c>
    </row>
    <row r="264">
      <c r="A264" s="10">
        <f>IF(F264="","",COUNTA($F$5:F264))</f>
        <v/>
      </c>
      <c r="B264" s="34" t="n"/>
      <c r="C264" s="34" t="n"/>
      <c r="D264" s="34" t="n"/>
      <c r="E264" s="35" t="n"/>
      <c r="F264" s="35" t="n"/>
      <c r="G264" s="35" t="n"/>
      <c r="H264" s="34" t="n"/>
      <c r="I264" s="34" t="n"/>
      <c r="J264" s="36" t="n"/>
      <c r="K264" s="36" t="n"/>
      <c r="L264" s="34" t="n"/>
      <c r="M264" s="34" t="n"/>
      <c r="N264" s="36">
        <f>IF(K264="","",K264-IF(M264="",0,M264))</f>
        <v/>
      </c>
      <c r="O264" s="37">
        <f>IF(K264="","",K264-TODAY())</f>
        <v/>
      </c>
      <c r="P264" s="10">
        <f>IF(F264="","",IF(K264="","No date",IF(O264&lt;0,"Expired",IF(O264&lt;=30,"Urgent",IF(O264&lt;=90,"Due soon","OK")))))</f>
        <v/>
      </c>
      <c r="Q264" s="34" t="n"/>
      <c r="R264" s="38" t="n"/>
      <c r="S264" s="34" t="n"/>
      <c r="T264" s="35" t="n"/>
      <c r="U264" s="34" t="n"/>
      <c r="V264" s="34">
        <f>IF(F264="","",IF(K264="","",O264+ROW()/100000))</f>
        <v/>
      </c>
    </row>
    <row r="265">
      <c r="A265" s="10">
        <f>IF(F265="","",COUNTA($F$5:F265))</f>
        <v/>
      </c>
      <c r="B265" s="34" t="n"/>
      <c r="C265" s="34" t="n"/>
      <c r="D265" s="34" t="n"/>
      <c r="E265" s="35" t="n"/>
      <c r="F265" s="35" t="n"/>
      <c r="G265" s="35" t="n"/>
      <c r="H265" s="34" t="n"/>
      <c r="I265" s="34" t="n"/>
      <c r="J265" s="36" t="n"/>
      <c r="K265" s="36" t="n"/>
      <c r="L265" s="34" t="n"/>
      <c r="M265" s="34" t="n"/>
      <c r="N265" s="36">
        <f>IF(K265="","",K265-IF(M265="",0,M265))</f>
        <v/>
      </c>
      <c r="O265" s="37">
        <f>IF(K265="","",K265-TODAY())</f>
        <v/>
      </c>
      <c r="P265" s="10">
        <f>IF(F265="","",IF(K265="","No date",IF(O265&lt;0,"Expired",IF(O265&lt;=30,"Urgent",IF(O265&lt;=90,"Due soon","OK")))))</f>
        <v/>
      </c>
      <c r="Q265" s="34" t="n"/>
      <c r="R265" s="38" t="n"/>
      <c r="S265" s="34" t="n"/>
      <c r="T265" s="35" t="n"/>
      <c r="U265" s="34" t="n"/>
      <c r="V265" s="34">
        <f>IF(F265="","",IF(K265="","",O265+ROW()/100000))</f>
        <v/>
      </c>
    </row>
    <row r="266">
      <c r="A266" s="10">
        <f>IF(F266="","",COUNTA($F$5:F266))</f>
        <v/>
      </c>
      <c r="B266" s="34" t="n"/>
      <c r="C266" s="34" t="n"/>
      <c r="D266" s="34" t="n"/>
      <c r="E266" s="35" t="n"/>
      <c r="F266" s="35" t="n"/>
      <c r="G266" s="35" t="n"/>
      <c r="H266" s="34" t="n"/>
      <c r="I266" s="34" t="n"/>
      <c r="J266" s="36" t="n"/>
      <c r="K266" s="36" t="n"/>
      <c r="L266" s="34" t="n"/>
      <c r="M266" s="34" t="n"/>
      <c r="N266" s="36">
        <f>IF(K266="","",K266-IF(M266="",0,M266))</f>
        <v/>
      </c>
      <c r="O266" s="37">
        <f>IF(K266="","",K266-TODAY())</f>
        <v/>
      </c>
      <c r="P266" s="10">
        <f>IF(F266="","",IF(K266="","No date",IF(O266&lt;0,"Expired",IF(O266&lt;=30,"Urgent",IF(O266&lt;=90,"Due soon","OK")))))</f>
        <v/>
      </c>
      <c r="Q266" s="34" t="n"/>
      <c r="R266" s="38" t="n"/>
      <c r="S266" s="34" t="n"/>
      <c r="T266" s="35" t="n"/>
      <c r="U266" s="34" t="n"/>
      <c r="V266" s="34">
        <f>IF(F266="","",IF(K266="","",O266+ROW()/100000))</f>
        <v/>
      </c>
    </row>
    <row r="267">
      <c r="A267" s="10">
        <f>IF(F267="","",COUNTA($F$5:F267))</f>
        <v/>
      </c>
      <c r="B267" s="34" t="n"/>
      <c r="C267" s="34" t="n"/>
      <c r="D267" s="34" t="n"/>
      <c r="E267" s="35" t="n"/>
      <c r="F267" s="35" t="n"/>
      <c r="G267" s="35" t="n"/>
      <c r="H267" s="34" t="n"/>
      <c r="I267" s="34" t="n"/>
      <c r="J267" s="36" t="n"/>
      <c r="K267" s="36" t="n"/>
      <c r="L267" s="34" t="n"/>
      <c r="M267" s="34" t="n"/>
      <c r="N267" s="36">
        <f>IF(K267="","",K267-IF(M267="",0,M267))</f>
        <v/>
      </c>
      <c r="O267" s="37">
        <f>IF(K267="","",K267-TODAY())</f>
        <v/>
      </c>
      <c r="P267" s="10">
        <f>IF(F267="","",IF(K267="","No date",IF(O267&lt;0,"Expired",IF(O267&lt;=30,"Urgent",IF(O267&lt;=90,"Due soon","OK")))))</f>
        <v/>
      </c>
      <c r="Q267" s="34" t="n"/>
      <c r="R267" s="38" t="n"/>
      <c r="S267" s="34" t="n"/>
      <c r="T267" s="35" t="n"/>
      <c r="U267" s="34" t="n"/>
      <c r="V267" s="34">
        <f>IF(F267="","",IF(K267="","",O267+ROW()/100000))</f>
        <v/>
      </c>
    </row>
    <row r="268">
      <c r="A268" s="10">
        <f>IF(F268="","",COUNTA($F$5:F268))</f>
        <v/>
      </c>
      <c r="B268" s="34" t="n"/>
      <c r="C268" s="34" t="n"/>
      <c r="D268" s="34" t="n"/>
      <c r="E268" s="35" t="n"/>
      <c r="F268" s="35" t="n"/>
      <c r="G268" s="35" t="n"/>
      <c r="H268" s="34" t="n"/>
      <c r="I268" s="34" t="n"/>
      <c r="J268" s="36" t="n"/>
      <c r="K268" s="36" t="n"/>
      <c r="L268" s="34" t="n"/>
      <c r="M268" s="34" t="n"/>
      <c r="N268" s="36">
        <f>IF(K268="","",K268-IF(M268="",0,M268))</f>
        <v/>
      </c>
      <c r="O268" s="37">
        <f>IF(K268="","",K268-TODAY())</f>
        <v/>
      </c>
      <c r="P268" s="10">
        <f>IF(F268="","",IF(K268="","No date",IF(O268&lt;0,"Expired",IF(O268&lt;=30,"Urgent",IF(O268&lt;=90,"Due soon","OK")))))</f>
        <v/>
      </c>
      <c r="Q268" s="34" t="n"/>
      <c r="R268" s="38" t="n"/>
      <c r="S268" s="34" t="n"/>
      <c r="T268" s="35" t="n"/>
      <c r="U268" s="34" t="n"/>
      <c r="V268" s="34">
        <f>IF(F268="","",IF(K268="","",O268+ROW()/100000))</f>
        <v/>
      </c>
    </row>
    <row r="269">
      <c r="A269" s="10">
        <f>IF(F269="","",COUNTA($F$5:F269))</f>
        <v/>
      </c>
      <c r="B269" s="34" t="n"/>
      <c r="C269" s="34" t="n"/>
      <c r="D269" s="34" t="n"/>
      <c r="E269" s="35" t="n"/>
      <c r="F269" s="35" t="n"/>
      <c r="G269" s="35" t="n"/>
      <c r="H269" s="34" t="n"/>
      <c r="I269" s="34" t="n"/>
      <c r="J269" s="36" t="n"/>
      <c r="K269" s="36" t="n"/>
      <c r="L269" s="34" t="n"/>
      <c r="M269" s="34" t="n"/>
      <c r="N269" s="36">
        <f>IF(K269="","",K269-IF(M269="",0,M269))</f>
        <v/>
      </c>
      <c r="O269" s="37">
        <f>IF(K269="","",K269-TODAY())</f>
        <v/>
      </c>
      <c r="P269" s="10">
        <f>IF(F269="","",IF(K269="","No date",IF(O269&lt;0,"Expired",IF(O269&lt;=30,"Urgent",IF(O269&lt;=90,"Due soon","OK")))))</f>
        <v/>
      </c>
      <c r="Q269" s="34" t="n"/>
      <c r="R269" s="38" t="n"/>
      <c r="S269" s="34" t="n"/>
      <c r="T269" s="35" t="n"/>
      <c r="U269" s="34" t="n"/>
      <c r="V269" s="34">
        <f>IF(F269="","",IF(K269="","",O269+ROW()/100000))</f>
        <v/>
      </c>
    </row>
    <row r="270">
      <c r="A270" s="10">
        <f>IF(F270="","",COUNTA($F$5:F270))</f>
        <v/>
      </c>
      <c r="B270" s="34" t="n"/>
      <c r="C270" s="34" t="n"/>
      <c r="D270" s="34" t="n"/>
      <c r="E270" s="35" t="n"/>
      <c r="F270" s="35" t="n"/>
      <c r="G270" s="35" t="n"/>
      <c r="H270" s="34" t="n"/>
      <c r="I270" s="34" t="n"/>
      <c r="J270" s="36" t="n"/>
      <c r="K270" s="36" t="n"/>
      <c r="L270" s="34" t="n"/>
      <c r="M270" s="34" t="n"/>
      <c r="N270" s="36">
        <f>IF(K270="","",K270-IF(M270="",0,M270))</f>
        <v/>
      </c>
      <c r="O270" s="37">
        <f>IF(K270="","",K270-TODAY())</f>
        <v/>
      </c>
      <c r="P270" s="10">
        <f>IF(F270="","",IF(K270="","No date",IF(O270&lt;0,"Expired",IF(O270&lt;=30,"Urgent",IF(O270&lt;=90,"Due soon","OK")))))</f>
        <v/>
      </c>
      <c r="Q270" s="34" t="n"/>
      <c r="R270" s="38" t="n"/>
      <c r="S270" s="34" t="n"/>
      <c r="T270" s="35" t="n"/>
      <c r="U270" s="34" t="n"/>
      <c r="V270" s="34">
        <f>IF(F270="","",IF(K270="","",O270+ROW()/100000))</f>
        <v/>
      </c>
    </row>
    <row r="271">
      <c r="A271" s="10">
        <f>IF(F271="","",COUNTA($F$5:F271))</f>
        <v/>
      </c>
      <c r="B271" s="34" t="n"/>
      <c r="C271" s="34" t="n"/>
      <c r="D271" s="34" t="n"/>
      <c r="E271" s="35" t="n"/>
      <c r="F271" s="35" t="n"/>
      <c r="G271" s="35" t="n"/>
      <c r="H271" s="34" t="n"/>
      <c r="I271" s="34" t="n"/>
      <c r="J271" s="36" t="n"/>
      <c r="K271" s="36" t="n"/>
      <c r="L271" s="34" t="n"/>
      <c r="M271" s="34" t="n"/>
      <c r="N271" s="36">
        <f>IF(K271="","",K271-IF(M271="",0,M271))</f>
        <v/>
      </c>
      <c r="O271" s="37">
        <f>IF(K271="","",K271-TODAY())</f>
        <v/>
      </c>
      <c r="P271" s="10">
        <f>IF(F271="","",IF(K271="","No date",IF(O271&lt;0,"Expired",IF(O271&lt;=30,"Urgent",IF(O271&lt;=90,"Due soon","OK")))))</f>
        <v/>
      </c>
      <c r="Q271" s="34" t="n"/>
      <c r="R271" s="38" t="n"/>
      <c r="S271" s="34" t="n"/>
      <c r="T271" s="35" t="n"/>
      <c r="U271" s="34" t="n"/>
      <c r="V271" s="34">
        <f>IF(F271="","",IF(K271="","",O271+ROW()/100000))</f>
        <v/>
      </c>
    </row>
    <row r="272">
      <c r="A272" s="10">
        <f>IF(F272="","",COUNTA($F$5:F272))</f>
        <v/>
      </c>
      <c r="B272" s="34" t="n"/>
      <c r="C272" s="34" t="n"/>
      <c r="D272" s="34" t="n"/>
      <c r="E272" s="35" t="n"/>
      <c r="F272" s="35" t="n"/>
      <c r="G272" s="35" t="n"/>
      <c r="H272" s="34" t="n"/>
      <c r="I272" s="34" t="n"/>
      <c r="J272" s="36" t="n"/>
      <c r="K272" s="36" t="n"/>
      <c r="L272" s="34" t="n"/>
      <c r="M272" s="34" t="n"/>
      <c r="N272" s="36">
        <f>IF(K272="","",K272-IF(M272="",0,M272))</f>
        <v/>
      </c>
      <c r="O272" s="37">
        <f>IF(K272="","",K272-TODAY())</f>
        <v/>
      </c>
      <c r="P272" s="10">
        <f>IF(F272="","",IF(K272="","No date",IF(O272&lt;0,"Expired",IF(O272&lt;=30,"Urgent",IF(O272&lt;=90,"Due soon","OK")))))</f>
        <v/>
      </c>
      <c r="Q272" s="34" t="n"/>
      <c r="R272" s="38" t="n"/>
      <c r="S272" s="34" t="n"/>
      <c r="T272" s="35" t="n"/>
      <c r="U272" s="34" t="n"/>
      <c r="V272" s="34">
        <f>IF(F272="","",IF(K272="","",O272+ROW()/100000))</f>
        <v/>
      </c>
    </row>
    <row r="273">
      <c r="A273" s="10">
        <f>IF(F273="","",COUNTA($F$5:F273))</f>
        <v/>
      </c>
      <c r="B273" s="34" t="n"/>
      <c r="C273" s="34" t="n"/>
      <c r="D273" s="34" t="n"/>
      <c r="E273" s="35" t="n"/>
      <c r="F273" s="35" t="n"/>
      <c r="G273" s="35" t="n"/>
      <c r="H273" s="34" t="n"/>
      <c r="I273" s="34" t="n"/>
      <c r="J273" s="36" t="n"/>
      <c r="K273" s="36" t="n"/>
      <c r="L273" s="34" t="n"/>
      <c r="M273" s="34" t="n"/>
      <c r="N273" s="36">
        <f>IF(K273="","",K273-IF(M273="",0,M273))</f>
        <v/>
      </c>
      <c r="O273" s="37">
        <f>IF(K273="","",K273-TODAY())</f>
        <v/>
      </c>
      <c r="P273" s="10">
        <f>IF(F273="","",IF(K273="","No date",IF(O273&lt;0,"Expired",IF(O273&lt;=30,"Urgent",IF(O273&lt;=90,"Due soon","OK")))))</f>
        <v/>
      </c>
      <c r="Q273" s="34" t="n"/>
      <c r="R273" s="38" t="n"/>
      <c r="S273" s="34" t="n"/>
      <c r="T273" s="35" t="n"/>
      <c r="U273" s="34" t="n"/>
      <c r="V273" s="34">
        <f>IF(F273="","",IF(K273="","",O273+ROW()/100000))</f>
        <v/>
      </c>
    </row>
    <row r="274">
      <c r="A274" s="10">
        <f>IF(F274="","",COUNTA($F$5:F274))</f>
        <v/>
      </c>
      <c r="B274" s="34" t="n"/>
      <c r="C274" s="34" t="n"/>
      <c r="D274" s="34" t="n"/>
      <c r="E274" s="35" t="n"/>
      <c r="F274" s="35" t="n"/>
      <c r="G274" s="35" t="n"/>
      <c r="H274" s="34" t="n"/>
      <c r="I274" s="34" t="n"/>
      <c r="J274" s="36" t="n"/>
      <c r="K274" s="36" t="n"/>
      <c r="L274" s="34" t="n"/>
      <c r="M274" s="34" t="n"/>
      <c r="N274" s="36">
        <f>IF(K274="","",K274-IF(M274="",0,M274))</f>
        <v/>
      </c>
      <c r="O274" s="37">
        <f>IF(K274="","",K274-TODAY())</f>
        <v/>
      </c>
      <c r="P274" s="10">
        <f>IF(F274="","",IF(K274="","No date",IF(O274&lt;0,"Expired",IF(O274&lt;=30,"Urgent",IF(O274&lt;=90,"Due soon","OK")))))</f>
        <v/>
      </c>
      <c r="Q274" s="34" t="n"/>
      <c r="R274" s="38" t="n"/>
      <c r="S274" s="34" t="n"/>
      <c r="T274" s="35" t="n"/>
      <c r="U274" s="34" t="n"/>
      <c r="V274" s="34">
        <f>IF(F274="","",IF(K274="","",O274+ROW()/100000))</f>
        <v/>
      </c>
    </row>
    <row r="275">
      <c r="A275" s="10">
        <f>IF(F275="","",COUNTA($F$5:F275))</f>
        <v/>
      </c>
      <c r="B275" s="34" t="n"/>
      <c r="C275" s="34" t="n"/>
      <c r="D275" s="34" t="n"/>
      <c r="E275" s="35" t="n"/>
      <c r="F275" s="35" t="n"/>
      <c r="G275" s="35" t="n"/>
      <c r="H275" s="34" t="n"/>
      <c r="I275" s="34" t="n"/>
      <c r="J275" s="36" t="n"/>
      <c r="K275" s="36" t="n"/>
      <c r="L275" s="34" t="n"/>
      <c r="M275" s="34" t="n"/>
      <c r="N275" s="36">
        <f>IF(K275="","",K275-IF(M275="",0,M275))</f>
        <v/>
      </c>
      <c r="O275" s="37">
        <f>IF(K275="","",K275-TODAY())</f>
        <v/>
      </c>
      <c r="P275" s="10">
        <f>IF(F275="","",IF(K275="","No date",IF(O275&lt;0,"Expired",IF(O275&lt;=30,"Urgent",IF(O275&lt;=90,"Due soon","OK")))))</f>
        <v/>
      </c>
      <c r="Q275" s="34" t="n"/>
      <c r="R275" s="38" t="n"/>
      <c r="S275" s="34" t="n"/>
      <c r="T275" s="35" t="n"/>
      <c r="U275" s="34" t="n"/>
      <c r="V275" s="34">
        <f>IF(F275="","",IF(K275="","",O275+ROW()/100000))</f>
        <v/>
      </c>
    </row>
    <row r="276">
      <c r="A276" s="10">
        <f>IF(F276="","",COUNTA($F$5:F276))</f>
        <v/>
      </c>
      <c r="B276" s="34" t="n"/>
      <c r="C276" s="34" t="n"/>
      <c r="D276" s="34" t="n"/>
      <c r="E276" s="35" t="n"/>
      <c r="F276" s="35" t="n"/>
      <c r="G276" s="35" t="n"/>
      <c r="H276" s="34" t="n"/>
      <c r="I276" s="34" t="n"/>
      <c r="J276" s="36" t="n"/>
      <c r="K276" s="36" t="n"/>
      <c r="L276" s="34" t="n"/>
      <c r="M276" s="34" t="n"/>
      <c r="N276" s="36">
        <f>IF(K276="","",K276-IF(M276="",0,M276))</f>
        <v/>
      </c>
      <c r="O276" s="37">
        <f>IF(K276="","",K276-TODAY())</f>
        <v/>
      </c>
      <c r="P276" s="10">
        <f>IF(F276="","",IF(K276="","No date",IF(O276&lt;0,"Expired",IF(O276&lt;=30,"Urgent",IF(O276&lt;=90,"Due soon","OK")))))</f>
        <v/>
      </c>
      <c r="Q276" s="34" t="n"/>
      <c r="R276" s="38" t="n"/>
      <c r="S276" s="34" t="n"/>
      <c r="T276" s="35" t="n"/>
      <c r="U276" s="34" t="n"/>
      <c r="V276" s="34">
        <f>IF(F276="","",IF(K276="","",O276+ROW()/100000))</f>
        <v/>
      </c>
    </row>
    <row r="277">
      <c r="A277" s="10">
        <f>IF(F277="","",COUNTA($F$5:F277))</f>
        <v/>
      </c>
      <c r="B277" s="34" t="n"/>
      <c r="C277" s="34" t="n"/>
      <c r="D277" s="34" t="n"/>
      <c r="E277" s="35" t="n"/>
      <c r="F277" s="35" t="n"/>
      <c r="G277" s="35" t="n"/>
      <c r="H277" s="34" t="n"/>
      <c r="I277" s="34" t="n"/>
      <c r="J277" s="36" t="n"/>
      <c r="K277" s="36" t="n"/>
      <c r="L277" s="34" t="n"/>
      <c r="M277" s="34" t="n"/>
      <c r="N277" s="36">
        <f>IF(K277="","",K277-IF(M277="",0,M277))</f>
        <v/>
      </c>
      <c r="O277" s="37">
        <f>IF(K277="","",K277-TODAY())</f>
        <v/>
      </c>
      <c r="P277" s="10">
        <f>IF(F277="","",IF(K277="","No date",IF(O277&lt;0,"Expired",IF(O277&lt;=30,"Urgent",IF(O277&lt;=90,"Due soon","OK")))))</f>
        <v/>
      </c>
      <c r="Q277" s="34" t="n"/>
      <c r="R277" s="38" t="n"/>
      <c r="S277" s="34" t="n"/>
      <c r="T277" s="35" t="n"/>
      <c r="U277" s="34" t="n"/>
      <c r="V277" s="34">
        <f>IF(F277="","",IF(K277="","",O277+ROW()/100000))</f>
        <v/>
      </c>
    </row>
    <row r="278">
      <c r="A278" s="10">
        <f>IF(F278="","",COUNTA($F$5:F278))</f>
        <v/>
      </c>
      <c r="B278" s="34" t="n"/>
      <c r="C278" s="34" t="n"/>
      <c r="D278" s="34" t="n"/>
      <c r="E278" s="35" t="n"/>
      <c r="F278" s="35" t="n"/>
      <c r="G278" s="35" t="n"/>
      <c r="H278" s="34" t="n"/>
      <c r="I278" s="34" t="n"/>
      <c r="J278" s="36" t="n"/>
      <c r="K278" s="36" t="n"/>
      <c r="L278" s="34" t="n"/>
      <c r="M278" s="34" t="n"/>
      <c r="N278" s="36">
        <f>IF(K278="","",K278-IF(M278="",0,M278))</f>
        <v/>
      </c>
      <c r="O278" s="37">
        <f>IF(K278="","",K278-TODAY())</f>
        <v/>
      </c>
      <c r="P278" s="10">
        <f>IF(F278="","",IF(K278="","No date",IF(O278&lt;0,"Expired",IF(O278&lt;=30,"Urgent",IF(O278&lt;=90,"Due soon","OK")))))</f>
        <v/>
      </c>
      <c r="Q278" s="34" t="n"/>
      <c r="R278" s="38" t="n"/>
      <c r="S278" s="34" t="n"/>
      <c r="T278" s="35" t="n"/>
      <c r="U278" s="34" t="n"/>
      <c r="V278" s="34">
        <f>IF(F278="","",IF(K278="","",O278+ROW()/100000))</f>
        <v/>
      </c>
    </row>
    <row r="279">
      <c r="A279" s="10">
        <f>IF(F279="","",COUNTA($F$5:F279))</f>
        <v/>
      </c>
      <c r="B279" s="34" t="n"/>
      <c r="C279" s="34" t="n"/>
      <c r="D279" s="34" t="n"/>
      <c r="E279" s="35" t="n"/>
      <c r="F279" s="35" t="n"/>
      <c r="G279" s="35" t="n"/>
      <c r="H279" s="34" t="n"/>
      <c r="I279" s="34" t="n"/>
      <c r="J279" s="36" t="n"/>
      <c r="K279" s="36" t="n"/>
      <c r="L279" s="34" t="n"/>
      <c r="M279" s="34" t="n"/>
      <c r="N279" s="36">
        <f>IF(K279="","",K279-IF(M279="",0,M279))</f>
        <v/>
      </c>
      <c r="O279" s="37">
        <f>IF(K279="","",K279-TODAY())</f>
        <v/>
      </c>
      <c r="P279" s="10">
        <f>IF(F279="","",IF(K279="","No date",IF(O279&lt;0,"Expired",IF(O279&lt;=30,"Urgent",IF(O279&lt;=90,"Due soon","OK")))))</f>
        <v/>
      </c>
      <c r="Q279" s="34" t="n"/>
      <c r="R279" s="38" t="n"/>
      <c r="S279" s="34" t="n"/>
      <c r="T279" s="35" t="n"/>
      <c r="U279" s="34" t="n"/>
      <c r="V279" s="34">
        <f>IF(F279="","",IF(K279="","",O279+ROW()/100000))</f>
        <v/>
      </c>
    </row>
    <row r="280">
      <c r="A280" s="10">
        <f>IF(F280="","",COUNTA($F$5:F280))</f>
        <v/>
      </c>
      <c r="B280" s="34" t="n"/>
      <c r="C280" s="34" t="n"/>
      <c r="D280" s="34" t="n"/>
      <c r="E280" s="35" t="n"/>
      <c r="F280" s="35" t="n"/>
      <c r="G280" s="35" t="n"/>
      <c r="H280" s="34" t="n"/>
      <c r="I280" s="34" t="n"/>
      <c r="J280" s="36" t="n"/>
      <c r="K280" s="36" t="n"/>
      <c r="L280" s="34" t="n"/>
      <c r="M280" s="34" t="n"/>
      <c r="N280" s="36">
        <f>IF(K280="","",K280-IF(M280="",0,M280))</f>
        <v/>
      </c>
      <c r="O280" s="37">
        <f>IF(K280="","",K280-TODAY())</f>
        <v/>
      </c>
      <c r="P280" s="10">
        <f>IF(F280="","",IF(K280="","No date",IF(O280&lt;0,"Expired",IF(O280&lt;=30,"Urgent",IF(O280&lt;=90,"Due soon","OK")))))</f>
        <v/>
      </c>
      <c r="Q280" s="34" t="n"/>
      <c r="R280" s="38" t="n"/>
      <c r="S280" s="34" t="n"/>
      <c r="T280" s="35" t="n"/>
      <c r="U280" s="34" t="n"/>
      <c r="V280" s="34">
        <f>IF(F280="","",IF(K280="","",O280+ROW()/100000))</f>
        <v/>
      </c>
    </row>
    <row r="281">
      <c r="A281" s="10">
        <f>IF(F281="","",COUNTA($F$5:F281))</f>
        <v/>
      </c>
      <c r="B281" s="34" t="n"/>
      <c r="C281" s="34" t="n"/>
      <c r="D281" s="34" t="n"/>
      <c r="E281" s="35" t="n"/>
      <c r="F281" s="35" t="n"/>
      <c r="G281" s="35" t="n"/>
      <c r="H281" s="34" t="n"/>
      <c r="I281" s="34" t="n"/>
      <c r="J281" s="36" t="n"/>
      <c r="K281" s="36" t="n"/>
      <c r="L281" s="34" t="n"/>
      <c r="M281" s="34" t="n"/>
      <c r="N281" s="36">
        <f>IF(K281="","",K281-IF(M281="",0,M281))</f>
        <v/>
      </c>
      <c r="O281" s="37">
        <f>IF(K281="","",K281-TODAY())</f>
        <v/>
      </c>
      <c r="P281" s="10">
        <f>IF(F281="","",IF(K281="","No date",IF(O281&lt;0,"Expired",IF(O281&lt;=30,"Urgent",IF(O281&lt;=90,"Due soon","OK")))))</f>
        <v/>
      </c>
      <c r="Q281" s="34" t="n"/>
      <c r="R281" s="38" t="n"/>
      <c r="S281" s="34" t="n"/>
      <c r="T281" s="35" t="n"/>
      <c r="U281" s="34" t="n"/>
      <c r="V281" s="34">
        <f>IF(F281="","",IF(K281="","",O281+ROW()/100000))</f>
        <v/>
      </c>
    </row>
    <row r="282">
      <c r="A282" s="10">
        <f>IF(F282="","",COUNTA($F$5:F282))</f>
        <v/>
      </c>
      <c r="B282" s="34" t="n"/>
      <c r="C282" s="34" t="n"/>
      <c r="D282" s="34" t="n"/>
      <c r="E282" s="35" t="n"/>
      <c r="F282" s="35" t="n"/>
      <c r="G282" s="35" t="n"/>
      <c r="H282" s="34" t="n"/>
      <c r="I282" s="34" t="n"/>
      <c r="J282" s="36" t="n"/>
      <c r="K282" s="36" t="n"/>
      <c r="L282" s="34" t="n"/>
      <c r="M282" s="34" t="n"/>
      <c r="N282" s="36">
        <f>IF(K282="","",K282-IF(M282="",0,M282))</f>
        <v/>
      </c>
      <c r="O282" s="37">
        <f>IF(K282="","",K282-TODAY())</f>
        <v/>
      </c>
      <c r="P282" s="10">
        <f>IF(F282="","",IF(K282="","No date",IF(O282&lt;0,"Expired",IF(O282&lt;=30,"Urgent",IF(O282&lt;=90,"Due soon","OK")))))</f>
        <v/>
      </c>
      <c r="Q282" s="34" t="n"/>
      <c r="R282" s="38" t="n"/>
      <c r="S282" s="34" t="n"/>
      <c r="T282" s="35" t="n"/>
      <c r="U282" s="34" t="n"/>
      <c r="V282" s="34">
        <f>IF(F282="","",IF(K282="","",O282+ROW()/100000))</f>
        <v/>
      </c>
    </row>
    <row r="283">
      <c r="A283" s="10">
        <f>IF(F283="","",COUNTA($F$5:F283))</f>
        <v/>
      </c>
      <c r="B283" s="34" t="n"/>
      <c r="C283" s="34" t="n"/>
      <c r="D283" s="34" t="n"/>
      <c r="E283" s="35" t="n"/>
      <c r="F283" s="35" t="n"/>
      <c r="G283" s="35" t="n"/>
      <c r="H283" s="34" t="n"/>
      <c r="I283" s="34" t="n"/>
      <c r="J283" s="36" t="n"/>
      <c r="K283" s="36" t="n"/>
      <c r="L283" s="34" t="n"/>
      <c r="M283" s="34" t="n"/>
      <c r="N283" s="36">
        <f>IF(K283="","",K283-IF(M283="",0,M283))</f>
        <v/>
      </c>
      <c r="O283" s="37">
        <f>IF(K283="","",K283-TODAY())</f>
        <v/>
      </c>
      <c r="P283" s="10">
        <f>IF(F283="","",IF(K283="","No date",IF(O283&lt;0,"Expired",IF(O283&lt;=30,"Urgent",IF(O283&lt;=90,"Due soon","OK")))))</f>
        <v/>
      </c>
      <c r="Q283" s="34" t="n"/>
      <c r="R283" s="38" t="n"/>
      <c r="S283" s="34" t="n"/>
      <c r="T283" s="35" t="n"/>
      <c r="U283" s="34" t="n"/>
      <c r="V283" s="34">
        <f>IF(F283="","",IF(K283="","",O283+ROW()/100000))</f>
        <v/>
      </c>
    </row>
    <row r="284">
      <c r="A284" s="10">
        <f>IF(F284="","",COUNTA($F$5:F284))</f>
        <v/>
      </c>
      <c r="B284" s="34" t="n"/>
      <c r="C284" s="34" t="n"/>
      <c r="D284" s="34" t="n"/>
      <c r="E284" s="35" t="n"/>
      <c r="F284" s="35" t="n"/>
      <c r="G284" s="35" t="n"/>
      <c r="H284" s="34" t="n"/>
      <c r="I284" s="34" t="n"/>
      <c r="J284" s="36" t="n"/>
      <c r="K284" s="36" t="n"/>
      <c r="L284" s="34" t="n"/>
      <c r="M284" s="34" t="n"/>
      <c r="N284" s="36">
        <f>IF(K284="","",K284-IF(M284="",0,M284))</f>
        <v/>
      </c>
      <c r="O284" s="37">
        <f>IF(K284="","",K284-TODAY())</f>
        <v/>
      </c>
      <c r="P284" s="10">
        <f>IF(F284="","",IF(K284="","No date",IF(O284&lt;0,"Expired",IF(O284&lt;=30,"Urgent",IF(O284&lt;=90,"Due soon","OK")))))</f>
        <v/>
      </c>
      <c r="Q284" s="34" t="n"/>
      <c r="R284" s="38" t="n"/>
      <c r="S284" s="34" t="n"/>
      <c r="T284" s="35" t="n"/>
      <c r="U284" s="34" t="n"/>
      <c r="V284" s="34">
        <f>IF(F284="","",IF(K284="","",O284+ROW()/100000))</f>
        <v/>
      </c>
    </row>
    <row r="285">
      <c r="A285" s="10">
        <f>IF(F285="","",COUNTA($F$5:F285))</f>
        <v/>
      </c>
      <c r="B285" s="34" t="n"/>
      <c r="C285" s="34" t="n"/>
      <c r="D285" s="34" t="n"/>
      <c r="E285" s="35" t="n"/>
      <c r="F285" s="35" t="n"/>
      <c r="G285" s="35" t="n"/>
      <c r="H285" s="34" t="n"/>
      <c r="I285" s="34" t="n"/>
      <c r="J285" s="36" t="n"/>
      <c r="K285" s="36" t="n"/>
      <c r="L285" s="34" t="n"/>
      <c r="M285" s="34" t="n"/>
      <c r="N285" s="36">
        <f>IF(K285="","",K285-IF(M285="",0,M285))</f>
        <v/>
      </c>
      <c r="O285" s="37">
        <f>IF(K285="","",K285-TODAY())</f>
        <v/>
      </c>
      <c r="P285" s="10">
        <f>IF(F285="","",IF(K285="","No date",IF(O285&lt;0,"Expired",IF(O285&lt;=30,"Urgent",IF(O285&lt;=90,"Due soon","OK")))))</f>
        <v/>
      </c>
      <c r="Q285" s="34" t="n"/>
      <c r="R285" s="38" t="n"/>
      <c r="S285" s="34" t="n"/>
      <c r="T285" s="35" t="n"/>
      <c r="U285" s="34" t="n"/>
      <c r="V285" s="34">
        <f>IF(F285="","",IF(K285="","",O285+ROW()/100000))</f>
        <v/>
      </c>
    </row>
    <row r="286">
      <c r="A286" s="10">
        <f>IF(F286="","",COUNTA($F$5:F286))</f>
        <v/>
      </c>
      <c r="B286" s="34" t="n"/>
      <c r="C286" s="34" t="n"/>
      <c r="D286" s="34" t="n"/>
      <c r="E286" s="35" t="n"/>
      <c r="F286" s="35" t="n"/>
      <c r="G286" s="35" t="n"/>
      <c r="H286" s="34" t="n"/>
      <c r="I286" s="34" t="n"/>
      <c r="J286" s="36" t="n"/>
      <c r="K286" s="36" t="n"/>
      <c r="L286" s="34" t="n"/>
      <c r="M286" s="34" t="n"/>
      <c r="N286" s="36">
        <f>IF(K286="","",K286-IF(M286="",0,M286))</f>
        <v/>
      </c>
      <c r="O286" s="37">
        <f>IF(K286="","",K286-TODAY())</f>
        <v/>
      </c>
      <c r="P286" s="10">
        <f>IF(F286="","",IF(K286="","No date",IF(O286&lt;0,"Expired",IF(O286&lt;=30,"Urgent",IF(O286&lt;=90,"Due soon","OK")))))</f>
        <v/>
      </c>
      <c r="Q286" s="34" t="n"/>
      <c r="R286" s="38" t="n"/>
      <c r="S286" s="34" t="n"/>
      <c r="T286" s="35" t="n"/>
      <c r="U286" s="34" t="n"/>
      <c r="V286" s="34">
        <f>IF(F286="","",IF(K286="","",O286+ROW()/100000))</f>
        <v/>
      </c>
    </row>
    <row r="287">
      <c r="A287" s="10">
        <f>IF(F287="","",COUNTA($F$5:F287))</f>
        <v/>
      </c>
      <c r="B287" s="34" t="n"/>
      <c r="C287" s="34" t="n"/>
      <c r="D287" s="34" t="n"/>
      <c r="E287" s="35" t="n"/>
      <c r="F287" s="35" t="n"/>
      <c r="G287" s="35" t="n"/>
      <c r="H287" s="34" t="n"/>
      <c r="I287" s="34" t="n"/>
      <c r="J287" s="36" t="n"/>
      <c r="K287" s="36" t="n"/>
      <c r="L287" s="34" t="n"/>
      <c r="M287" s="34" t="n"/>
      <c r="N287" s="36">
        <f>IF(K287="","",K287-IF(M287="",0,M287))</f>
        <v/>
      </c>
      <c r="O287" s="37">
        <f>IF(K287="","",K287-TODAY())</f>
        <v/>
      </c>
      <c r="P287" s="10">
        <f>IF(F287="","",IF(K287="","No date",IF(O287&lt;0,"Expired",IF(O287&lt;=30,"Urgent",IF(O287&lt;=90,"Due soon","OK")))))</f>
        <v/>
      </c>
      <c r="Q287" s="34" t="n"/>
      <c r="R287" s="38" t="n"/>
      <c r="S287" s="34" t="n"/>
      <c r="T287" s="35" t="n"/>
      <c r="U287" s="34" t="n"/>
      <c r="V287" s="34">
        <f>IF(F287="","",IF(K287="","",O287+ROW()/100000))</f>
        <v/>
      </c>
    </row>
    <row r="288">
      <c r="A288" s="10">
        <f>IF(F288="","",COUNTA($F$5:F288))</f>
        <v/>
      </c>
      <c r="B288" s="34" t="n"/>
      <c r="C288" s="34" t="n"/>
      <c r="D288" s="34" t="n"/>
      <c r="E288" s="35" t="n"/>
      <c r="F288" s="35" t="n"/>
      <c r="G288" s="35" t="n"/>
      <c r="H288" s="34" t="n"/>
      <c r="I288" s="34" t="n"/>
      <c r="J288" s="36" t="n"/>
      <c r="K288" s="36" t="n"/>
      <c r="L288" s="34" t="n"/>
      <c r="M288" s="34" t="n"/>
      <c r="N288" s="36">
        <f>IF(K288="","",K288-IF(M288="",0,M288))</f>
        <v/>
      </c>
      <c r="O288" s="37">
        <f>IF(K288="","",K288-TODAY())</f>
        <v/>
      </c>
      <c r="P288" s="10">
        <f>IF(F288="","",IF(K288="","No date",IF(O288&lt;0,"Expired",IF(O288&lt;=30,"Urgent",IF(O288&lt;=90,"Due soon","OK")))))</f>
        <v/>
      </c>
      <c r="Q288" s="34" t="n"/>
      <c r="R288" s="38" t="n"/>
      <c r="S288" s="34" t="n"/>
      <c r="T288" s="35" t="n"/>
      <c r="U288" s="34" t="n"/>
      <c r="V288" s="34">
        <f>IF(F288="","",IF(K288="","",O288+ROW()/100000))</f>
        <v/>
      </c>
    </row>
    <row r="289">
      <c r="A289" s="10">
        <f>IF(F289="","",COUNTA($F$5:F289))</f>
        <v/>
      </c>
      <c r="B289" s="34" t="n"/>
      <c r="C289" s="34" t="n"/>
      <c r="D289" s="34" t="n"/>
      <c r="E289" s="35" t="n"/>
      <c r="F289" s="35" t="n"/>
      <c r="G289" s="35" t="n"/>
      <c r="H289" s="34" t="n"/>
      <c r="I289" s="34" t="n"/>
      <c r="J289" s="36" t="n"/>
      <c r="K289" s="36" t="n"/>
      <c r="L289" s="34" t="n"/>
      <c r="M289" s="34" t="n"/>
      <c r="N289" s="36">
        <f>IF(K289="","",K289-IF(M289="",0,M289))</f>
        <v/>
      </c>
      <c r="O289" s="37">
        <f>IF(K289="","",K289-TODAY())</f>
        <v/>
      </c>
      <c r="P289" s="10">
        <f>IF(F289="","",IF(K289="","No date",IF(O289&lt;0,"Expired",IF(O289&lt;=30,"Urgent",IF(O289&lt;=90,"Due soon","OK")))))</f>
        <v/>
      </c>
      <c r="Q289" s="34" t="n"/>
      <c r="R289" s="38" t="n"/>
      <c r="S289" s="34" t="n"/>
      <c r="T289" s="35" t="n"/>
      <c r="U289" s="34" t="n"/>
      <c r="V289" s="34">
        <f>IF(F289="","",IF(K289="","",O289+ROW()/100000))</f>
        <v/>
      </c>
    </row>
    <row r="290">
      <c r="A290" s="10">
        <f>IF(F290="","",COUNTA($F$5:F290))</f>
        <v/>
      </c>
      <c r="B290" s="34" t="n"/>
      <c r="C290" s="34" t="n"/>
      <c r="D290" s="34" t="n"/>
      <c r="E290" s="35" t="n"/>
      <c r="F290" s="35" t="n"/>
      <c r="G290" s="35" t="n"/>
      <c r="H290" s="34" t="n"/>
      <c r="I290" s="34" t="n"/>
      <c r="J290" s="36" t="n"/>
      <c r="K290" s="36" t="n"/>
      <c r="L290" s="34" t="n"/>
      <c r="M290" s="34" t="n"/>
      <c r="N290" s="36">
        <f>IF(K290="","",K290-IF(M290="",0,M290))</f>
        <v/>
      </c>
      <c r="O290" s="37">
        <f>IF(K290="","",K290-TODAY())</f>
        <v/>
      </c>
      <c r="P290" s="10">
        <f>IF(F290="","",IF(K290="","No date",IF(O290&lt;0,"Expired",IF(O290&lt;=30,"Urgent",IF(O290&lt;=90,"Due soon","OK")))))</f>
        <v/>
      </c>
      <c r="Q290" s="34" t="n"/>
      <c r="R290" s="38" t="n"/>
      <c r="S290" s="34" t="n"/>
      <c r="T290" s="35" t="n"/>
      <c r="U290" s="34" t="n"/>
      <c r="V290" s="34">
        <f>IF(F290="","",IF(K290="","",O290+ROW()/100000))</f>
        <v/>
      </c>
    </row>
    <row r="291">
      <c r="A291" s="10">
        <f>IF(F291="","",COUNTA($F$5:F291))</f>
        <v/>
      </c>
      <c r="B291" s="34" t="n"/>
      <c r="C291" s="34" t="n"/>
      <c r="D291" s="34" t="n"/>
      <c r="E291" s="35" t="n"/>
      <c r="F291" s="35" t="n"/>
      <c r="G291" s="35" t="n"/>
      <c r="H291" s="34" t="n"/>
      <c r="I291" s="34" t="n"/>
      <c r="J291" s="36" t="n"/>
      <c r="K291" s="36" t="n"/>
      <c r="L291" s="34" t="n"/>
      <c r="M291" s="34" t="n"/>
      <c r="N291" s="36">
        <f>IF(K291="","",K291-IF(M291="",0,M291))</f>
        <v/>
      </c>
      <c r="O291" s="37">
        <f>IF(K291="","",K291-TODAY())</f>
        <v/>
      </c>
      <c r="P291" s="10">
        <f>IF(F291="","",IF(K291="","No date",IF(O291&lt;0,"Expired",IF(O291&lt;=30,"Urgent",IF(O291&lt;=90,"Due soon","OK")))))</f>
        <v/>
      </c>
      <c r="Q291" s="34" t="n"/>
      <c r="R291" s="38" t="n"/>
      <c r="S291" s="34" t="n"/>
      <c r="T291" s="35" t="n"/>
      <c r="U291" s="34" t="n"/>
      <c r="V291" s="34">
        <f>IF(F291="","",IF(K291="","",O291+ROW()/100000))</f>
        <v/>
      </c>
    </row>
    <row r="292">
      <c r="A292" s="10">
        <f>IF(F292="","",COUNTA($F$5:F292))</f>
        <v/>
      </c>
      <c r="B292" s="34" t="n"/>
      <c r="C292" s="34" t="n"/>
      <c r="D292" s="34" t="n"/>
      <c r="E292" s="35" t="n"/>
      <c r="F292" s="35" t="n"/>
      <c r="G292" s="35" t="n"/>
      <c r="H292" s="34" t="n"/>
      <c r="I292" s="34" t="n"/>
      <c r="J292" s="36" t="n"/>
      <c r="K292" s="36" t="n"/>
      <c r="L292" s="34" t="n"/>
      <c r="M292" s="34" t="n"/>
      <c r="N292" s="36">
        <f>IF(K292="","",K292-IF(M292="",0,M292))</f>
        <v/>
      </c>
      <c r="O292" s="37">
        <f>IF(K292="","",K292-TODAY())</f>
        <v/>
      </c>
      <c r="P292" s="10">
        <f>IF(F292="","",IF(K292="","No date",IF(O292&lt;0,"Expired",IF(O292&lt;=30,"Urgent",IF(O292&lt;=90,"Due soon","OK")))))</f>
        <v/>
      </c>
      <c r="Q292" s="34" t="n"/>
      <c r="R292" s="38" t="n"/>
      <c r="S292" s="34" t="n"/>
      <c r="T292" s="35" t="n"/>
      <c r="U292" s="34" t="n"/>
      <c r="V292" s="34">
        <f>IF(F292="","",IF(K292="","",O292+ROW()/100000))</f>
        <v/>
      </c>
    </row>
    <row r="293">
      <c r="A293" s="10">
        <f>IF(F293="","",COUNTA($F$5:F293))</f>
        <v/>
      </c>
      <c r="B293" s="34" t="n"/>
      <c r="C293" s="34" t="n"/>
      <c r="D293" s="34" t="n"/>
      <c r="E293" s="35" t="n"/>
      <c r="F293" s="35" t="n"/>
      <c r="G293" s="35" t="n"/>
      <c r="H293" s="34" t="n"/>
      <c r="I293" s="34" t="n"/>
      <c r="J293" s="36" t="n"/>
      <c r="K293" s="36" t="n"/>
      <c r="L293" s="34" t="n"/>
      <c r="M293" s="34" t="n"/>
      <c r="N293" s="36">
        <f>IF(K293="","",K293-IF(M293="",0,M293))</f>
        <v/>
      </c>
      <c r="O293" s="37">
        <f>IF(K293="","",K293-TODAY())</f>
        <v/>
      </c>
      <c r="P293" s="10">
        <f>IF(F293="","",IF(K293="","No date",IF(O293&lt;0,"Expired",IF(O293&lt;=30,"Urgent",IF(O293&lt;=90,"Due soon","OK")))))</f>
        <v/>
      </c>
      <c r="Q293" s="34" t="n"/>
      <c r="R293" s="38" t="n"/>
      <c r="S293" s="34" t="n"/>
      <c r="T293" s="35" t="n"/>
      <c r="U293" s="34" t="n"/>
      <c r="V293" s="34">
        <f>IF(F293="","",IF(K293="","",O293+ROW()/100000))</f>
        <v/>
      </c>
    </row>
    <row r="294">
      <c r="A294" s="10">
        <f>IF(F294="","",COUNTA($F$5:F294))</f>
        <v/>
      </c>
      <c r="B294" s="34" t="n"/>
      <c r="C294" s="34" t="n"/>
      <c r="D294" s="34" t="n"/>
      <c r="E294" s="35" t="n"/>
      <c r="F294" s="35" t="n"/>
      <c r="G294" s="35" t="n"/>
      <c r="H294" s="34" t="n"/>
      <c r="I294" s="34" t="n"/>
      <c r="J294" s="36" t="n"/>
      <c r="K294" s="36" t="n"/>
      <c r="L294" s="34" t="n"/>
      <c r="M294" s="34" t="n"/>
      <c r="N294" s="36">
        <f>IF(K294="","",K294-IF(M294="",0,M294))</f>
        <v/>
      </c>
      <c r="O294" s="37">
        <f>IF(K294="","",K294-TODAY())</f>
        <v/>
      </c>
      <c r="P294" s="10">
        <f>IF(F294="","",IF(K294="","No date",IF(O294&lt;0,"Expired",IF(O294&lt;=30,"Urgent",IF(O294&lt;=90,"Due soon","OK")))))</f>
        <v/>
      </c>
      <c r="Q294" s="34" t="n"/>
      <c r="R294" s="38" t="n"/>
      <c r="S294" s="34" t="n"/>
      <c r="T294" s="35" t="n"/>
      <c r="U294" s="34" t="n"/>
      <c r="V294" s="34">
        <f>IF(F294="","",IF(K294="","",O294+ROW()/100000))</f>
        <v/>
      </c>
    </row>
    <row r="295">
      <c r="A295" s="10">
        <f>IF(F295="","",COUNTA($F$5:F295))</f>
        <v/>
      </c>
      <c r="B295" s="34" t="n"/>
      <c r="C295" s="34" t="n"/>
      <c r="D295" s="34" t="n"/>
      <c r="E295" s="35" t="n"/>
      <c r="F295" s="35" t="n"/>
      <c r="G295" s="35" t="n"/>
      <c r="H295" s="34" t="n"/>
      <c r="I295" s="34" t="n"/>
      <c r="J295" s="36" t="n"/>
      <c r="K295" s="36" t="n"/>
      <c r="L295" s="34" t="n"/>
      <c r="M295" s="34" t="n"/>
      <c r="N295" s="36">
        <f>IF(K295="","",K295-IF(M295="",0,M295))</f>
        <v/>
      </c>
      <c r="O295" s="37">
        <f>IF(K295="","",K295-TODAY())</f>
        <v/>
      </c>
      <c r="P295" s="10">
        <f>IF(F295="","",IF(K295="","No date",IF(O295&lt;0,"Expired",IF(O295&lt;=30,"Urgent",IF(O295&lt;=90,"Due soon","OK")))))</f>
        <v/>
      </c>
      <c r="Q295" s="34" t="n"/>
      <c r="R295" s="38" t="n"/>
      <c r="S295" s="34" t="n"/>
      <c r="T295" s="35" t="n"/>
      <c r="U295" s="34" t="n"/>
      <c r="V295" s="34">
        <f>IF(F295="","",IF(K295="","",O295+ROW()/100000))</f>
        <v/>
      </c>
    </row>
    <row r="296">
      <c r="A296" s="10">
        <f>IF(F296="","",COUNTA($F$5:F296))</f>
        <v/>
      </c>
      <c r="B296" s="34" t="n"/>
      <c r="C296" s="34" t="n"/>
      <c r="D296" s="34" t="n"/>
      <c r="E296" s="35" t="n"/>
      <c r="F296" s="35" t="n"/>
      <c r="G296" s="35" t="n"/>
      <c r="H296" s="34" t="n"/>
      <c r="I296" s="34" t="n"/>
      <c r="J296" s="36" t="n"/>
      <c r="K296" s="36" t="n"/>
      <c r="L296" s="34" t="n"/>
      <c r="M296" s="34" t="n"/>
      <c r="N296" s="36">
        <f>IF(K296="","",K296-IF(M296="",0,M296))</f>
        <v/>
      </c>
      <c r="O296" s="37">
        <f>IF(K296="","",K296-TODAY())</f>
        <v/>
      </c>
      <c r="P296" s="10">
        <f>IF(F296="","",IF(K296="","No date",IF(O296&lt;0,"Expired",IF(O296&lt;=30,"Urgent",IF(O296&lt;=90,"Due soon","OK")))))</f>
        <v/>
      </c>
      <c r="Q296" s="34" t="n"/>
      <c r="R296" s="38" t="n"/>
      <c r="S296" s="34" t="n"/>
      <c r="T296" s="35" t="n"/>
      <c r="U296" s="34" t="n"/>
      <c r="V296" s="34">
        <f>IF(F296="","",IF(K296="","",O296+ROW()/100000))</f>
        <v/>
      </c>
    </row>
    <row r="297">
      <c r="A297" s="10">
        <f>IF(F297="","",COUNTA($F$5:F297))</f>
        <v/>
      </c>
      <c r="B297" s="34" t="n"/>
      <c r="C297" s="34" t="n"/>
      <c r="D297" s="34" t="n"/>
      <c r="E297" s="35" t="n"/>
      <c r="F297" s="35" t="n"/>
      <c r="G297" s="35" t="n"/>
      <c r="H297" s="34" t="n"/>
      <c r="I297" s="34" t="n"/>
      <c r="J297" s="36" t="n"/>
      <c r="K297" s="36" t="n"/>
      <c r="L297" s="34" t="n"/>
      <c r="M297" s="34" t="n"/>
      <c r="N297" s="36">
        <f>IF(K297="","",K297-IF(M297="",0,M297))</f>
        <v/>
      </c>
      <c r="O297" s="37">
        <f>IF(K297="","",K297-TODAY())</f>
        <v/>
      </c>
      <c r="P297" s="10">
        <f>IF(F297="","",IF(K297="","No date",IF(O297&lt;0,"Expired",IF(O297&lt;=30,"Urgent",IF(O297&lt;=90,"Due soon","OK")))))</f>
        <v/>
      </c>
      <c r="Q297" s="34" t="n"/>
      <c r="R297" s="38" t="n"/>
      <c r="S297" s="34" t="n"/>
      <c r="T297" s="35" t="n"/>
      <c r="U297" s="34" t="n"/>
      <c r="V297" s="34">
        <f>IF(F297="","",IF(K297="","",O297+ROW()/100000))</f>
        <v/>
      </c>
    </row>
    <row r="298">
      <c r="A298" s="10">
        <f>IF(F298="","",COUNTA($F$5:F298))</f>
        <v/>
      </c>
      <c r="B298" s="34" t="n"/>
      <c r="C298" s="34" t="n"/>
      <c r="D298" s="34" t="n"/>
      <c r="E298" s="35" t="n"/>
      <c r="F298" s="35" t="n"/>
      <c r="G298" s="35" t="n"/>
      <c r="H298" s="34" t="n"/>
      <c r="I298" s="34" t="n"/>
      <c r="J298" s="36" t="n"/>
      <c r="K298" s="36" t="n"/>
      <c r="L298" s="34" t="n"/>
      <c r="M298" s="34" t="n"/>
      <c r="N298" s="36">
        <f>IF(K298="","",K298-IF(M298="",0,M298))</f>
        <v/>
      </c>
      <c r="O298" s="37">
        <f>IF(K298="","",K298-TODAY())</f>
        <v/>
      </c>
      <c r="P298" s="10">
        <f>IF(F298="","",IF(K298="","No date",IF(O298&lt;0,"Expired",IF(O298&lt;=30,"Urgent",IF(O298&lt;=90,"Due soon","OK")))))</f>
        <v/>
      </c>
      <c r="Q298" s="34" t="n"/>
      <c r="R298" s="38" t="n"/>
      <c r="S298" s="34" t="n"/>
      <c r="T298" s="35" t="n"/>
      <c r="U298" s="34" t="n"/>
      <c r="V298" s="34">
        <f>IF(F298="","",IF(K298="","",O298+ROW()/100000))</f>
        <v/>
      </c>
    </row>
    <row r="299">
      <c r="A299" s="10">
        <f>IF(F299="","",COUNTA($F$5:F299))</f>
        <v/>
      </c>
      <c r="B299" s="34" t="n"/>
      <c r="C299" s="34" t="n"/>
      <c r="D299" s="34" t="n"/>
      <c r="E299" s="35" t="n"/>
      <c r="F299" s="35" t="n"/>
      <c r="G299" s="35" t="n"/>
      <c r="H299" s="34" t="n"/>
      <c r="I299" s="34" t="n"/>
      <c r="J299" s="36" t="n"/>
      <c r="K299" s="36" t="n"/>
      <c r="L299" s="34" t="n"/>
      <c r="M299" s="34" t="n"/>
      <c r="N299" s="36">
        <f>IF(K299="","",K299-IF(M299="",0,M299))</f>
        <v/>
      </c>
      <c r="O299" s="37">
        <f>IF(K299="","",K299-TODAY())</f>
        <v/>
      </c>
      <c r="P299" s="10">
        <f>IF(F299="","",IF(K299="","No date",IF(O299&lt;0,"Expired",IF(O299&lt;=30,"Urgent",IF(O299&lt;=90,"Due soon","OK")))))</f>
        <v/>
      </c>
      <c r="Q299" s="34" t="n"/>
      <c r="R299" s="38" t="n"/>
      <c r="S299" s="34" t="n"/>
      <c r="T299" s="35" t="n"/>
      <c r="U299" s="34" t="n"/>
      <c r="V299" s="34">
        <f>IF(F299="","",IF(K299="","",O299+ROW()/100000))</f>
        <v/>
      </c>
    </row>
    <row r="300">
      <c r="A300" s="10">
        <f>IF(F300="","",COUNTA($F$5:F300))</f>
        <v/>
      </c>
      <c r="B300" s="34" t="n"/>
      <c r="C300" s="34" t="n"/>
      <c r="D300" s="34" t="n"/>
      <c r="E300" s="35" t="n"/>
      <c r="F300" s="35" t="n"/>
      <c r="G300" s="35" t="n"/>
      <c r="H300" s="34" t="n"/>
      <c r="I300" s="34" t="n"/>
      <c r="J300" s="36" t="n"/>
      <c r="K300" s="36" t="n"/>
      <c r="L300" s="34" t="n"/>
      <c r="M300" s="34" t="n"/>
      <c r="N300" s="36">
        <f>IF(K300="","",K300-IF(M300="",0,M300))</f>
        <v/>
      </c>
      <c r="O300" s="37">
        <f>IF(K300="","",K300-TODAY())</f>
        <v/>
      </c>
      <c r="P300" s="10">
        <f>IF(F300="","",IF(K300="","No date",IF(O300&lt;0,"Expired",IF(O300&lt;=30,"Urgent",IF(O300&lt;=90,"Due soon","OK")))))</f>
        <v/>
      </c>
      <c r="Q300" s="34" t="n"/>
      <c r="R300" s="38" t="n"/>
      <c r="S300" s="34" t="n"/>
      <c r="T300" s="35" t="n"/>
      <c r="U300" s="34" t="n"/>
      <c r="V300" s="34">
        <f>IF(F300="","",IF(K300="","",O300+ROW()/100000))</f>
        <v/>
      </c>
    </row>
    <row r="301">
      <c r="A301" s="10">
        <f>IF(F301="","",COUNTA($F$5:F301))</f>
        <v/>
      </c>
      <c r="B301" s="34" t="n"/>
      <c r="C301" s="34" t="n"/>
      <c r="D301" s="34" t="n"/>
      <c r="E301" s="35" t="n"/>
      <c r="F301" s="35" t="n"/>
      <c r="G301" s="35" t="n"/>
      <c r="H301" s="34" t="n"/>
      <c r="I301" s="34" t="n"/>
      <c r="J301" s="36" t="n"/>
      <c r="K301" s="36" t="n"/>
      <c r="L301" s="34" t="n"/>
      <c r="M301" s="34" t="n"/>
      <c r="N301" s="36">
        <f>IF(K301="","",K301-IF(M301="",0,M301))</f>
        <v/>
      </c>
      <c r="O301" s="37">
        <f>IF(K301="","",K301-TODAY())</f>
        <v/>
      </c>
      <c r="P301" s="10">
        <f>IF(F301="","",IF(K301="","No date",IF(O301&lt;0,"Expired",IF(O301&lt;=30,"Urgent",IF(O301&lt;=90,"Due soon","OK")))))</f>
        <v/>
      </c>
      <c r="Q301" s="34" t="n"/>
      <c r="R301" s="38" t="n"/>
      <c r="S301" s="34" t="n"/>
      <c r="T301" s="35" t="n"/>
      <c r="U301" s="34" t="n"/>
      <c r="V301" s="34">
        <f>IF(F301="","",IF(K301="","",O301+ROW()/100000))</f>
        <v/>
      </c>
    </row>
    <row r="302">
      <c r="A302" s="10">
        <f>IF(F302="","",COUNTA($F$5:F302))</f>
        <v/>
      </c>
      <c r="B302" s="34" t="n"/>
      <c r="C302" s="34" t="n"/>
      <c r="D302" s="34" t="n"/>
      <c r="E302" s="35" t="n"/>
      <c r="F302" s="35" t="n"/>
      <c r="G302" s="35" t="n"/>
      <c r="H302" s="34" t="n"/>
      <c r="I302" s="34" t="n"/>
      <c r="J302" s="36" t="n"/>
      <c r="K302" s="36" t="n"/>
      <c r="L302" s="34" t="n"/>
      <c r="M302" s="34" t="n"/>
      <c r="N302" s="36">
        <f>IF(K302="","",K302-IF(M302="",0,M302))</f>
        <v/>
      </c>
      <c r="O302" s="37">
        <f>IF(K302="","",K302-TODAY())</f>
        <v/>
      </c>
      <c r="P302" s="10">
        <f>IF(F302="","",IF(K302="","No date",IF(O302&lt;0,"Expired",IF(O302&lt;=30,"Urgent",IF(O302&lt;=90,"Due soon","OK")))))</f>
        <v/>
      </c>
      <c r="Q302" s="34" t="n"/>
      <c r="R302" s="38" t="n"/>
      <c r="S302" s="34" t="n"/>
      <c r="T302" s="35" t="n"/>
      <c r="U302" s="34" t="n"/>
      <c r="V302" s="34">
        <f>IF(F302="","",IF(K302="","",O302+ROW()/100000))</f>
        <v/>
      </c>
    </row>
    <row r="303">
      <c r="A303" s="10">
        <f>IF(F303="","",COUNTA($F$5:F303))</f>
        <v/>
      </c>
      <c r="B303" s="34" t="n"/>
      <c r="C303" s="34" t="n"/>
      <c r="D303" s="34" t="n"/>
      <c r="E303" s="35" t="n"/>
      <c r="F303" s="35" t="n"/>
      <c r="G303" s="35" t="n"/>
      <c r="H303" s="34" t="n"/>
      <c r="I303" s="34" t="n"/>
      <c r="J303" s="36" t="n"/>
      <c r="K303" s="36" t="n"/>
      <c r="L303" s="34" t="n"/>
      <c r="M303" s="34" t="n"/>
      <c r="N303" s="36">
        <f>IF(K303="","",K303-IF(M303="",0,M303))</f>
        <v/>
      </c>
      <c r="O303" s="37">
        <f>IF(K303="","",K303-TODAY())</f>
        <v/>
      </c>
      <c r="P303" s="10">
        <f>IF(F303="","",IF(K303="","No date",IF(O303&lt;0,"Expired",IF(O303&lt;=30,"Urgent",IF(O303&lt;=90,"Due soon","OK")))))</f>
        <v/>
      </c>
      <c r="Q303" s="34" t="n"/>
      <c r="R303" s="38" t="n"/>
      <c r="S303" s="34" t="n"/>
      <c r="T303" s="35" t="n"/>
      <c r="U303" s="34" t="n"/>
      <c r="V303" s="34">
        <f>IF(F303="","",IF(K303="","",O303+ROW()/100000))</f>
        <v/>
      </c>
    </row>
    <row r="304">
      <c r="A304" s="10">
        <f>IF(F304="","",COUNTA($F$5:F304))</f>
        <v/>
      </c>
      <c r="B304" s="34" t="n"/>
      <c r="C304" s="34" t="n"/>
      <c r="D304" s="34" t="n"/>
      <c r="E304" s="35" t="n"/>
      <c r="F304" s="35" t="n"/>
      <c r="G304" s="35" t="n"/>
      <c r="H304" s="34" t="n"/>
      <c r="I304" s="34" t="n"/>
      <c r="J304" s="36" t="n"/>
      <c r="K304" s="36" t="n"/>
      <c r="L304" s="34" t="n"/>
      <c r="M304" s="34" t="n"/>
      <c r="N304" s="36">
        <f>IF(K304="","",K304-IF(M304="",0,M304))</f>
        <v/>
      </c>
      <c r="O304" s="37">
        <f>IF(K304="","",K304-TODAY())</f>
        <v/>
      </c>
      <c r="P304" s="10">
        <f>IF(F304="","",IF(K304="","No date",IF(O304&lt;0,"Expired",IF(O304&lt;=30,"Urgent",IF(O304&lt;=90,"Due soon","OK")))))</f>
        <v/>
      </c>
      <c r="Q304" s="34" t="n"/>
      <c r="R304" s="38" t="n"/>
      <c r="S304" s="34" t="n"/>
      <c r="T304" s="35" t="n"/>
      <c r="U304" s="34" t="n"/>
      <c r="V304" s="34">
        <f>IF(F304="","",IF(K304="","",O304+ROW()/100000))</f>
        <v/>
      </c>
    </row>
    <row r="305">
      <c r="A305" s="10">
        <f>IF(F305="","",COUNTA($F$5:F305))</f>
        <v/>
      </c>
      <c r="B305" s="34" t="n"/>
      <c r="C305" s="34" t="n"/>
      <c r="D305" s="34" t="n"/>
      <c r="E305" s="35" t="n"/>
      <c r="F305" s="35" t="n"/>
      <c r="G305" s="35" t="n"/>
      <c r="H305" s="34" t="n"/>
      <c r="I305" s="34" t="n"/>
      <c r="J305" s="36" t="n"/>
      <c r="K305" s="36" t="n"/>
      <c r="L305" s="34" t="n"/>
      <c r="M305" s="34" t="n"/>
      <c r="N305" s="36">
        <f>IF(K305="","",K305-IF(M305="",0,M305))</f>
        <v/>
      </c>
      <c r="O305" s="37">
        <f>IF(K305="","",K305-TODAY())</f>
        <v/>
      </c>
      <c r="P305" s="10">
        <f>IF(F305="","",IF(K305="","No date",IF(O305&lt;0,"Expired",IF(O305&lt;=30,"Urgent",IF(O305&lt;=90,"Due soon","OK")))))</f>
        <v/>
      </c>
      <c r="Q305" s="34" t="n"/>
      <c r="R305" s="38" t="n"/>
      <c r="S305" s="34" t="n"/>
      <c r="T305" s="35" t="n"/>
      <c r="U305" s="34" t="n"/>
      <c r="V305" s="34">
        <f>IF(F305="","",IF(K305="","",O305+ROW()/100000))</f>
        <v/>
      </c>
    </row>
    <row r="306">
      <c r="A306" s="10">
        <f>IF(F306="","",COUNTA($F$5:F306))</f>
        <v/>
      </c>
      <c r="B306" s="34" t="n"/>
      <c r="C306" s="34" t="n"/>
      <c r="D306" s="34" t="n"/>
      <c r="E306" s="35" t="n"/>
      <c r="F306" s="35" t="n"/>
      <c r="G306" s="35" t="n"/>
      <c r="H306" s="34" t="n"/>
      <c r="I306" s="34" t="n"/>
      <c r="J306" s="36" t="n"/>
      <c r="K306" s="36" t="n"/>
      <c r="L306" s="34" t="n"/>
      <c r="M306" s="34" t="n"/>
      <c r="N306" s="36">
        <f>IF(K306="","",K306-IF(M306="",0,M306))</f>
        <v/>
      </c>
      <c r="O306" s="37">
        <f>IF(K306="","",K306-TODAY())</f>
        <v/>
      </c>
      <c r="P306" s="10">
        <f>IF(F306="","",IF(K306="","No date",IF(O306&lt;0,"Expired",IF(O306&lt;=30,"Urgent",IF(O306&lt;=90,"Due soon","OK")))))</f>
        <v/>
      </c>
      <c r="Q306" s="34" t="n"/>
      <c r="R306" s="38" t="n"/>
      <c r="S306" s="34" t="n"/>
      <c r="T306" s="35" t="n"/>
      <c r="U306" s="34" t="n"/>
      <c r="V306" s="34">
        <f>IF(F306="","",IF(K306="","",O306+ROW()/100000))</f>
        <v/>
      </c>
    </row>
    <row r="307">
      <c r="A307" s="10">
        <f>IF(F307="","",COUNTA($F$5:F307))</f>
        <v/>
      </c>
      <c r="B307" s="34" t="n"/>
      <c r="C307" s="34" t="n"/>
      <c r="D307" s="34" t="n"/>
      <c r="E307" s="35" t="n"/>
      <c r="F307" s="35" t="n"/>
      <c r="G307" s="35" t="n"/>
      <c r="H307" s="34" t="n"/>
      <c r="I307" s="34" t="n"/>
      <c r="J307" s="36" t="n"/>
      <c r="K307" s="36" t="n"/>
      <c r="L307" s="34" t="n"/>
      <c r="M307" s="34" t="n"/>
      <c r="N307" s="36">
        <f>IF(K307="","",K307-IF(M307="",0,M307))</f>
        <v/>
      </c>
      <c r="O307" s="37">
        <f>IF(K307="","",K307-TODAY())</f>
        <v/>
      </c>
      <c r="P307" s="10">
        <f>IF(F307="","",IF(K307="","No date",IF(O307&lt;0,"Expired",IF(O307&lt;=30,"Urgent",IF(O307&lt;=90,"Due soon","OK")))))</f>
        <v/>
      </c>
      <c r="Q307" s="34" t="n"/>
      <c r="R307" s="38" t="n"/>
      <c r="S307" s="34" t="n"/>
      <c r="T307" s="35" t="n"/>
      <c r="U307" s="34" t="n"/>
      <c r="V307" s="34">
        <f>IF(F307="","",IF(K307="","",O307+ROW()/100000))</f>
        <v/>
      </c>
    </row>
    <row r="308">
      <c r="A308" s="10">
        <f>IF(F308="","",COUNTA($F$5:F308))</f>
        <v/>
      </c>
      <c r="B308" s="34" t="n"/>
      <c r="C308" s="34" t="n"/>
      <c r="D308" s="34" t="n"/>
      <c r="E308" s="35" t="n"/>
      <c r="F308" s="35" t="n"/>
      <c r="G308" s="35" t="n"/>
      <c r="H308" s="34" t="n"/>
      <c r="I308" s="34" t="n"/>
      <c r="J308" s="36" t="n"/>
      <c r="K308" s="36" t="n"/>
      <c r="L308" s="34" t="n"/>
      <c r="M308" s="34" t="n"/>
      <c r="N308" s="36">
        <f>IF(K308="","",K308-IF(M308="",0,M308))</f>
        <v/>
      </c>
      <c r="O308" s="37">
        <f>IF(K308="","",K308-TODAY())</f>
        <v/>
      </c>
      <c r="P308" s="10">
        <f>IF(F308="","",IF(K308="","No date",IF(O308&lt;0,"Expired",IF(O308&lt;=30,"Urgent",IF(O308&lt;=90,"Due soon","OK")))))</f>
        <v/>
      </c>
      <c r="Q308" s="34" t="n"/>
      <c r="R308" s="38" t="n"/>
      <c r="S308" s="34" t="n"/>
      <c r="T308" s="35" t="n"/>
      <c r="U308" s="34" t="n"/>
      <c r="V308" s="34">
        <f>IF(F308="","",IF(K308="","",O308+ROW()/100000))</f>
        <v/>
      </c>
    </row>
    <row r="309">
      <c r="A309" s="10">
        <f>IF(F309="","",COUNTA($F$5:F309))</f>
        <v/>
      </c>
      <c r="B309" s="34" t="n"/>
      <c r="C309" s="34" t="n"/>
      <c r="D309" s="34" t="n"/>
      <c r="E309" s="35" t="n"/>
      <c r="F309" s="35" t="n"/>
      <c r="G309" s="35" t="n"/>
      <c r="H309" s="34" t="n"/>
      <c r="I309" s="34" t="n"/>
      <c r="J309" s="36" t="n"/>
      <c r="K309" s="36" t="n"/>
      <c r="L309" s="34" t="n"/>
      <c r="M309" s="34" t="n"/>
      <c r="N309" s="36">
        <f>IF(K309="","",K309-IF(M309="",0,M309))</f>
        <v/>
      </c>
      <c r="O309" s="37">
        <f>IF(K309="","",K309-TODAY())</f>
        <v/>
      </c>
      <c r="P309" s="10">
        <f>IF(F309="","",IF(K309="","No date",IF(O309&lt;0,"Expired",IF(O309&lt;=30,"Urgent",IF(O309&lt;=90,"Due soon","OK")))))</f>
        <v/>
      </c>
      <c r="Q309" s="34" t="n"/>
      <c r="R309" s="38" t="n"/>
      <c r="S309" s="34" t="n"/>
      <c r="T309" s="35" t="n"/>
      <c r="U309" s="34" t="n"/>
      <c r="V309" s="34">
        <f>IF(F309="","",IF(K309="","",O309+ROW()/100000))</f>
        <v/>
      </c>
    </row>
    <row r="310">
      <c r="A310" s="10">
        <f>IF(F310="","",COUNTA($F$5:F310))</f>
        <v/>
      </c>
      <c r="B310" s="34" t="n"/>
      <c r="C310" s="34" t="n"/>
      <c r="D310" s="34" t="n"/>
      <c r="E310" s="35" t="n"/>
      <c r="F310" s="35" t="n"/>
      <c r="G310" s="35" t="n"/>
      <c r="H310" s="34" t="n"/>
      <c r="I310" s="34" t="n"/>
      <c r="J310" s="36" t="n"/>
      <c r="K310" s="36" t="n"/>
      <c r="L310" s="34" t="n"/>
      <c r="M310" s="34" t="n"/>
      <c r="N310" s="36">
        <f>IF(K310="","",K310-IF(M310="",0,M310))</f>
        <v/>
      </c>
      <c r="O310" s="37">
        <f>IF(K310="","",K310-TODAY())</f>
        <v/>
      </c>
      <c r="P310" s="10">
        <f>IF(F310="","",IF(K310="","No date",IF(O310&lt;0,"Expired",IF(O310&lt;=30,"Urgent",IF(O310&lt;=90,"Due soon","OK")))))</f>
        <v/>
      </c>
      <c r="Q310" s="34" t="n"/>
      <c r="R310" s="38" t="n"/>
      <c r="S310" s="34" t="n"/>
      <c r="T310" s="35" t="n"/>
      <c r="U310" s="34" t="n"/>
      <c r="V310" s="34">
        <f>IF(F310="","",IF(K310="","",O310+ROW()/100000))</f>
        <v/>
      </c>
    </row>
    <row r="311">
      <c r="A311" s="10">
        <f>IF(F311="","",COUNTA($F$5:F311))</f>
        <v/>
      </c>
      <c r="B311" s="34" t="n"/>
      <c r="C311" s="34" t="n"/>
      <c r="D311" s="34" t="n"/>
      <c r="E311" s="35" t="n"/>
      <c r="F311" s="35" t="n"/>
      <c r="G311" s="35" t="n"/>
      <c r="H311" s="34" t="n"/>
      <c r="I311" s="34" t="n"/>
      <c r="J311" s="36" t="n"/>
      <c r="K311" s="36" t="n"/>
      <c r="L311" s="34" t="n"/>
      <c r="M311" s="34" t="n"/>
      <c r="N311" s="36">
        <f>IF(K311="","",K311-IF(M311="",0,M311))</f>
        <v/>
      </c>
      <c r="O311" s="37">
        <f>IF(K311="","",K311-TODAY())</f>
        <v/>
      </c>
      <c r="P311" s="10">
        <f>IF(F311="","",IF(K311="","No date",IF(O311&lt;0,"Expired",IF(O311&lt;=30,"Urgent",IF(O311&lt;=90,"Due soon","OK")))))</f>
        <v/>
      </c>
      <c r="Q311" s="34" t="n"/>
      <c r="R311" s="38" t="n"/>
      <c r="S311" s="34" t="n"/>
      <c r="T311" s="35" t="n"/>
      <c r="U311" s="34" t="n"/>
      <c r="V311" s="34">
        <f>IF(F311="","",IF(K311="","",O311+ROW()/100000))</f>
        <v/>
      </c>
    </row>
    <row r="312">
      <c r="A312" s="10">
        <f>IF(F312="","",COUNTA($F$5:F312))</f>
        <v/>
      </c>
      <c r="B312" s="34" t="n"/>
      <c r="C312" s="34" t="n"/>
      <c r="D312" s="34" t="n"/>
      <c r="E312" s="35" t="n"/>
      <c r="F312" s="35" t="n"/>
      <c r="G312" s="35" t="n"/>
      <c r="H312" s="34" t="n"/>
      <c r="I312" s="34" t="n"/>
      <c r="J312" s="36" t="n"/>
      <c r="K312" s="36" t="n"/>
      <c r="L312" s="34" t="n"/>
      <c r="M312" s="34" t="n"/>
      <c r="N312" s="36">
        <f>IF(K312="","",K312-IF(M312="",0,M312))</f>
        <v/>
      </c>
      <c r="O312" s="37">
        <f>IF(K312="","",K312-TODAY())</f>
        <v/>
      </c>
      <c r="P312" s="10">
        <f>IF(F312="","",IF(K312="","No date",IF(O312&lt;0,"Expired",IF(O312&lt;=30,"Urgent",IF(O312&lt;=90,"Due soon","OK")))))</f>
        <v/>
      </c>
      <c r="Q312" s="34" t="n"/>
      <c r="R312" s="38" t="n"/>
      <c r="S312" s="34" t="n"/>
      <c r="T312" s="35" t="n"/>
      <c r="U312" s="34" t="n"/>
      <c r="V312" s="34">
        <f>IF(F312="","",IF(K312="","",O312+ROW()/100000))</f>
        <v/>
      </c>
    </row>
    <row r="313">
      <c r="A313" s="10">
        <f>IF(F313="","",COUNTA($F$5:F313))</f>
        <v/>
      </c>
      <c r="B313" s="34" t="n"/>
      <c r="C313" s="34" t="n"/>
      <c r="D313" s="34" t="n"/>
      <c r="E313" s="35" t="n"/>
      <c r="F313" s="35" t="n"/>
      <c r="G313" s="35" t="n"/>
      <c r="H313" s="34" t="n"/>
      <c r="I313" s="34" t="n"/>
      <c r="J313" s="36" t="n"/>
      <c r="K313" s="36" t="n"/>
      <c r="L313" s="34" t="n"/>
      <c r="M313" s="34" t="n"/>
      <c r="N313" s="36">
        <f>IF(K313="","",K313-IF(M313="",0,M313))</f>
        <v/>
      </c>
      <c r="O313" s="37">
        <f>IF(K313="","",K313-TODAY())</f>
        <v/>
      </c>
      <c r="P313" s="10">
        <f>IF(F313="","",IF(K313="","No date",IF(O313&lt;0,"Expired",IF(O313&lt;=30,"Urgent",IF(O313&lt;=90,"Due soon","OK")))))</f>
        <v/>
      </c>
      <c r="Q313" s="34" t="n"/>
      <c r="R313" s="38" t="n"/>
      <c r="S313" s="34" t="n"/>
      <c r="T313" s="35" t="n"/>
      <c r="U313" s="34" t="n"/>
      <c r="V313" s="34">
        <f>IF(F313="","",IF(K313="","",O313+ROW()/100000))</f>
        <v/>
      </c>
    </row>
    <row r="314">
      <c r="A314" s="10">
        <f>IF(F314="","",COUNTA($F$5:F314))</f>
        <v/>
      </c>
      <c r="B314" s="34" t="n"/>
      <c r="C314" s="34" t="n"/>
      <c r="D314" s="34" t="n"/>
      <c r="E314" s="35" t="n"/>
      <c r="F314" s="35" t="n"/>
      <c r="G314" s="35" t="n"/>
      <c r="H314" s="34" t="n"/>
      <c r="I314" s="34" t="n"/>
      <c r="J314" s="36" t="n"/>
      <c r="K314" s="36" t="n"/>
      <c r="L314" s="34" t="n"/>
      <c r="M314" s="34" t="n"/>
      <c r="N314" s="36">
        <f>IF(K314="","",K314-IF(M314="",0,M314))</f>
        <v/>
      </c>
      <c r="O314" s="37">
        <f>IF(K314="","",K314-TODAY())</f>
        <v/>
      </c>
      <c r="P314" s="10">
        <f>IF(F314="","",IF(K314="","No date",IF(O314&lt;0,"Expired",IF(O314&lt;=30,"Urgent",IF(O314&lt;=90,"Due soon","OK")))))</f>
        <v/>
      </c>
      <c r="Q314" s="34" t="n"/>
      <c r="R314" s="38" t="n"/>
      <c r="S314" s="34" t="n"/>
      <c r="T314" s="35" t="n"/>
      <c r="U314" s="34" t="n"/>
      <c r="V314" s="34">
        <f>IF(F314="","",IF(K314="","",O314+ROW()/100000))</f>
        <v/>
      </c>
    </row>
    <row r="315">
      <c r="A315" s="10">
        <f>IF(F315="","",COUNTA($F$5:F315))</f>
        <v/>
      </c>
      <c r="B315" s="34" t="n"/>
      <c r="C315" s="34" t="n"/>
      <c r="D315" s="34" t="n"/>
      <c r="E315" s="35" t="n"/>
      <c r="F315" s="35" t="n"/>
      <c r="G315" s="35" t="n"/>
      <c r="H315" s="34" t="n"/>
      <c r="I315" s="34" t="n"/>
      <c r="J315" s="36" t="n"/>
      <c r="K315" s="36" t="n"/>
      <c r="L315" s="34" t="n"/>
      <c r="M315" s="34" t="n"/>
      <c r="N315" s="36">
        <f>IF(K315="","",K315-IF(M315="",0,M315))</f>
        <v/>
      </c>
      <c r="O315" s="37">
        <f>IF(K315="","",K315-TODAY())</f>
        <v/>
      </c>
      <c r="P315" s="10">
        <f>IF(F315="","",IF(K315="","No date",IF(O315&lt;0,"Expired",IF(O315&lt;=30,"Urgent",IF(O315&lt;=90,"Due soon","OK")))))</f>
        <v/>
      </c>
      <c r="Q315" s="34" t="n"/>
      <c r="R315" s="38" t="n"/>
      <c r="S315" s="34" t="n"/>
      <c r="T315" s="35" t="n"/>
      <c r="U315" s="34" t="n"/>
      <c r="V315" s="34">
        <f>IF(F315="","",IF(K315="","",O315+ROW()/100000))</f>
        <v/>
      </c>
    </row>
    <row r="316">
      <c r="A316" s="10">
        <f>IF(F316="","",COUNTA($F$5:F316))</f>
        <v/>
      </c>
      <c r="B316" s="34" t="n"/>
      <c r="C316" s="34" t="n"/>
      <c r="D316" s="34" t="n"/>
      <c r="E316" s="35" t="n"/>
      <c r="F316" s="35" t="n"/>
      <c r="G316" s="35" t="n"/>
      <c r="H316" s="34" t="n"/>
      <c r="I316" s="34" t="n"/>
      <c r="J316" s="36" t="n"/>
      <c r="K316" s="36" t="n"/>
      <c r="L316" s="34" t="n"/>
      <c r="M316" s="34" t="n"/>
      <c r="N316" s="36">
        <f>IF(K316="","",K316-IF(M316="",0,M316))</f>
        <v/>
      </c>
      <c r="O316" s="37">
        <f>IF(K316="","",K316-TODAY())</f>
        <v/>
      </c>
      <c r="P316" s="10">
        <f>IF(F316="","",IF(K316="","No date",IF(O316&lt;0,"Expired",IF(O316&lt;=30,"Urgent",IF(O316&lt;=90,"Due soon","OK")))))</f>
        <v/>
      </c>
      <c r="Q316" s="34" t="n"/>
      <c r="R316" s="38" t="n"/>
      <c r="S316" s="34" t="n"/>
      <c r="T316" s="35" t="n"/>
      <c r="U316" s="34" t="n"/>
      <c r="V316" s="34">
        <f>IF(F316="","",IF(K316="","",O316+ROW()/100000))</f>
        <v/>
      </c>
    </row>
    <row r="317">
      <c r="A317" s="10">
        <f>IF(F317="","",COUNTA($F$5:F317))</f>
        <v/>
      </c>
      <c r="B317" s="34" t="n"/>
      <c r="C317" s="34" t="n"/>
      <c r="D317" s="34" t="n"/>
      <c r="E317" s="35" t="n"/>
      <c r="F317" s="35" t="n"/>
      <c r="G317" s="35" t="n"/>
      <c r="H317" s="34" t="n"/>
      <c r="I317" s="34" t="n"/>
      <c r="J317" s="36" t="n"/>
      <c r="K317" s="36" t="n"/>
      <c r="L317" s="34" t="n"/>
      <c r="M317" s="34" t="n"/>
      <c r="N317" s="36">
        <f>IF(K317="","",K317-IF(M317="",0,M317))</f>
        <v/>
      </c>
      <c r="O317" s="37">
        <f>IF(K317="","",K317-TODAY())</f>
        <v/>
      </c>
      <c r="P317" s="10">
        <f>IF(F317="","",IF(K317="","No date",IF(O317&lt;0,"Expired",IF(O317&lt;=30,"Urgent",IF(O317&lt;=90,"Due soon","OK")))))</f>
        <v/>
      </c>
      <c r="Q317" s="34" t="n"/>
      <c r="R317" s="38" t="n"/>
      <c r="S317" s="34" t="n"/>
      <c r="T317" s="35" t="n"/>
      <c r="U317" s="34" t="n"/>
      <c r="V317" s="34">
        <f>IF(F317="","",IF(K317="","",O317+ROW()/100000))</f>
        <v/>
      </c>
    </row>
    <row r="318">
      <c r="A318" s="10">
        <f>IF(F318="","",COUNTA($F$5:F318))</f>
        <v/>
      </c>
      <c r="B318" s="34" t="n"/>
      <c r="C318" s="34" t="n"/>
      <c r="D318" s="34" t="n"/>
      <c r="E318" s="35" t="n"/>
      <c r="F318" s="35" t="n"/>
      <c r="G318" s="35" t="n"/>
      <c r="H318" s="34" t="n"/>
      <c r="I318" s="34" t="n"/>
      <c r="J318" s="36" t="n"/>
      <c r="K318" s="36" t="n"/>
      <c r="L318" s="34" t="n"/>
      <c r="M318" s="34" t="n"/>
      <c r="N318" s="36">
        <f>IF(K318="","",K318-IF(M318="",0,M318))</f>
        <v/>
      </c>
      <c r="O318" s="37">
        <f>IF(K318="","",K318-TODAY())</f>
        <v/>
      </c>
      <c r="P318" s="10">
        <f>IF(F318="","",IF(K318="","No date",IF(O318&lt;0,"Expired",IF(O318&lt;=30,"Urgent",IF(O318&lt;=90,"Due soon","OK")))))</f>
        <v/>
      </c>
      <c r="Q318" s="34" t="n"/>
      <c r="R318" s="38" t="n"/>
      <c r="S318" s="34" t="n"/>
      <c r="T318" s="35" t="n"/>
      <c r="U318" s="34" t="n"/>
      <c r="V318" s="34">
        <f>IF(F318="","",IF(K318="","",O318+ROW()/100000))</f>
        <v/>
      </c>
    </row>
    <row r="319">
      <c r="A319" s="10">
        <f>IF(F319="","",COUNTA($F$5:F319))</f>
        <v/>
      </c>
      <c r="B319" s="34" t="n"/>
      <c r="C319" s="34" t="n"/>
      <c r="D319" s="34" t="n"/>
      <c r="E319" s="35" t="n"/>
      <c r="F319" s="35" t="n"/>
      <c r="G319" s="35" t="n"/>
      <c r="H319" s="34" t="n"/>
      <c r="I319" s="34" t="n"/>
      <c r="J319" s="36" t="n"/>
      <c r="K319" s="36" t="n"/>
      <c r="L319" s="34" t="n"/>
      <c r="M319" s="34" t="n"/>
      <c r="N319" s="36">
        <f>IF(K319="","",K319-IF(M319="",0,M319))</f>
        <v/>
      </c>
      <c r="O319" s="37">
        <f>IF(K319="","",K319-TODAY())</f>
        <v/>
      </c>
      <c r="P319" s="10">
        <f>IF(F319="","",IF(K319="","No date",IF(O319&lt;0,"Expired",IF(O319&lt;=30,"Urgent",IF(O319&lt;=90,"Due soon","OK")))))</f>
        <v/>
      </c>
      <c r="Q319" s="34" t="n"/>
      <c r="R319" s="38" t="n"/>
      <c r="S319" s="34" t="n"/>
      <c r="T319" s="35" t="n"/>
      <c r="U319" s="34" t="n"/>
      <c r="V319" s="34">
        <f>IF(F319="","",IF(K319="","",O319+ROW()/100000))</f>
        <v/>
      </c>
    </row>
    <row r="320">
      <c r="A320" s="10">
        <f>IF(F320="","",COUNTA($F$5:F320))</f>
        <v/>
      </c>
      <c r="B320" s="34" t="n"/>
      <c r="C320" s="34" t="n"/>
      <c r="D320" s="34" t="n"/>
      <c r="E320" s="35" t="n"/>
      <c r="F320" s="35" t="n"/>
      <c r="G320" s="35" t="n"/>
      <c r="H320" s="34" t="n"/>
      <c r="I320" s="34" t="n"/>
      <c r="J320" s="36" t="n"/>
      <c r="K320" s="36" t="n"/>
      <c r="L320" s="34" t="n"/>
      <c r="M320" s="34" t="n"/>
      <c r="N320" s="36">
        <f>IF(K320="","",K320-IF(M320="",0,M320))</f>
        <v/>
      </c>
      <c r="O320" s="37">
        <f>IF(K320="","",K320-TODAY())</f>
        <v/>
      </c>
      <c r="P320" s="10">
        <f>IF(F320="","",IF(K320="","No date",IF(O320&lt;0,"Expired",IF(O320&lt;=30,"Urgent",IF(O320&lt;=90,"Due soon","OK")))))</f>
        <v/>
      </c>
      <c r="Q320" s="34" t="n"/>
      <c r="R320" s="38" t="n"/>
      <c r="S320" s="34" t="n"/>
      <c r="T320" s="35" t="n"/>
      <c r="U320" s="34" t="n"/>
      <c r="V320" s="34">
        <f>IF(F320="","",IF(K320="","",O320+ROW()/100000))</f>
        <v/>
      </c>
    </row>
    <row r="321">
      <c r="A321" s="10">
        <f>IF(F321="","",COUNTA($F$5:F321))</f>
        <v/>
      </c>
      <c r="B321" s="34" t="n"/>
      <c r="C321" s="34" t="n"/>
      <c r="D321" s="34" t="n"/>
      <c r="E321" s="35" t="n"/>
      <c r="F321" s="35" t="n"/>
      <c r="G321" s="35" t="n"/>
      <c r="H321" s="34" t="n"/>
      <c r="I321" s="34" t="n"/>
      <c r="J321" s="36" t="n"/>
      <c r="K321" s="36" t="n"/>
      <c r="L321" s="34" t="n"/>
      <c r="M321" s="34" t="n"/>
      <c r="N321" s="36">
        <f>IF(K321="","",K321-IF(M321="",0,M321))</f>
        <v/>
      </c>
      <c r="O321" s="37">
        <f>IF(K321="","",K321-TODAY())</f>
        <v/>
      </c>
      <c r="P321" s="10">
        <f>IF(F321="","",IF(K321="","No date",IF(O321&lt;0,"Expired",IF(O321&lt;=30,"Urgent",IF(O321&lt;=90,"Due soon","OK")))))</f>
        <v/>
      </c>
      <c r="Q321" s="34" t="n"/>
      <c r="R321" s="38" t="n"/>
      <c r="S321" s="34" t="n"/>
      <c r="T321" s="35" t="n"/>
      <c r="U321" s="34" t="n"/>
      <c r="V321" s="34">
        <f>IF(F321="","",IF(K321="","",O321+ROW()/100000))</f>
        <v/>
      </c>
    </row>
    <row r="322">
      <c r="A322" s="10">
        <f>IF(F322="","",COUNTA($F$5:F322))</f>
        <v/>
      </c>
      <c r="B322" s="34" t="n"/>
      <c r="C322" s="34" t="n"/>
      <c r="D322" s="34" t="n"/>
      <c r="E322" s="35" t="n"/>
      <c r="F322" s="35" t="n"/>
      <c r="G322" s="35" t="n"/>
      <c r="H322" s="34" t="n"/>
      <c r="I322" s="34" t="n"/>
      <c r="J322" s="36" t="n"/>
      <c r="K322" s="36" t="n"/>
      <c r="L322" s="34" t="n"/>
      <c r="M322" s="34" t="n"/>
      <c r="N322" s="36">
        <f>IF(K322="","",K322-IF(M322="",0,M322))</f>
        <v/>
      </c>
      <c r="O322" s="37">
        <f>IF(K322="","",K322-TODAY())</f>
        <v/>
      </c>
      <c r="P322" s="10">
        <f>IF(F322="","",IF(K322="","No date",IF(O322&lt;0,"Expired",IF(O322&lt;=30,"Urgent",IF(O322&lt;=90,"Due soon","OK")))))</f>
        <v/>
      </c>
      <c r="Q322" s="34" t="n"/>
      <c r="R322" s="38" t="n"/>
      <c r="S322" s="34" t="n"/>
      <c r="T322" s="35" t="n"/>
      <c r="U322" s="34" t="n"/>
      <c r="V322" s="34">
        <f>IF(F322="","",IF(K322="","",O322+ROW()/100000))</f>
        <v/>
      </c>
    </row>
    <row r="323">
      <c r="A323" s="10">
        <f>IF(F323="","",COUNTA($F$5:F323))</f>
        <v/>
      </c>
      <c r="B323" s="34" t="n"/>
      <c r="C323" s="34" t="n"/>
      <c r="D323" s="34" t="n"/>
      <c r="E323" s="35" t="n"/>
      <c r="F323" s="35" t="n"/>
      <c r="G323" s="35" t="n"/>
      <c r="H323" s="34" t="n"/>
      <c r="I323" s="34" t="n"/>
      <c r="J323" s="36" t="n"/>
      <c r="K323" s="36" t="n"/>
      <c r="L323" s="34" t="n"/>
      <c r="M323" s="34" t="n"/>
      <c r="N323" s="36">
        <f>IF(K323="","",K323-IF(M323="",0,M323))</f>
        <v/>
      </c>
      <c r="O323" s="37">
        <f>IF(K323="","",K323-TODAY())</f>
        <v/>
      </c>
      <c r="P323" s="10">
        <f>IF(F323="","",IF(K323="","No date",IF(O323&lt;0,"Expired",IF(O323&lt;=30,"Urgent",IF(O323&lt;=90,"Due soon","OK")))))</f>
        <v/>
      </c>
      <c r="Q323" s="34" t="n"/>
      <c r="R323" s="38" t="n"/>
      <c r="S323" s="34" t="n"/>
      <c r="T323" s="35" t="n"/>
      <c r="U323" s="34" t="n"/>
      <c r="V323" s="34">
        <f>IF(F323="","",IF(K323="","",O323+ROW()/100000))</f>
        <v/>
      </c>
    </row>
    <row r="324">
      <c r="A324" s="10">
        <f>IF(F324="","",COUNTA($F$5:F324))</f>
        <v/>
      </c>
      <c r="B324" s="34" t="n"/>
      <c r="C324" s="34" t="n"/>
      <c r="D324" s="34" t="n"/>
      <c r="E324" s="35" t="n"/>
      <c r="F324" s="35" t="n"/>
      <c r="G324" s="35" t="n"/>
      <c r="H324" s="34" t="n"/>
      <c r="I324" s="34" t="n"/>
      <c r="J324" s="36" t="n"/>
      <c r="K324" s="36" t="n"/>
      <c r="L324" s="34" t="n"/>
      <c r="M324" s="34" t="n"/>
      <c r="N324" s="36">
        <f>IF(K324="","",K324-IF(M324="",0,M324))</f>
        <v/>
      </c>
      <c r="O324" s="37">
        <f>IF(K324="","",K324-TODAY())</f>
        <v/>
      </c>
      <c r="P324" s="10">
        <f>IF(F324="","",IF(K324="","No date",IF(O324&lt;0,"Expired",IF(O324&lt;=30,"Urgent",IF(O324&lt;=90,"Due soon","OK")))))</f>
        <v/>
      </c>
      <c r="Q324" s="34" t="n"/>
      <c r="R324" s="38" t="n"/>
      <c r="S324" s="34" t="n"/>
      <c r="T324" s="35" t="n"/>
      <c r="U324" s="34" t="n"/>
      <c r="V324" s="34">
        <f>IF(F324="","",IF(K324="","",O324+ROW()/100000))</f>
        <v/>
      </c>
    </row>
    <row r="325">
      <c r="A325" s="10">
        <f>IF(F325="","",COUNTA($F$5:F325))</f>
        <v/>
      </c>
      <c r="B325" s="34" t="n"/>
      <c r="C325" s="34" t="n"/>
      <c r="D325" s="34" t="n"/>
      <c r="E325" s="35" t="n"/>
      <c r="F325" s="35" t="n"/>
      <c r="G325" s="35" t="n"/>
      <c r="H325" s="34" t="n"/>
      <c r="I325" s="34" t="n"/>
      <c r="J325" s="36" t="n"/>
      <c r="K325" s="36" t="n"/>
      <c r="L325" s="34" t="n"/>
      <c r="M325" s="34" t="n"/>
      <c r="N325" s="36">
        <f>IF(K325="","",K325-IF(M325="",0,M325))</f>
        <v/>
      </c>
      <c r="O325" s="37">
        <f>IF(K325="","",K325-TODAY())</f>
        <v/>
      </c>
      <c r="P325" s="10">
        <f>IF(F325="","",IF(K325="","No date",IF(O325&lt;0,"Expired",IF(O325&lt;=30,"Urgent",IF(O325&lt;=90,"Due soon","OK")))))</f>
        <v/>
      </c>
      <c r="Q325" s="34" t="n"/>
      <c r="R325" s="38" t="n"/>
      <c r="S325" s="34" t="n"/>
      <c r="T325" s="35" t="n"/>
      <c r="U325" s="34" t="n"/>
      <c r="V325" s="34">
        <f>IF(F325="","",IF(K325="","",O325+ROW()/100000))</f>
        <v/>
      </c>
    </row>
    <row r="326">
      <c r="A326" s="10">
        <f>IF(F326="","",COUNTA($F$5:F326))</f>
        <v/>
      </c>
      <c r="B326" s="34" t="n"/>
      <c r="C326" s="34" t="n"/>
      <c r="D326" s="34" t="n"/>
      <c r="E326" s="35" t="n"/>
      <c r="F326" s="35" t="n"/>
      <c r="G326" s="35" t="n"/>
      <c r="H326" s="34" t="n"/>
      <c r="I326" s="34" t="n"/>
      <c r="J326" s="36" t="n"/>
      <c r="K326" s="36" t="n"/>
      <c r="L326" s="34" t="n"/>
      <c r="M326" s="34" t="n"/>
      <c r="N326" s="36">
        <f>IF(K326="","",K326-IF(M326="",0,M326))</f>
        <v/>
      </c>
      <c r="O326" s="37">
        <f>IF(K326="","",K326-TODAY())</f>
        <v/>
      </c>
      <c r="P326" s="10">
        <f>IF(F326="","",IF(K326="","No date",IF(O326&lt;0,"Expired",IF(O326&lt;=30,"Urgent",IF(O326&lt;=90,"Due soon","OK")))))</f>
        <v/>
      </c>
      <c r="Q326" s="34" t="n"/>
      <c r="R326" s="38" t="n"/>
      <c r="S326" s="34" t="n"/>
      <c r="T326" s="35" t="n"/>
      <c r="U326" s="34" t="n"/>
      <c r="V326" s="34">
        <f>IF(F326="","",IF(K326="","",O326+ROW()/100000))</f>
        <v/>
      </c>
    </row>
    <row r="327">
      <c r="A327" s="10">
        <f>IF(F327="","",COUNTA($F$5:F327))</f>
        <v/>
      </c>
      <c r="B327" s="34" t="n"/>
      <c r="C327" s="34" t="n"/>
      <c r="D327" s="34" t="n"/>
      <c r="E327" s="35" t="n"/>
      <c r="F327" s="35" t="n"/>
      <c r="G327" s="35" t="n"/>
      <c r="H327" s="34" t="n"/>
      <c r="I327" s="34" t="n"/>
      <c r="J327" s="36" t="n"/>
      <c r="K327" s="36" t="n"/>
      <c r="L327" s="34" t="n"/>
      <c r="M327" s="34" t="n"/>
      <c r="N327" s="36">
        <f>IF(K327="","",K327-IF(M327="",0,M327))</f>
        <v/>
      </c>
      <c r="O327" s="37">
        <f>IF(K327="","",K327-TODAY())</f>
        <v/>
      </c>
      <c r="P327" s="10">
        <f>IF(F327="","",IF(K327="","No date",IF(O327&lt;0,"Expired",IF(O327&lt;=30,"Urgent",IF(O327&lt;=90,"Due soon","OK")))))</f>
        <v/>
      </c>
      <c r="Q327" s="34" t="n"/>
      <c r="R327" s="38" t="n"/>
      <c r="S327" s="34" t="n"/>
      <c r="T327" s="35" t="n"/>
      <c r="U327" s="34" t="n"/>
      <c r="V327" s="34">
        <f>IF(F327="","",IF(K327="","",O327+ROW()/100000))</f>
        <v/>
      </c>
    </row>
    <row r="328">
      <c r="A328" s="10">
        <f>IF(F328="","",COUNTA($F$5:F328))</f>
        <v/>
      </c>
      <c r="B328" s="34" t="n"/>
      <c r="C328" s="34" t="n"/>
      <c r="D328" s="34" t="n"/>
      <c r="E328" s="35" t="n"/>
      <c r="F328" s="35" t="n"/>
      <c r="G328" s="35" t="n"/>
      <c r="H328" s="34" t="n"/>
      <c r="I328" s="34" t="n"/>
      <c r="J328" s="36" t="n"/>
      <c r="K328" s="36" t="n"/>
      <c r="L328" s="34" t="n"/>
      <c r="M328" s="34" t="n"/>
      <c r="N328" s="36">
        <f>IF(K328="","",K328-IF(M328="",0,M328))</f>
        <v/>
      </c>
      <c r="O328" s="37">
        <f>IF(K328="","",K328-TODAY())</f>
        <v/>
      </c>
      <c r="P328" s="10">
        <f>IF(F328="","",IF(K328="","No date",IF(O328&lt;0,"Expired",IF(O328&lt;=30,"Urgent",IF(O328&lt;=90,"Due soon","OK")))))</f>
        <v/>
      </c>
      <c r="Q328" s="34" t="n"/>
      <c r="R328" s="38" t="n"/>
      <c r="S328" s="34" t="n"/>
      <c r="T328" s="35" t="n"/>
      <c r="U328" s="34" t="n"/>
      <c r="V328" s="34">
        <f>IF(F328="","",IF(K328="","",O328+ROW()/100000))</f>
        <v/>
      </c>
    </row>
    <row r="329">
      <c r="A329" s="10">
        <f>IF(F329="","",COUNTA($F$5:F329))</f>
        <v/>
      </c>
      <c r="B329" s="34" t="n"/>
      <c r="C329" s="34" t="n"/>
      <c r="D329" s="34" t="n"/>
      <c r="E329" s="35" t="n"/>
      <c r="F329" s="35" t="n"/>
      <c r="G329" s="35" t="n"/>
      <c r="H329" s="34" t="n"/>
      <c r="I329" s="34" t="n"/>
      <c r="J329" s="36" t="n"/>
      <c r="K329" s="36" t="n"/>
      <c r="L329" s="34" t="n"/>
      <c r="M329" s="34" t="n"/>
      <c r="N329" s="36">
        <f>IF(K329="","",K329-IF(M329="",0,M329))</f>
        <v/>
      </c>
      <c r="O329" s="37">
        <f>IF(K329="","",K329-TODAY())</f>
        <v/>
      </c>
      <c r="P329" s="10">
        <f>IF(F329="","",IF(K329="","No date",IF(O329&lt;0,"Expired",IF(O329&lt;=30,"Urgent",IF(O329&lt;=90,"Due soon","OK")))))</f>
        <v/>
      </c>
      <c r="Q329" s="34" t="n"/>
      <c r="R329" s="38" t="n"/>
      <c r="S329" s="34" t="n"/>
      <c r="T329" s="35" t="n"/>
      <c r="U329" s="34" t="n"/>
      <c r="V329" s="34">
        <f>IF(F329="","",IF(K329="","",O329+ROW()/100000))</f>
        <v/>
      </c>
    </row>
    <row r="330">
      <c r="A330" s="10">
        <f>IF(F330="","",COUNTA($F$5:F330))</f>
        <v/>
      </c>
      <c r="B330" s="34" t="n"/>
      <c r="C330" s="34" t="n"/>
      <c r="D330" s="34" t="n"/>
      <c r="E330" s="35" t="n"/>
      <c r="F330" s="35" t="n"/>
      <c r="G330" s="35" t="n"/>
      <c r="H330" s="34" t="n"/>
      <c r="I330" s="34" t="n"/>
      <c r="J330" s="36" t="n"/>
      <c r="K330" s="36" t="n"/>
      <c r="L330" s="34" t="n"/>
      <c r="M330" s="34" t="n"/>
      <c r="N330" s="36">
        <f>IF(K330="","",K330-IF(M330="",0,M330))</f>
        <v/>
      </c>
      <c r="O330" s="37">
        <f>IF(K330="","",K330-TODAY())</f>
        <v/>
      </c>
      <c r="P330" s="10">
        <f>IF(F330="","",IF(K330="","No date",IF(O330&lt;0,"Expired",IF(O330&lt;=30,"Urgent",IF(O330&lt;=90,"Due soon","OK")))))</f>
        <v/>
      </c>
      <c r="Q330" s="34" t="n"/>
      <c r="R330" s="38" t="n"/>
      <c r="S330" s="34" t="n"/>
      <c r="T330" s="35" t="n"/>
      <c r="U330" s="34" t="n"/>
      <c r="V330" s="34">
        <f>IF(F330="","",IF(K330="","",O330+ROW()/100000))</f>
        <v/>
      </c>
    </row>
    <row r="331">
      <c r="A331" s="10">
        <f>IF(F331="","",COUNTA($F$5:F331))</f>
        <v/>
      </c>
      <c r="B331" s="34" t="n"/>
      <c r="C331" s="34" t="n"/>
      <c r="D331" s="34" t="n"/>
      <c r="E331" s="35" t="n"/>
      <c r="F331" s="35" t="n"/>
      <c r="G331" s="35" t="n"/>
      <c r="H331" s="34" t="n"/>
      <c r="I331" s="34" t="n"/>
      <c r="J331" s="36" t="n"/>
      <c r="K331" s="36" t="n"/>
      <c r="L331" s="34" t="n"/>
      <c r="M331" s="34" t="n"/>
      <c r="N331" s="36">
        <f>IF(K331="","",K331-IF(M331="",0,M331))</f>
        <v/>
      </c>
      <c r="O331" s="37">
        <f>IF(K331="","",K331-TODAY())</f>
        <v/>
      </c>
      <c r="P331" s="10">
        <f>IF(F331="","",IF(K331="","No date",IF(O331&lt;0,"Expired",IF(O331&lt;=30,"Urgent",IF(O331&lt;=90,"Due soon","OK")))))</f>
        <v/>
      </c>
      <c r="Q331" s="34" t="n"/>
      <c r="R331" s="38" t="n"/>
      <c r="S331" s="34" t="n"/>
      <c r="T331" s="35" t="n"/>
      <c r="U331" s="34" t="n"/>
      <c r="V331" s="34">
        <f>IF(F331="","",IF(K331="","",O331+ROW()/100000))</f>
        <v/>
      </c>
    </row>
    <row r="332">
      <c r="A332" s="10">
        <f>IF(F332="","",COUNTA($F$5:F332))</f>
        <v/>
      </c>
      <c r="B332" s="34" t="n"/>
      <c r="C332" s="34" t="n"/>
      <c r="D332" s="34" t="n"/>
      <c r="E332" s="35" t="n"/>
      <c r="F332" s="35" t="n"/>
      <c r="G332" s="35" t="n"/>
      <c r="H332" s="34" t="n"/>
      <c r="I332" s="34" t="n"/>
      <c r="J332" s="36" t="n"/>
      <c r="K332" s="36" t="n"/>
      <c r="L332" s="34" t="n"/>
      <c r="M332" s="34" t="n"/>
      <c r="N332" s="36">
        <f>IF(K332="","",K332-IF(M332="",0,M332))</f>
        <v/>
      </c>
      <c r="O332" s="37">
        <f>IF(K332="","",K332-TODAY())</f>
        <v/>
      </c>
      <c r="P332" s="10">
        <f>IF(F332="","",IF(K332="","No date",IF(O332&lt;0,"Expired",IF(O332&lt;=30,"Urgent",IF(O332&lt;=90,"Due soon","OK")))))</f>
        <v/>
      </c>
      <c r="Q332" s="34" t="n"/>
      <c r="R332" s="38" t="n"/>
      <c r="S332" s="34" t="n"/>
      <c r="T332" s="35" t="n"/>
      <c r="U332" s="34" t="n"/>
      <c r="V332" s="34">
        <f>IF(F332="","",IF(K332="","",O332+ROW()/100000))</f>
        <v/>
      </c>
    </row>
    <row r="333">
      <c r="A333" s="10">
        <f>IF(F333="","",COUNTA($F$5:F333))</f>
        <v/>
      </c>
      <c r="B333" s="34" t="n"/>
      <c r="C333" s="34" t="n"/>
      <c r="D333" s="34" t="n"/>
      <c r="E333" s="35" t="n"/>
      <c r="F333" s="35" t="n"/>
      <c r="G333" s="35" t="n"/>
      <c r="H333" s="34" t="n"/>
      <c r="I333" s="34" t="n"/>
      <c r="J333" s="36" t="n"/>
      <c r="K333" s="36" t="n"/>
      <c r="L333" s="34" t="n"/>
      <c r="M333" s="34" t="n"/>
      <c r="N333" s="36">
        <f>IF(K333="","",K333-IF(M333="",0,M333))</f>
        <v/>
      </c>
      <c r="O333" s="37">
        <f>IF(K333="","",K333-TODAY())</f>
        <v/>
      </c>
      <c r="P333" s="10">
        <f>IF(F333="","",IF(K333="","No date",IF(O333&lt;0,"Expired",IF(O333&lt;=30,"Urgent",IF(O333&lt;=90,"Due soon","OK")))))</f>
        <v/>
      </c>
      <c r="Q333" s="34" t="n"/>
      <c r="R333" s="38" t="n"/>
      <c r="S333" s="34" t="n"/>
      <c r="T333" s="35" t="n"/>
      <c r="U333" s="34" t="n"/>
      <c r="V333" s="34">
        <f>IF(F333="","",IF(K333="","",O333+ROW()/100000))</f>
        <v/>
      </c>
    </row>
    <row r="334">
      <c r="A334" s="10">
        <f>IF(F334="","",COUNTA($F$5:F334))</f>
        <v/>
      </c>
      <c r="B334" s="34" t="n"/>
      <c r="C334" s="34" t="n"/>
      <c r="D334" s="34" t="n"/>
      <c r="E334" s="35" t="n"/>
      <c r="F334" s="35" t="n"/>
      <c r="G334" s="35" t="n"/>
      <c r="H334" s="34" t="n"/>
      <c r="I334" s="34" t="n"/>
      <c r="J334" s="36" t="n"/>
      <c r="K334" s="36" t="n"/>
      <c r="L334" s="34" t="n"/>
      <c r="M334" s="34" t="n"/>
      <c r="N334" s="36">
        <f>IF(K334="","",K334-IF(M334="",0,M334))</f>
        <v/>
      </c>
      <c r="O334" s="37">
        <f>IF(K334="","",K334-TODAY())</f>
        <v/>
      </c>
      <c r="P334" s="10">
        <f>IF(F334="","",IF(K334="","No date",IF(O334&lt;0,"Expired",IF(O334&lt;=30,"Urgent",IF(O334&lt;=90,"Due soon","OK")))))</f>
        <v/>
      </c>
      <c r="Q334" s="34" t="n"/>
      <c r="R334" s="38" t="n"/>
      <c r="S334" s="34" t="n"/>
      <c r="T334" s="35" t="n"/>
      <c r="U334" s="34" t="n"/>
      <c r="V334" s="34">
        <f>IF(F334="","",IF(K334="","",O334+ROW()/100000))</f>
        <v/>
      </c>
    </row>
    <row r="335">
      <c r="A335" s="10">
        <f>IF(F335="","",COUNTA($F$5:F335))</f>
        <v/>
      </c>
      <c r="B335" s="34" t="n"/>
      <c r="C335" s="34" t="n"/>
      <c r="D335" s="34" t="n"/>
      <c r="E335" s="35" t="n"/>
      <c r="F335" s="35" t="n"/>
      <c r="G335" s="35" t="n"/>
      <c r="H335" s="34" t="n"/>
      <c r="I335" s="34" t="n"/>
      <c r="J335" s="36" t="n"/>
      <c r="K335" s="36" t="n"/>
      <c r="L335" s="34" t="n"/>
      <c r="M335" s="34" t="n"/>
      <c r="N335" s="36">
        <f>IF(K335="","",K335-IF(M335="",0,M335))</f>
        <v/>
      </c>
      <c r="O335" s="37">
        <f>IF(K335="","",K335-TODAY())</f>
        <v/>
      </c>
      <c r="P335" s="10">
        <f>IF(F335="","",IF(K335="","No date",IF(O335&lt;0,"Expired",IF(O335&lt;=30,"Urgent",IF(O335&lt;=90,"Due soon","OK")))))</f>
        <v/>
      </c>
      <c r="Q335" s="34" t="n"/>
      <c r="R335" s="38" t="n"/>
      <c r="S335" s="34" t="n"/>
      <c r="T335" s="35" t="n"/>
      <c r="U335" s="34" t="n"/>
      <c r="V335" s="34">
        <f>IF(F335="","",IF(K335="","",O335+ROW()/100000))</f>
        <v/>
      </c>
    </row>
    <row r="336">
      <c r="A336" s="10">
        <f>IF(F336="","",COUNTA($F$5:F336))</f>
        <v/>
      </c>
      <c r="B336" s="34" t="n"/>
      <c r="C336" s="34" t="n"/>
      <c r="D336" s="34" t="n"/>
      <c r="E336" s="35" t="n"/>
      <c r="F336" s="35" t="n"/>
      <c r="G336" s="35" t="n"/>
      <c r="H336" s="34" t="n"/>
      <c r="I336" s="34" t="n"/>
      <c r="J336" s="36" t="n"/>
      <c r="K336" s="36" t="n"/>
      <c r="L336" s="34" t="n"/>
      <c r="M336" s="34" t="n"/>
      <c r="N336" s="36">
        <f>IF(K336="","",K336-IF(M336="",0,M336))</f>
        <v/>
      </c>
      <c r="O336" s="37">
        <f>IF(K336="","",K336-TODAY())</f>
        <v/>
      </c>
      <c r="P336" s="10">
        <f>IF(F336="","",IF(K336="","No date",IF(O336&lt;0,"Expired",IF(O336&lt;=30,"Urgent",IF(O336&lt;=90,"Due soon","OK")))))</f>
        <v/>
      </c>
      <c r="Q336" s="34" t="n"/>
      <c r="R336" s="38" t="n"/>
      <c r="S336" s="34" t="n"/>
      <c r="T336" s="35" t="n"/>
      <c r="U336" s="34" t="n"/>
      <c r="V336" s="34">
        <f>IF(F336="","",IF(K336="","",O336+ROW()/100000))</f>
        <v/>
      </c>
    </row>
    <row r="337">
      <c r="A337" s="10">
        <f>IF(F337="","",COUNTA($F$5:F337))</f>
        <v/>
      </c>
      <c r="B337" s="34" t="n"/>
      <c r="C337" s="34" t="n"/>
      <c r="D337" s="34" t="n"/>
      <c r="E337" s="35" t="n"/>
      <c r="F337" s="35" t="n"/>
      <c r="G337" s="35" t="n"/>
      <c r="H337" s="34" t="n"/>
      <c r="I337" s="34" t="n"/>
      <c r="J337" s="36" t="n"/>
      <c r="K337" s="36" t="n"/>
      <c r="L337" s="34" t="n"/>
      <c r="M337" s="34" t="n"/>
      <c r="N337" s="36">
        <f>IF(K337="","",K337-IF(M337="",0,M337))</f>
        <v/>
      </c>
      <c r="O337" s="37">
        <f>IF(K337="","",K337-TODAY())</f>
        <v/>
      </c>
      <c r="P337" s="10">
        <f>IF(F337="","",IF(K337="","No date",IF(O337&lt;0,"Expired",IF(O337&lt;=30,"Urgent",IF(O337&lt;=90,"Due soon","OK")))))</f>
        <v/>
      </c>
      <c r="Q337" s="34" t="n"/>
      <c r="R337" s="38" t="n"/>
      <c r="S337" s="34" t="n"/>
      <c r="T337" s="35" t="n"/>
      <c r="U337" s="34" t="n"/>
      <c r="V337" s="34">
        <f>IF(F337="","",IF(K337="","",O337+ROW()/100000))</f>
        <v/>
      </c>
    </row>
    <row r="338">
      <c r="A338" s="10">
        <f>IF(F338="","",COUNTA($F$5:F338))</f>
        <v/>
      </c>
      <c r="B338" s="34" t="n"/>
      <c r="C338" s="34" t="n"/>
      <c r="D338" s="34" t="n"/>
      <c r="E338" s="35" t="n"/>
      <c r="F338" s="35" t="n"/>
      <c r="G338" s="35" t="n"/>
      <c r="H338" s="34" t="n"/>
      <c r="I338" s="34" t="n"/>
      <c r="J338" s="36" t="n"/>
      <c r="K338" s="36" t="n"/>
      <c r="L338" s="34" t="n"/>
      <c r="M338" s="34" t="n"/>
      <c r="N338" s="36">
        <f>IF(K338="","",K338-IF(M338="",0,M338))</f>
        <v/>
      </c>
      <c r="O338" s="37">
        <f>IF(K338="","",K338-TODAY())</f>
        <v/>
      </c>
      <c r="P338" s="10">
        <f>IF(F338="","",IF(K338="","No date",IF(O338&lt;0,"Expired",IF(O338&lt;=30,"Urgent",IF(O338&lt;=90,"Due soon","OK")))))</f>
        <v/>
      </c>
      <c r="Q338" s="34" t="n"/>
      <c r="R338" s="38" t="n"/>
      <c r="S338" s="34" t="n"/>
      <c r="T338" s="35" t="n"/>
      <c r="U338" s="34" t="n"/>
      <c r="V338" s="34">
        <f>IF(F338="","",IF(K338="","",O338+ROW()/100000))</f>
        <v/>
      </c>
    </row>
    <row r="339">
      <c r="A339" s="10">
        <f>IF(F339="","",COUNTA($F$5:F339))</f>
        <v/>
      </c>
      <c r="B339" s="34" t="n"/>
      <c r="C339" s="34" t="n"/>
      <c r="D339" s="34" t="n"/>
      <c r="E339" s="35" t="n"/>
      <c r="F339" s="35" t="n"/>
      <c r="G339" s="35" t="n"/>
      <c r="H339" s="34" t="n"/>
      <c r="I339" s="34" t="n"/>
      <c r="J339" s="36" t="n"/>
      <c r="K339" s="36" t="n"/>
      <c r="L339" s="34" t="n"/>
      <c r="M339" s="34" t="n"/>
      <c r="N339" s="36">
        <f>IF(K339="","",K339-IF(M339="",0,M339))</f>
        <v/>
      </c>
      <c r="O339" s="37">
        <f>IF(K339="","",K339-TODAY())</f>
        <v/>
      </c>
      <c r="P339" s="10">
        <f>IF(F339="","",IF(K339="","No date",IF(O339&lt;0,"Expired",IF(O339&lt;=30,"Urgent",IF(O339&lt;=90,"Due soon","OK")))))</f>
        <v/>
      </c>
      <c r="Q339" s="34" t="n"/>
      <c r="R339" s="38" t="n"/>
      <c r="S339" s="34" t="n"/>
      <c r="T339" s="35" t="n"/>
      <c r="U339" s="34" t="n"/>
      <c r="V339" s="34">
        <f>IF(F339="","",IF(K339="","",O339+ROW()/100000))</f>
        <v/>
      </c>
    </row>
    <row r="340">
      <c r="A340" s="10">
        <f>IF(F340="","",COUNTA($F$5:F340))</f>
        <v/>
      </c>
      <c r="B340" s="34" t="n"/>
      <c r="C340" s="34" t="n"/>
      <c r="D340" s="34" t="n"/>
      <c r="E340" s="35" t="n"/>
      <c r="F340" s="35" t="n"/>
      <c r="G340" s="35" t="n"/>
      <c r="H340" s="34" t="n"/>
      <c r="I340" s="34" t="n"/>
      <c r="J340" s="36" t="n"/>
      <c r="K340" s="36" t="n"/>
      <c r="L340" s="34" t="n"/>
      <c r="M340" s="34" t="n"/>
      <c r="N340" s="36">
        <f>IF(K340="","",K340-IF(M340="",0,M340))</f>
        <v/>
      </c>
      <c r="O340" s="37">
        <f>IF(K340="","",K340-TODAY())</f>
        <v/>
      </c>
      <c r="P340" s="10">
        <f>IF(F340="","",IF(K340="","No date",IF(O340&lt;0,"Expired",IF(O340&lt;=30,"Urgent",IF(O340&lt;=90,"Due soon","OK")))))</f>
        <v/>
      </c>
      <c r="Q340" s="34" t="n"/>
      <c r="R340" s="38" t="n"/>
      <c r="S340" s="34" t="n"/>
      <c r="T340" s="35" t="n"/>
      <c r="U340" s="34" t="n"/>
      <c r="V340" s="34">
        <f>IF(F340="","",IF(K340="","",O340+ROW()/100000))</f>
        <v/>
      </c>
    </row>
    <row r="341">
      <c r="A341" s="10">
        <f>IF(F341="","",COUNTA($F$5:F341))</f>
        <v/>
      </c>
      <c r="B341" s="34" t="n"/>
      <c r="C341" s="34" t="n"/>
      <c r="D341" s="34" t="n"/>
      <c r="E341" s="35" t="n"/>
      <c r="F341" s="35" t="n"/>
      <c r="G341" s="35" t="n"/>
      <c r="H341" s="34" t="n"/>
      <c r="I341" s="34" t="n"/>
      <c r="J341" s="36" t="n"/>
      <c r="K341" s="36" t="n"/>
      <c r="L341" s="34" t="n"/>
      <c r="M341" s="34" t="n"/>
      <c r="N341" s="36">
        <f>IF(K341="","",K341-IF(M341="",0,M341))</f>
        <v/>
      </c>
      <c r="O341" s="37">
        <f>IF(K341="","",K341-TODAY())</f>
        <v/>
      </c>
      <c r="P341" s="10">
        <f>IF(F341="","",IF(K341="","No date",IF(O341&lt;0,"Expired",IF(O341&lt;=30,"Urgent",IF(O341&lt;=90,"Due soon","OK")))))</f>
        <v/>
      </c>
      <c r="Q341" s="34" t="n"/>
      <c r="R341" s="38" t="n"/>
      <c r="S341" s="34" t="n"/>
      <c r="T341" s="35" t="n"/>
      <c r="U341" s="34" t="n"/>
      <c r="V341" s="34">
        <f>IF(F341="","",IF(K341="","",O341+ROW()/100000))</f>
        <v/>
      </c>
    </row>
    <row r="342">
      <c r="A342" s="10">
        <f>IF(F342="","",COUNTA($F$5:F342))</f>
        <v/>
      </c>
      <c r="B342" s="34" t="n"/>
      <c r="C342" s="34" t="n"/>
      <c r="D342" s="34" t="n"/>
      <c r="E342" s="35" t="n"/>
      <c r="F342" s="35" t="n"/>
      <c r="G342" s="35" t="n"/>
      <c r="H342" s="34" t="n"/>
      <c r="I342" s="34" t="n"/>
      <c r="J342" s="36" t="n"/>
      <c r="K342" s="36" t="n"/>
      <c r="L342" s="34" t="n"/>
      <c r="M342" s="34" t="n"/>
      <c r="N342" s="36">
        <f>IF(K342="","",K342-IF(M342="",0,M342))</f>
        <v/>
      </c>
      <c r="O342" s="37">
        <f>IF(K342="","",K342-TODAY())</f>
        <v/>
      </c>
      <c r="P342" s="10">
        <f>IF(F342="","",IF(K342="","No date",IF(O342&lt;0,"Expired",IF(O342&lt;=30,"Urgent",IF(O342&lt;=90,"Due soon","OK")))))</f>
        <v/>
      </c>
      <c r="Q342" s="34" t="n"/>
      <c r="R342" s="38" t="n"/>
      <c r="S342" s="34" t="n"/>
      <c r="T342" s="35" t="n"/>
      <c r="U342" s="34" t="n"/>
      <c r="V342" s="34">
        <f>IF(F342="","",IF(K342="","",O342+ROW()/100000))</f>
        <v/>
      </c>
    </row>
    <row r="343">
      <c r="A343" s="10">
        <f>IF(F343="","",COUNTA($F$5:F343))</f>
        <v/>
      </c>
      <c r="B343" s="34" t="n"/>
      <c r="C343" s="34" t="n"/>
      <c r="D343" s="34" t="n"/>
      <c r="E343" s="35" t="n"/>
      <c r="F343" s="35" t="n"/>
      <c r="G343" s="35" t="n"/>
      <c r="H343" s="34" t="n"/>
      <c r="I343" s="34" t="n"/>
      <c r="J343" s="36" t="n"/>
      <c r="K343" s="36" t="n"/>
      <c r="L343" s="34" t="n"/>
      <c r="M343" s="34" t="n"/>
      <c r="N343" s="36">
        <f>IF(K343="","",K343-IF(M343="",0,M343))</f>
        <v/>
      </c>
      <c r="O343" s="37">
        <f>IF(K343="","",K343-TODAY())</f>
        <v/>
      </c>
      <c r="P343" s="10">
        <f>IF(F343="","",IF(K343="","No date",IF(O343&lt;0,"Expired",IF(O343&lt;=30,"Urgent",IF(O343&lt;=90,"Due soon","OK")))))</f>
        <v/>
      </c>
      <c r="Q343" s="34" t="n"/>
      <c r="R343" s="38" t="n"/>
      <c r="S343" s="34" t="n"/>
      <c r="T343" s="35" t="n"/>
      <c r="U343" s="34" t="n"/>
      <c r="V343" s="34">
        <f>IF(F343="","",IF(K343="","",O343+ROW()/100000))</f>
        <v/>
      </c>
    </row>
    <row r="344">
      <c r="A344" s="10">
        <f>IF(F344="","",COUNTA($F$5:F344))</f>
        <v/>
      </c>
      <c r="B344" s="34" t="n"/>
      <c r="C344" s="34" t="n"/>
      <c r="D344" s="34" t="n"/>
      <c r="E344" s="35" t="n"/>
      <c r="F344" s="35" t="n"/>
      <c r="G344" s="35" t="n"/>
      <c r="H344" s="34" t="n"/>
      <c r="I344" s="34" t="n"/>
      <c r="J344" s="36" t="n"/>
      <c r="K344" s="36" t="n"/>
      <c r="L344" s="34" t="n"/>
      <c r="M344" s="34" t="n"/>
      <c r="N344" s="36">
        <f>IF(K344="","",K344-IF(M344="",0,M344))</f>
        <v/>
      </c>
      <c r="O344" s="37">
        <f>IF(K344="","",K344-TODAY())</f>
        <v/>
      </c>
      <c r="P344" s="10">
        <f>IF(F344="","",IF(K344="","No date",IF(O344&lt;0,"Expired",IF(O344&lt;=30,"Urgent",IF(O344&lt;=90,"Due soon","OK")))))</f>
        <v/>
      </c>
      <c r="Q344" s="34" t="n"/>
      <c r="R344" s="38" t="n"/>
      <c r="S344" s="34" t="n"/>
      <c r="T344" s="35" t="n"/>
      <c r="U344" s="34" t="n"/>
      <c r="V344" s="34">
        <f>IF(F344="","",IF(K344="","",O344+ROW()/100000))</f>
        <v/>
      </c>
    </row>
    <row r="345">
      <c r="A345" s="10">
        <f>IF(F345="","",COUNTA($F$5:F345))</f>
        <v/>
      </c>
      <c r="B345" s="34" t="n"/>
      <c r="C345" s="34" t="n"/>
      <c r="D345" s="34" t="n"/>
      <c r="E345" s="35" t="n"/>
      <c r="F345" s="35" t="n"/>
      <c r="G345" s="35" t="n"/>
      <c r="H345" s="34" t="n"/>
      <c r="I345" s="34" t="n"/>
      <c r="J345" s="36" t="n"/>
      <c r="K345" s="36" t="n"/>
      <c r="L345" s="34" t="n"/>
      <c r="M345" s="34" t="n"/>
      <c r="N345" s="36">
        <f>IF(K345="","",K345-IF(M345="",0,M345))</f>
        <v/>
      </c>
      <c r="O345" s="37">
        <f>IF(K345="","",K345-TODAY())</f>
        <v/>
      </c>
      <c r="P345" s="10">
        <f>IF(F345="","",IF(K345="","No date",IF(O345&lt;0,"Expired",IF(O345&lt;=30,"Urgent",IF(O345&lt;=90,"Due soon","OK")))))</f>
        <v/>
      </c>
      <c r="Q345" s="34" t="n"/>
      <c r="R345" s="38" t="n"/>
      <c r="S345" s="34" t="n"/>
      <c r="T345" s="35" t="n"/>
      <c r="U345" s="34" t="n"/>
      <c r="V345" s="34">
        <f>IF(F345="","",IF(K345="","",O345+ROW()/100000))</f>
        <v/>
      </c>
    </row>
    <row r="346">
      <c r="A346" s="10">
        <f>IF(F346="","",COUNTA($F$5:F346))</f>
        <v/>
      </c>
      <c r="B346" s="34" t="n"/>
      <c r="C346" s="34" t="n"/>
      <c r="D346" s="34" t="n"/>
      <c r="E346" s="35" t="n"/>
      <c r="F346" s="35" t="n"/>
      <c r="G346" s="35" t="n"/>
      <c r="H346" s="34" t="n"/>
      <c r="I346" s="34" t="n"/>
      <c r="J346" s="36" t="n"/>
      <c r="K346" s="36" t="n"/>
      <c r="L346" s="34" t="n"/>
      <c r="M346" s="34" t="n"/>
      <c r="N346" s="36">
        <f>IF(K346="","",K346-IF(M346="",0,M346))</f>
        <v/>
      </c>
      <c r="O346" s="37">
        <f>IF(K346="","",K346-TODAY())</f>
        <v/>
      </c>
      <c r="P346" s="10">
        <f>IF(F346="","",IF(K346="","No date",IF(O346&lt;0,"Expired",IF(O346&lt;=30,"Urgent",IF(O346&lt;=90,"Due soon","OK")))))</f>
        <v/>
      </c>
      <c r="Q346" s="34" t="n"/>
      <c r="R346" s="38" t="n"/>
      <c r="S346" s="34" t="n"/>
      <c r="T346" s="35" t="n"/>
      <c r="U346" s="34" t="n"/>
      <c r="V346" s="34">
        <f>IF(F346="","",IF(K346="","",O346+ROW()/100000))</f>
        <v/>
      </c>
    </row>
    <row r="347">
      <c r="A347" s="10">
        <f>IF(F347="","",COUNTA($F$5:F347))</f>
        <v/>
      </c>
      <c r="B347" s="34" t="n"/>
      <c r="C347" s="34" t="n"/>
      <c r="D347" s="34" t="n"/>
      <c r="E347" s="35" t="n"/>
      <c r="F347" s="35" t="n"/>
      <c r="G347" s="35" t="n"/>
      <c r="H347" s="34" t="n"/>
      <c r="I347" s="34" t="n"/>
      <c r="J347" s="36" t="n"/>
      <c r="K347" s="36" t="n"/>
      <c r="L347" s="34" t="n"/>
      <c r="M347" s="34" t="n"/>
      <c r="N347" s="36">
        <f>IF(K347="","",K347-IF(M347="",0,M347))</f>
        <v/>
      </c>
      <c r="O347" s="37">
        <f>IF(K347="","",K347-TODAY())</f>
        <v/>
      </c>
      <c r="P347" s="10">
        <f>IF(F347="","",IF(K347="","No date",IF(O347&lt;0,"Expired",IF(O347&lt;=30,"Urgent",IF(O347&lt;=90,"Due soon","OK")))))</f>
        <v/>
      </c>
      <c r="Q347" s="34" t="n"/>
      <c r="R347" s="38" t="n"/>
      <c r="S347" s="34" t="n"/>
      <c r="T347" s="35" t="n"/>
      <c r="U347" s="34" t="n"/>
      <c r="V347" s="34">
        <f>IF(F347="","",IF(K347="","",O347+ROW()/100000))</f>
        <v/>
      </c>
    </row>
    <row r="348">
      <c r="A348" s="10">
        <f>IF(F348="","",COUNTA($F$5:F348))</f>
        <v/>
      </c>
      <c r="B348" s="34" t="n"/>
      <c r="C348" s="34" t="n"/>
      <c r="D348" s="34" t="n"/>
      <c r="E348" s="35" t="n"/>
      <c r="F348" s="35" t="n"/>
      <c r="G348" s="35" t="n"/>
      <c r="H348" s="34" t="n"/>
      <c r="I348" s="34" t="n"/>
      <c r="J348" s="36" t="n"/>
      <c r="K348" s="36" t="n"/>
      <c r="L348" s="34" t="n"/>
      <c r="M348" s="34" t="n"/>
      <c r="N348" s="36">
        <f>IF(K348="","",K348-IF(M348="",0,M348))</f>
        <v/>
      </c>
      <c r="O348" s="37">
        <f>IF(K348="","",K348-TODAY())</f>
        <v/>
      </c>
      <c r="P348" s="10">
        <f>IF(F348="","",IF(K348="","No date",IF(O348&lt;0,"Expired",IF(O348&lt;=30,"Urgent",IF(O348&lt;=90,"Due soon","OK")))))</f>
        <v/>
      </c>
      <c r="Q348" s="34" t="n"/>
      <c r="R348" s="38" t="n"/>
      <c r="S348" s="34" t="n"/>
      <c r="T348" s="35" t="n"/>
      <c r="U348" s="34" t="n"/>
      <c r="V348" s="34">
        <f>IF(F348="","",IF(K348="","",O348+ROW()/100000))</f>
        <v/>
      </c>
    </row>
    <row r="349">
      <c r="A349" s="10">
        <f>IF(F349="","",COUNTA($F$5:F349))</f>
        <v/>
      </c>
      <c r="B349" s="34" t="n"/>
      <c r="C349" s="34" t="n"/>
      <c r="D349" s="34" t="n"/>
      <c r="E349" s="35" t="n"/>
      <c r="F349" s="35" t="n"/>
      <c r="G349" s="35" t="n"/>
      <c r="H349" s="34" t="n"/>
      <c r="I349" s="34" t="n"/>
      <c r="J349" s="36" t="n"/>
      <c r="K349" s="36" t="n"/>
      <c r="L349" s="34" t="n"/>
      <c r="M349" s="34" t="n"/>
      <c r="N349" s="36">
        <f>IF(K349="","",K349-IF(M349="",0,M349))</f>
        <v/>
      </c>
      <c r="O349" s="37">
        <f>IF(K349="","",K349-TODAY())</f>
        <v/>
      </c>
      <c r="P349" s="10">
        <f>IF(F349="","",IF(K349="","No date",IF(O349&lt;0,"Expired",IF(O349&lt;=30,"Urgent",IF(O349&lt;=90,"Due soon","OK")))))</f>
        <v/>
      </c>
      <c r="Q349" s="34" t="n"/>
      <c r="R349" s="38" t="n"/>
      <c r="S349" s="34" t="n"/>
      <c r="T349" s="35" t="n"/>
      <c r="U349" s="34" t="n"/>
      <c r="V349" s="34">
        <f>IF(F349="","",IF(K349="","",O349+ROW()/100000))</f>
        <v/>
      </c>
    </row>
    <row r="350">
      <c r="A350" s="10">
        <f>IF(F350="","",COUNTA($F$5:F350))</f>
        <v/>
      </c>
      <c r="B350" s="34" t="n"/>
      <c r="C350" s="34" t="n"/>
      <c r="D350" s="34" t="n"/>
      <c r="E350" s="35" t="n"/>
      <c r="F350" s="35" t="n"/>
      <c r="G350" s="35" t="n"/>
      <c r="H350" s="34" t="n"/>
      <c r="I350" s="34" t="n"/>
      <c r="J350" s="36" t="n"/>
      <c r="K350" s="36" t="n"/>
      <c r="L350" s="34" t="n"/>
      <c r="M350" s="34" t="n"/>
      <c r="N350" s="36">
        <f>IF(K350="","",K350-IF(M350="",0,M350))</f>
        <v/>
      </c>
      <c r="O350" s="37">
        <f>IF(K350="","",K350-TODAY())</f>
        <v/>
      </c>
      <c r="P350" s="10">
        <f>IF(F350="","",IF(K350="","No date",IF(O350&lt;0,"Expired",IF(O350&lt;=30,"Urgent",IF(O350&lt;=90,"Due soon","OK")))))</f>
        <v/>
      </c>
      <c r="Q350" s="34" t="n"/>
      <c r="R350" s="38" t="n"/>
      <c r="S350" s="34" t="n"/>
      <c r="T350" s="35" t="n"/>
      <c r="U350" s="34" t="n"/>
      <c r="V350" s="34">
        <f>IF(F350="","",IF(K350="","",O350+ROW()/100000))</f>
        <v/>
      </c>
    </row>
    <row r="351">
      <c r="A351" s="10">
        <f>IF(F351="","",COUNTA($F$5:F351))</f>
        <v/>
      </c>
      <c r="B351" s="34" t="n"/>
      <c r="C351" s="34" t="n"/>
      <c r="D351" s="34" t="n"/>
      <c r="E351" s="35" t="n"/>
      <c r="F351" s="35" t="n"/>
      <c r="G351" s="35" t="n"/>
      <c r="H351" s="34" t="n"/>
      <c r="I351" s="34" t="n"/>
      <c r="J351" s="36" t="n"/>
      <c r="K351" s="36" t="n"/>
      <c r="L351" s="34" t="n"/>
      <c r="M351" s="34" t="n"/>
      <c r="N351" s="36">
        <f>IF(K351="","",K351-IF(M351="",0,M351))</f>
        <v/>
      </c>
      <c r="O351" s="37">
        <f>IF(K351="","",K351-TODAY())</f>
        <v/>
      </c>
      <c r="P351" s="10">
        <f>IF(F351="","",IF(K351="","No date",IF(O351&lt;0,"Expired",IF(O351&lt;=30,"Urgent",IF(O351&lt;=90,"Due soon","OK")))))</f>
        <v/>
      </c>
      <c r="Q351" s="34" t="n"/>
      <c r="R351" s="38" t="n"/>
      <c r="S351" s="34" t="n"/>
      <c r="T351" s="35" t="n"/>
      <c r="U351" s="34" t="n"/>
      <c r="V351" s="34">
        <f>IF(F351="","",IF(K351="","",O351+ROW()/100000))</f>
        <v/>
      </c>
    </row>
    <row r="352">
      <c r="A352" s="10">
        <f>IF(F352="","",COUNTA($F$5:F352))</f>
        <v/>
      </c>
      <c r="B352" s="34" t="n"/>
      <c r="C352" s="34" t="n"/>
      <c r="D352" s="34" t="n"/>
      <c r="E352" s="35" t="n"/>
      <c r="F352" s="35" t="n"/>
      <c r="G352" s="35" t="n"/>
      <c r="H352" s="34" t="n"/>
      <c r="I352" s="34" t="n"/>
      <c r="J352" s="36" t="n"/>
      <c r="K352" s="36" t="n"/>
      <c r="L352" s="34" t="n"/>
      <c r="M352" s="34" t="n"/>
      <c r="N352" s="36">
        <f>IF(K352="","",K352-IF(M352="",0,M352))</f>
        <v/>
      </c>
      <c r="O352" s="37">
        <f>IF(K352="","",K352-TODAY())</f>
        <v/>
      </c>
      <c r="P352" s="10">
        <f>IF(F352="","",IF(K352="","No date",IF(O352&lt;0,"Expired",IF(O352&lt;=30,"Urgent",IF(O352&lt;=90,"Due soon","OK")))))</f>
        <v/>
      </c>
      <c r="Q352" s="34" t="n"/>
      <c r="R352" s="38" t="n"/>
      <c r="S352" s="34" t="n"/>
      <c r="T352" s="35" t="n"/>
      <c r="U352" s="34" t="n"/>
      <c r="V352" s="34">
        <f>IF(F352="","",IF(K352="","",O352+ROW()/100000))</f>
        <v/>
      </c>
    </row>
    <row r="353">
      <c r="A353" s="10">
        <f>IF(F353="","",COUNTA($F$5:F353))</f>
        <v/>
      </c>
      <c r="B353" s="34" t="n"/>
      <c r="C353" s="34" t="n"/>
      <c r="D353" s="34" t="n"/>
      <c r="E353" s="35" t="n"/>
      <c r="F353" s="35" t="n"/>
      <c r="G353" s="35" t="n"/>
      <c r="H353" s="34" t="n"/>
      <c r="I353" s="34" t="n"/>
      <c r="J353" s="36" t="n"/>
      <c r="K353" s="36" t="n"/>
      <c r="L353" s="34" t="n"/>
      <c r="M353" s="34" t="n"/>
      <c r="N353" s="36">
        <f>IF(K353="","",K353-IF(M353="",0,M353))</f>
        <v/>
      </c>
      <c r="O353" s="37">
        <f>IF(K353="","",K353-TODAY())</f>
        <v/>
      </c>
      <c r="P353" s="10">
        <f>IF(F353="","",IF(K353="","No date",IF(O353&lt;0,"Expired",IF(O353&lt;=30,"Urgent",IF(O353&lt;=90,"Due soon","OK")))))</f>
        <v/>
      </c>
      <c r="Q353" s="34" t="n"/>
      <c r="R353" s="38" t="n"/>
      <c r="S353" s="34" t="n"/>
      <c r="T353" s="35" t="n"/>
      <c r="U353" s="34" t="n"/>
      <c r="V353" s="34">
        <f>IF(F353="","",IF(K353="","",O353+ROW()/100000))</f>
        <v/>
      </c>
    </row>
    <row r="354">
      <c r="A354" s="10">
        <f>IF(F354="","",COUNTA($F$5:F354))</f>
        <v/>
      </c>
      <c r="B354" s="34" t="n"/>
      <c r="C354" s="34" t="n"/>
      <c r="D354" s="34" t="n"/>
      <c r="E354" s="35" t="n"/>
      <c r="F354" s="35" t="n"/>
      <c r="G354" s="35" t="n"/>
      <c r="H354" s="34" t="n"/>
      <c r="I354" s="34" t="n"/>
      <c r="J354" s="36" t="n"/>
      <c r="K354" s="36" t="n"/>
      <c r="L354" s="34" t="n"/>
      <c r="M354" s="34" t="n"/>
      <c r="N354" s="36">
        <f>IF(K354="","",K354-IF(M354="",0,M354))</f>
        <v/>
      </c>
      <c r="O354" s="37">
        <f>IF(K354="","",K354-TODAY())</f>
        <v/>
      </c>
      <c r="P354" s="10">
        <f>IF(F354="","",IF(K354="","No date",IF(O354&lt;0,"Expired",IF(O354&lt;=30,"Urgent",IF(O354&lt;=90,"Due soon","OK")))))</f>
        <v/>
      </c>
      <c r="Q354" s="34" t="n"/>
      <c r="R354" s="38" t="n"/>
      <c r="S354" s="34" t="n"/>
      <c r="T354" s="35" t="n"/>
      <c r="U354" s="34" t="n"/>
      <c r="V354" s="34">
        <f>IF(F354="","",IF(K354="","",O354+ROW()/100000))</f>
        <v/>
      </c>
    </row>
    <row r="355">
      <c r="A355" s="10">
        <f>IF(F355="","",COUNTA($F$5:F355))</f>
        <v/>
      </c>
      <c r="B355" s="34" t="n"/>
      <c r="C355" s="34" t="n"/>
      <c r="D355" s="34" t="n"/>
      <c r="E355" s="35" t="n"/>
      <c r="F355" s="35" t="n"/>
      <c r="G355" s="35" t="n"/>
      <c r="H355" s="34" t="n"/>
      <c r="I355" s="34" t="n"/>
      <c r="J355" s="36" t="n"/>
      <c r="K355" s="36" t="n"/>
      <c r="L355" s="34" t="n"/>
      <c r="M355" s="34" t="n"/>
      <c r="N355" s="36">
        <f>IF(K355="","",K355-IF(M355="",0,M355))</f>
        <v/>
      </c>
      <c r="O355" s="37">
        <f>IF(K355="","",K355-TODAY())</f>
        <v/>
      </c>
      <c r="P355" s="10">
        <f>IF(F355="","",IF(K355="","No date",IF(O355&lt;0,"Expired",IF(O355&lt;=30,"Urgent",IF(O355&lt;=90,"Due soon","OK")))))</f>
        <v/>
      </c>
      <c r="Q355" s="34" t="n"/>
      <c r="R355" s="38" t="n"/>
      <c r="S355" s="34" t="n"/>
      <c r="T355" s="35" t="n"/>
      <c r="U355" s="34" t="n"/>
      <c r="V355" s="34">
        <f>IF(F355="","",IF(K355="","",O355+ROW()/100000))</f>
        <v/>
      </c>
    </row>
    <row r="356">
      <c r="A356" s="10">
        <f>IF(F356="","",COUNTA($F$5:F356))</f>
        <v/>
      </c>
      <c r="B356" s="34" t="n"/>
      <c r="C356" s="34" t="n"/>
      <c r="D356" s="34" t="n"/>
      <c r="E356" s="35" t="n"/>
      <c r="F356" s="35" t="n"/>
      <c r="G356" s="35" t="n"/>
      <c r="H356" s="34" t="n"/>
      <c r="I356" s="34" t="n"/>
      <c r="J356" s="36" t="n"/>
      <c r="K356" s="36" t="n"/>
      <c r="L356" s="34" t="n"/>
      <c r="M356" s="34" t="n"/>
      <c r="N356" s="36">
        <f>IF(K356="","",K356-IF(M356="",0,M356))</f>
        <v/>
      </c>
      <c r="O356" s="37">
        <f>IF(K356="","",K356-TODAY())</f>
        <v/>
      </c>
      <c r="P356" s="10">
        <f>IF(F356="","",IF(K356="","No date",IF(O356&lt;0,"Expired",IF(O356&lt;=30,"Urgent",IF(O356&lt;=90,"Due soon","OK")))))</f>
        <v/>
      </c>
      <c r="Q356" s="34" t="n"/>
      <c r="R356" s="38" t="n"/>
      <c r="S356" s="34" t="n"/>
      <c r="T356" s="35" t="n"/>
      <c r="U356" s="34" t="n"/>
      <c r="V356" s="34">
        <f>IF(F356="","",IF(K356="","",O356+ROW()/100000))</f>
        <v/>
      </c>
    </row>
    <row r="357">
      <c r="A357" s="10">
        <f>IF(F357="","",COUNTA($F$5:F357))</f>
        <v/>
      </c>
      <c r="B357" s="34" t="n"/>
      <c r="C357" s="34" t="n"/>
      <c r="D357" s="34" t="n"/>
      <c r="E357" s="35" t="n"/>
      <c r="F357" s="35" t="n"/>
      <c r="G357" s="35" t="n"/>
      <c r="H357" s="34" t="n"/>
      <c r="I357" s="34" t="n"/>
      <c r="J357" s="36" t="n"/>
      <c r="K357" s="36" t="n"/>
      <c r="L357" s="34" t="n"/>
      <c r="M357" s="34" t="n"/>
      <c r="N357" s="36">
        <f>IF(K357="","",K357-IF(M357="",0,M357))</f>
        <v/>
      </c>
      <c r="O357" s="37">
        <f>IF(K357="","",K357-TODAY())</f>
        <v/>
      </c>
      <c r="P357" s="10">
        <f>IF(F357="","",IF(K357="","No date",IF(O357&lt;0,"Expired",IF(O357&lt;=30,"Urgent",IF(O357&lt;=90,"Due soon","OK")))))</f>
        <v/>
      </c>
      <c r="Q357" s="34" t="n"/>
      <c r="R357" s="38" t="n"/>
      <c r="S357" s="34" t="n"/>
      <c r="T357" s="35" t="n"/>
      <c r="U357" s="34" t="n"/>
      <c r="V357" s="34">
        <f>IF(F357="","",IF(K357="","",O357+ROW()/100000))</f>
        <v/>
      </c>
    </row>
    <row r="358">
      <c r="A358" s="10">
        <f>IF(F358="","",COUNTA($F$5:F358))</f>
        <v/>
      </c>
      <c r="B358" s="34" t="n"/>
      <c r="C358" s="34" t="n"/>
      <c r="D358" s="34" t="n"/>
      <c r="E358" s="35" t="n"/>
      <c r="F358" s="35" t="n"/>
      <c r="G358" s="35" t="n"/>
      <c r="H358" s="34" t="n"/>
      <c r="I358" s="34" t="n"/>
      <c r="J358" s="36" t="n"/>
      <c r="K358" s="36" t="n"/>
      <c r="L358" s="34" t="n"/>
      <c r="M358" s="34" t="n"/>
      <c r="N358" s="36">
        <f>IF(K358="","",K358-IF(M358="",0,M358))</f>
        <v/>
      </c>
      <c r="O358" s="37">
        <f>IF(K358="","",K358-TODAY())</f>
        <v/>
      </c>
      <c r="P358" s="10">
        <f>IF(F358="","",IF(K358="","No date",IF(O358&lt;0,"Expired",IF(O358&lt;=30,"Urgent",IF(O358&lt;=90,"Due soon","OK")))))</f>
        <v/>
      </c>
      <c r="Q358" s="34" t="n"/>
      <c r="R358" s="38" t="n"/>
      <c r="S358" s="34" t="n"/>
      <c r="T358" s="35" t="n"/>
      <c r="U358" s="34" t="n"/>
      <c r="V358" s="34">
        <f>IF(F358="","",IF(K358="","",O358+ROW()/100000))</f>
        <v/>
      </c>
    </row>
    <row r="359">
      <c r="A359" s="10">
        <f>IF(F359="","",COUNTA($F$5:F359))</f>
        <v/>
      </c>
      <c r="B359" s="34" t="n"/>
      <c r="C359" s="34" t="n"/>
      <c r="D359" s="34" t="n"/>
      <c r="E359" s="35" t="n"/>
      <c r="F359" s="35" t="n"/>
      <c r="G359" s="35" t="n"/>
      <c r="H359" s="34" t="n"/>
      <c r="I359" s="34" t="n"/>
      <c r="J359" s="36" t="n"/>
      <c r="K359" s="36" t="n"/>
      <c r="L359" s="34" t="n"/>
      <c r="M359" s="34" t="n"/>
      <c r="N359" s="36">
        <f>IF(K359="","",K359-IF(M359="",0,M359))</f>
        <v/>
      </c>
      <c r="O359" s="37">
        <f>IF(K359="","",K359-TODAY())</f>
        <v/>
      </c>
      <c r="P359" s="10">
        <f>IF(F359="","",IF(K359="","No date",IF(O359&lt;0,"Expired",IF(O359&lt;=30,"Urgent",IF(O359&lt;=90,"Due soon","OK")))))</f>
        <v/>
      </c>
      <c r="Q359" s="34" t="n"/>
      <c r="R359" s="38" t="n"/>
      <c r="S359" s="34" t="n"/>
      <c r="T359" s="35" t="n"/>
      <c r="U359" s="34" t="n"/>
      <c r="V359" s="34">
        <f>IF(F359="","",IF(K359="","",O359+ROW()/100000))</f>
        <v/>
      </c>
    </row>
    <row r="360">
      <c r="A360" s="10">
        <f>IF(F360="","",COUNTA($F$5:F360))</f>
        <v/>
      </c>
      <c r="B360" s="34" t="n"/>
      <c r="C360" s="34" t="n"/>
      <c r="D360" s="34" t="n"/>
      <c r="E360" s="35" t="n"/>
      <c r="F360" s="35" t="n"/>
      <c r="G360" s="35" t="n"/>
      <c r="H360" s="34" t="n"/>
      <c r="I360" s="34" t="n"/>
      <c r="J360" s="36" t="n"/>
      <c r="K360" s="36" t="n"/>
      <c r="L360" s="34" t="n"/>
      <c r="M360" s="34" t="n"/>
      <c r="N360" s="36">
        <f>IF(K360="","",K360-IF(M360="",0,M360))</f>
        <v/>
      </c>
      <c r="O360" s="37">
        <f>IF(K360="","",K360-TODAY())</f>
        <v/>
      </c>
      <c r="P360" s="10">
        <f>IF(F360="","",IF(K360="","No date",IF(O360&lt;0,"Expired",IF(O360&lt;=30,"Urgent",IF(O360&lt;=90,"Due soon","OK")))))</f>
        <v/>
      </c>
      <c r="Q360" s="34" t="n"/>
      <c r="R360" s="38" t="n"/>
      <c r="S360" s="34" t="n"/>
      <c r="T360" s="35" t="n"/>
      <c r="U360" s="34" t="n"/>
      <c r="V360" s="34">
        <f>IF(F360="","",IF(K360="","",O360+ROW()/100000))</f>
        <v/>
      </c>
    </row>
    <row r="361">
      <c r="A361" s="10">
        <f>IF(F361="","",COUNTA($F$5:F361))</f>
        <v/>
      </c>
      <c r="B361" s="34" t="n"/>
      <c r="C361" s="34" t="n"/>
      <c r="D361" s="34" t="n"/>
      <c r="E361" s="35" t="n"/>
      <c r="F361" s="35" t="n"/>
      <c r="G361" s="35" t="n"/>
      <c r="H361" s="34" t="n"/>
      <c r="I361" s="34" t="n"/>
      <c r="J361" s="36" t="n"/>
      <c r="K361" s="36" t="n"/>
      <c r="L361" s="34" t="n"/>
      <c r="M361" s="34" t="n"/>
      <c r="N361" s="36">
        <f>IF(K361="","",K361-IF(M361="",0,M361))</f>
        <v/>
      </c>
      <c r="O361" s="37">
        <f>IF(K361="","",K361-TODAY())</f>
        <v/>
      </c>
      <c r="P361" s="10">
        <f>IF(F361="","",IF(K361="","No date",IF(O361&lt;0,"Expired",IF(O361&lt;=30,"Urgent",IF(O361&lt;=90,"Due soon","OK")))))</f>
        <v/>
      </c>
      <c r="Q361" s="34" t="n"/>
      <c r="R361" s="38" t="n"/>
      <c r="S361" s="34" t="n"/>
      <c r="T361" s="35" t="n"/>
      <c r="U361" s="34" t="n"/>
      <c r="V361" s="34">
        <f>IF(F361="","",IF(K361="","",O361+ROW()/100000))</f>
        <v/>
      </c>
    </row>
    <row r="362">
      <c r="A362" s="10">
        <f>IF(F362="","",COUNTA($F$5:F362))</f>
        <v/>
      </c>
      <c r="B362" s="34" t="n"/>
      <c r="C362" s="34" t="n"/>
      <c r="D362" s="34" t="n"/>
      <c r="E362" s="35" t="n"/>
      <c r="F362" s="35" t="n"/>
      <c r="G362" s="35" t="n"/>
      <c r="H362" s="34" t="n"/>
      <c r="I362" s="34" t="n"/>
      <c r="J362" s="36" t="n"/>
      <c r="K362" s="36" t="n"/>
      <c r="L362" s="34" t="n"/>
      <c r="M362" s="34" t="n"/>
      <c r="N362" s="36">
        <f>IF(K362="","",K362-IF(M362="",0,M362))</f>
        <v/>
      </c>
      <c r="O362" s="37">
        <f>IF(K362="","",K362-TODAY())</f>
        <v/>
      </c>
      <c r="P362" s="10">
        <f>IF(F362="","",IF(K362="","No date",IF(O362&lt;0,"Expired",IF(O362&lt;=30,"Urgent",IF(O362&lt;=90,"Due soon","OK")))))</f>
        <v/>
      </c>
      <c r="Q362" s="34" t="n"/>
      <c r="R362" s="38" t="n"/>
      <c r="S362" s="34" t="n"/>
      <c r="T362" s="35" t="n"/>
      <c r="U362" s="34" t="n"/>
      <c r="V362" s="34">
        <f>IF(F362="","",IF(K362="","",O362+ROW()/100000))</f>
        <v/>
      </c>
    </row>
    <row r="363">
      <c r="A363" s="10">
        <f>IF(F363="","",COUNTA($F$5:F363))</f>
        <v/>
      </c>
      <c r="B363" s="34" t="n"/>
      <c r="C363" s="34" t="n"/>
      <c r="D363" s="34" t="n"/>
      <c r="E363" s="35" t="n"/>
      <c r="F363" s="35" t="n"/>
      <c r="G363" s="35" t="n"/>
      <c r="H363" s="34" t="n"/>
      <c r="I363" s="34" t="n"/>
      <c r="J363" s="36" t="n"/>
      <c r="K363" s="36" t="n"/>
      <c r="L363" s="34" t="n"/>
      <c r="M363" s="34" t="n"/>
      <c r="N363" s="36">
        <f>IF(K363="","",K363-IF(M363="",0,M363))</f>
        <v/>
      </c>
      <c r="O363" s="37">
        <f>IF(K363="","",K363-TODAY())</f>
        <v/>
      </c>
      <c r="P363" s="10">
        <f>IF(F363="","",IF(K363="","No date",IF(O363&lt;0,"Expired",IF(O363&lt;=30,"Urgent",IF(O363&lt;=90,"Due soon","OK")))))</f>
        <v/>
      </c>
      <c r="Q363" s="34" t="n"/>
      <c r="R363" s="38" t="n"/>
      <c r="S363" s="34" t="n"/>
      <c r="T363" s="35" t="n"/>
      <c r="U363" s="34" t="n"/>
      <c r="V363" s="34">
        <f>IF(F363="","",IF(K363="","",O363+ROW()/100000))</f>
        <v/>
      </c>
    </row>
    <row r="364">
      <c r="A364" s="10">
        <f>IF(F364="","",COUNTA($F$5:F364))</f>
        <v/>
      </c>
      <c r="B364" s="34" t="n"/>
      <c r="C364" s="34" t="n"/>
      <c r="D364" s="34" t="n"/>
      <c r="E364" s="35" t="n"/>
      <c r="F364" s="35" t="n"/>
      <c r="G364" s="35" t="n"/>
      <c r="H364" s="34" t="n"/>
      <c r="I364" s="34" t="n"/>
      <c r="J364" s="36" t="n"/>
      <c r="K364" s="36" t="n"/>
      <c r="L364" s="34" t="n"/>
      <c r="M364" s="34" t="n"/>
      <c r="N364" s="36">
        <f>IF(K364="","",K364-IF(M364="",0,M364))</f>
        <v/>
      </c>
      <c r="O364" s="37">
        <f>IF(K364="","",K364-TODAY())</f>
        <v/>
      </c>
      <c r="P364" s="10">
        <f>IF(F364="","",IF(K364="","No date",IF(O364&lt;0,"Expired",IF(O364&lt;=30,"Urgent",IF(O364&lt;=90,"Due soon","OK")))))</f>
        <v/>
      </c>
      <c r="Q364" s="34" t="n"/>
      <c r="R364" s="38" t="n"/>
      <c r="S364" s="34" t="n"/>
      <c r="T364" s="35" t="n"/>
      <c r="U364" s="34" t="n"/>
      <c r="V364" s="34">
        <f>IF(F364="","",IF(K364="","",O364+ROW()/100000))</f>
        <v/>
      </c>
    </row>
    <row r="365">
      <c r="A365" s="10">
        <f>IF(F365="","",COUNTA($F$5:F365))</f>
        <v/>
      </c>
      <c r="B365" s="34" t="n"/>
      <c r="C365" s="34" t="n"/>
      <c r="D365" s="34" t="n"/>
      <c r="E365" s="35" t="n"/>
      <c r="F365" s="35" t="n"/>
      <c r="G365" s="35" t="n"/>
      <c r="H365" s="34" t="n"/>
      <c r="I365" s="34" t="n"/>
      <c r="J365" s="36" t="n"/>
      <c r="K365" s="36" t="n"/>
      <c r="L365" s="34" t="n"/>
      <c r="M365" s="34" t="n"/>
      <c r="N365" s="36">
        <f>IF(K365="","",K365-IF(M365="",0,M365))</f>
        <v/>
      </c>
      <c r="O365" s="37">
        <f>IF(K365="","",K365-TODAY())</f>
        <v/>
      </c>
      <c r="P365" s="10">
        <f>IF(F365="","",IF(K365="","No date",IF(O365&lt;0,"Expired",IF(O365&lt;=30,"Urgent",IF(O365&lt;=90,"Due soon","OK")))))</f>
        <v/>
      </c>
      <c r="Q365" s="34" t="n"/>
      <c r="R365" s="38" t="n"/>
      <c r="S365" s="34" t="n"/>
      <c r="T365" s="35" t="n"/>
      <c r="U365" s="34" t="n"/>
      <c r="V365" s="34">
        <f>IF(F365="","",IF(K365="","",O365+ROW()/100000))</f>
        <v/>
      </c>
    </row>
    <row r="366">
      <c r="A366" s="10">
        <f>IF(F366="","",COUNTA($F$5:F366))</f>
        <v/>
      </c>
      <c r="B366" s="34" t="n"/>
      <c r="C366" s="34" t="n"/>
      <c r="D366" s="34" t="n"/>
      <c r="E366" s="35" t="n"/>
      <c r="F366" s="35" t="n"/>
      <c r="G366" s="35" t="n"/>
      <c r="H366" s="34" t="n"/>
      <c r="I366" s="34" t="n"/>
      <c r="J366" s="36" t="n"/>
      <c r="K366" s="36" t="n"/>
      <c r="L366" s="34" t="n"/>
      <c r="M366" s="34" t="n"/>
      <c r="N366" s="36">
        <f>IF(K366="","",K366-IF(M366="",0,M366))</f>
        <v/>
      </c>
      <c r="O366" s="37">
        <f>IF(K366="","",K366-TODAY())</f>
        <v/>
      </c>
      <c r="P366" s="10">
        <f>IF(F366="","",IF(K366="","No date",IF(O366&lt;0,"Expired",IF(O366&lt;=30,"Urgent",IF(O366&lt;=90,"Due soon","OK")))))</f>
        <v/>
      </c>
      <c r="Q366" s="34" t="n"/>
      <c r="R366" s="38" t="n"/>
      <c r="S366" s="34" t="n"/>
      <c r="T366" s="35" t="n"/>
      <c r="U366" s="34" t="n"/>
      <c r="V366" s="34">
        <f>IF(F366="","",IF(K366="","",O366+ROW()/100000))</f>
        <v/>
      </c>
    </row>
    <row r="367">
      <c r="A367" s="10">
        <f>IF(F367="","",COUNTA($F$5:F367))</f>
        <v/>
      </c>
      <c r="B367" s="34" t="n"/>
      <c r="C367" s="34" t="n"/>
      <c r="D367" s="34" t="n"/>
      <c r="E367" s="35" t="n"/>
      <c r="F367" s="35" t="n"/>
      <c r="G367" s="35" t="n"/>
      <c r="H367" s="34" t="n"/>
      <c r="I367" s="34" t="n"/>
      <c r="J367" s="36" t="n"/>
      <c r="K367" s="36" t="n"/>
      <c r="L367" s="34" t="n"/>
      <c r="M367" s="34" t="n"/>
      <c r="N367" s="36">
        <f>IF(K367="","",K367-IF(M367="",0,M367))</f>
        <v/>
      </c>
      <c r="O367" s="37">
        <f>IF(K367="","",K367-TODAY())</f>
        <v/>
      </c>
      <c r="P367" s="10">
        <f>IF(F367="","",IF(K367="","No date",IF(O367&lt;0,"Expired",IF(O367&lt;=30,"Urgent",IF(O367&lt;=90,"Due soon","OK")))))</f>
        <v/>
      </c>
      <c r="Q367" s="34" t="n"/>
      <c r="R367" s="38" t="n"/>
      <c r="S367" s="34" t="n"/>
      <c r="T367" s="35" t="n"/>
      <c r="U367" s="34" t="n"/>
      <c r="V367" s="34">
        <f>IF(F367="","",IF(K367="","",O367+ROW()/100000))</f>
        <v/>
      </c>
    </row>
    <row r="368">
      <c r="A368" s="10">
        <f>IF(F368="","",COUNTA($F$5:F368))</f>
        <v/>
      </c>
      <c r="B368" s="34" t="n"/>
      <c r="C368" s="34" t="n"/>
      <c r="D368" s="34" t="n"/>
      <c r="E368" s="35" t="n"/>
      <c r="F368" s="35" t="n"/>
      <c r="G368" s="35" t="n"/>
      <c r="H368" s="34" t="n"/>
      <c r="I368" s="34" t="n"/>
      <c r="J368" s="36" t="n"/>
      <c r="K368" s="36" t="n"/>
      <c r="L368" s="34" t="n"/>
      <c r="M368" s="34" t="n"/>
      <c r="N368" s="36">
        <f>IF(K368="","",K368-IF(M368="",0,M368))</f>
        <v/>
      </c>
      <c r="O368" s="37">
        <f>IF(K368="","",K368-TODAY())</f>
        <v/>
      </c>
      <c r="P368" s="10">
        <f>IF(F368="","",IF(K368="","No date",IF(O368&lt;0,"Expired",IF(O368&lt;=30,"Urgent",IF(O368&lt;=90,"Due soon","OK")))))</f>
        <v/>
      </c>
      <c r="Q368" s="34" t="n"/>
      <c r="R368" s="38" t="n"/>
      <c r="S368" s="34" t="n"/>
      <c r="T368" s="35" t="n"/>
      <c r="U368" s="34" t="n"/>
      <c r="V368" s="34">
        <f>IF(F368="","",IF(K368="","",O368+ROW()/100000))</f>
        <v/>
      </c>
    </row>
    <row r="369">
      <c r="A369" s="10">
        <f>IF(F369="","",COUNTA($F$5:F369))</f>
        <v/>
      </c>
      <c r="B369" s="34" t="n"/>
      <c r="C369" s="34" t="n"/>
      <c r="D369" s="34" t="n"/>
      <c r="E369" s="35" t="n"/>
      <c r="F369" s="35" t="n"/>
      <c r="G369" s="35" t="n"/>
      <c r="H369" s="34" t="n"/>
      <c r="I369" s="34" t="n"/>
      <c r="J369" s="36" t="n"/>
      <c r="K369" s="36" t="n"/>
      <c r="L369" s="34" t="n"/>
      <c r="M369" s="34" t="n"/>
      <c r="N369" s="36">
        <f>IF(K369="","",K369-IF(M369="",0,M369))</f>
        <v/>
      </c>
      <c r="O369" s="37">
        <f>IF(K369="","",K369-TODAY())</f>
        <v/>
      </c>
      <c r="P369" s="10">
        <f>IF(F369="","",IF(K369="","No date",IF(O369&lt;0,"Expired",IF(O369&lt;=30,"Urgent",IF(O369&lt;=90,"Due soon","OK")))))</f>
        <v/>
      </c>
      <c r="Q369" s="34" t="n"/>
      <c r="R369" s="38" t="n"/>
      <c r="S369" s="34" t="n"/>
      <c r="T369" s="35" t="n"/>
      <c r="U369" s="34" t="n"/>
      <c r="V369" s="34">
        <f>IF(F369="","",IF(K369="","",O369+ROW()/100000))</f>
        <v/>
      </c>
    </row>
    <row r="370">
      <c r="A370" s="10">
        <f>IF(F370="","",COUNTA($F$5:F370))</f>
        <v/>
      </c>
      <c r="B370" s="34" t="n"/>
      <c r="C370" s="34" t="n"/>
      <c r="D370" s="34" t="n"/>
      <c r="E370" s="35" t="n"/>
      <c r="F370" s="35" t="n"/>
      <c r="G370" s="35" t="n"/>
      <c r="H370" s="34" t="n"/>
      <c r="I370" s="34" t="n"/>
      <c r="J370" s="36" t="n"/>
      <c r="K370" s="36" t="n"/>
      <c r="L370" s="34" t="n"/>
      <c r="M370" s="34" t="n"/>
      <c r="N370" s="36">
        <f>IF(K370="","",K370-IF(M370="",0,M370))</f>
        <v/>
      </c>
      <c r="O370" s="37">
        <f>IF(K370="","",K370-TODAY())</f>
        <v/>
      </c>
      <c r="P370" s="10">
        <f>IF(F370="","",IF(K370="","No date",IF(O370&lt;0,"Expired",IF(O370&lt;=30,"Urgent",IF(O370&lt;=90,"Due soon","OK")))))</f>
        <v/>
      </c>
      <c r="Q370" s="34" t="n"/>
      <c r="R370" s="38" t="n"/>
      <c r="S370" s="34" t="n"/>
      <c r="T370" s="35" t="n"/>
      <c r="U370" s="34" t="n"/>
      <c r="V370" s="34">
        <f>IF(F370="","",IF(K370="","",O370+ROW()/100000))</f>
        <v/>
      </c>
    </row>
    <row r="371">
      <c r="A371" s="10">
        <f>IF(F371="","",COUNTA($F$5:F371))</f>
        <v/>
      </c>
      <c r="B371" s="34" t="n"/>
      <c r="C371" s="34" t="n"/>
      <c r="D371" s="34" t="n"/>
      <c r="E371" s="35" t="n"/>
      <c r="F371" s="35" t="n"/>
      <c r="G371" s="35" t="n"/>
      <c r="H371" s="34" t="n"/>
      <c r="I371" s="34" t="n"/>
      <c r="J371" s="36" t="n"/>
      <c r="K371" s="36" t="n"/>
      <c r="L371" s="34" t="n"/>
      <c r="M371" s="34" t="n"/>
      <c r="N371" s="36">
        <f>IF(K371="","",K371-IF(M371="",0,M371))</f>
        <v/>
      </c>
      <c r="O371" s="37">
        <f>IF(K371="","",K371-TODAY())</f>
        <v/>
      </c>
      <c r="P371" s="10">
        <f>IF(F371="","",IF(K371="","No date",IF(O371&lt;0,"Expired",IF(O371&lt;=30,"Urgent",IF(O371&lt;=90,"Due soon","OK")))))</f>
        <v/>
      </c>
      <c r="Q371" s="34" t="n"/>
      <c r="R371" s="38" t="n"/>
      <c r="S371" s="34" t="n"/>
      <c r="T371" s="35" t="n"/>
      <c r="U371" s="34" t="n"/>
      <c r="V371" s="34">
        <f>IF(F371="","",IF(K371="","",O371+ROW()/100000))</f>
        <v/>
      </c>
    </row>
    <row r="372">
      <c r="A372" s="10">
        <f>IF(F372="","",COUNTA($F$5:F372))</f>
        <v/>
      </c>
      <c r="B372" s="34" t="n"/>
      <c r="C372" s="34" t="n"/>
      <c r="D372" s="34" t="n"/>
      <c r="E372" s="35" t="n"/>
      <c r="F372" s="35" t="n"/>
      <c r="G372" s="35" t="n"/>
      <c r="H372" s="34" t="n"/>
      <c r="I372" s="34" t="n"/>
      <c r="J372" s="36" t="n"/>
      <c r="K372" s="36" t="n"/>
      <c r="L372" s="34" t="n"/>
      <c r="M372" s="34" t="n"/>
      <c r="N372" s="36">
        <f>IF(K372="","",K372-IF(M372="",0,M372))</f>
        <v/>
      </c>
      <c r="O372" s="37">
        <f>IF(K372="","",K372-TODAY())</f>
        <v/>
      </c>
      <c r="P372" s="10">
        <f>IF(F372="","",IF(K372="","No date",IF(O372&lt;0,"Expired",IF(O372&lt;=30,"Urgent",IF(O372&lt;=90,"Due soon","OK")))))</f>
        <v/>
      </c>
      <c r="Q372" s="34" t="n"/>
      <c r="R372" s="38" t="n"/>
      <c r="S372" s="34" t="n"/>
      <c r="T372" s="35" t="n"/>
      <c r="U372" s="34" t="n"/>
      <c r="V372" s="34">
        <f>IF(F372="","",IF(K372="","",O372+ROW()/100000))</f>
        <v/>
      </c>
    </row>
    <row r="373">
      <c r="A373" s="10">
        <f>IF(F373="","",COUNTA($F$5:F373))</f>
        <v/>
      </c>
      <c r="B373" s="34" t="n"/>
      <c r="C373" s="34" t="n"/>
      <c r="D373" s="34" t="n"/>
      <c r="E373" s="35" t="n"/>
      <c r="F373" s="35" t="n"/>
      <c r="G373" s="35" t="n"/>
      <c r="H373" s="34" t="n"/>
      <c r="I373" s="34" t="n"/>
      <c r="J373" s="36" t="n"/>
      <c r="K373" s="36" t="n"/>
      <c r="L373" s="34" t="n"/>
      <c r="M373" s="34" t="n"/>
      <c r="N373" s="36">
        <f>IF(K373="","",K373-IF(M373="",0,M373))</f>
        <v/>
      </c>
      <c r="O373" s="37">
        <f>IF(K373="","",K373-TODAY())</f>
        <v/>
      </c>
      <c r="P373" s="10">
        <f>IF(F373="","",IF(K373="","No date",IF(O373&lt;0,"Expired",IF(O373&lt;=30,"Urgent",IF(O373&lt;=90,"Due soon","OK")))))</f>
        <v/>
      </c>
      <c r="Q373" s="34" t="n"/>
      <c r="R373" s="38" t="n"/>
      <c r="S373" s="34" t="n"/>
      <c r="T373" s="35" t="n"/>
      <c r="U373" s="34" t="n"/>
      <c r="V373" s="34">
        <f>IF(F373="","",IF(K373="","",O373+ROW()/100000))</f>
        <v/>
      </c>
    </row>
    <row r="374">
      <c r="A374" s="10">
        <f>IF(F374="","",COUNTA($F$5:F374))</f>
        <v/>
      </c>
      <c r="B374" s="34" t="n"/>
      <c r="C374" s="34" t="n"/>
      <c r="D374" s="34" t="n"/>
      <c r="E374" s="35" t="n"/>
      <c r="F374" s="35" t="n"/>
      <c r="G374" s="35" t="n"/>
      <c r="H374" s="34" t="n"/>
      <c r="I374" s="34" t="n"/>
      <c r="J374" s="36" t="n"/>
      <c r="K374" s="36" t="n"/>
      <c r="L374" s="34" t="n"/>
      <c r="M374" s="34" t="n"/>
      <c r="N374" s="36">
        <f>IF(K374="","",K374-IF(M374="",0,M374))</f>
        <v/>
      </c>
      <c r="O374" s="37">
        <f>IF(K374="","",K374-TODAY())</f>
        <v/>
      </c>
      <c r="P374" s="10">
        <f>IF(F374="","",IF(K374="","No date",IF(O374&lt;0,"Expired",IF(O374&lt;=30,"Urgent",IF(O374&lt;=90,"Due soon","OK")))))</f>
        <v/>
      </c>
      <c r="Q374" s="34" t="n"/>
      <c r="R374" s="38" t="n"/>
      <c r="S374" s="34" t="n"/>
      <c r="T374" s="35" t="n"/>
      <c r="U374" s="34" t="n"/>
      <c r="V374" s="34">
        <f>IF(F374="","",IF(K374="","",O374+ROW()/100000))</f>
        <v/>
      </c>
    </row>
    <row r="375">
      <c r="A375" s="10">
        <f>IF(F375="","",COUNTA($F$5:F375))</f>
        <v/>
      </c>
      <c r="B375" s="34" t="n"/>
      <c r="C375" s="34" t="n"/>
      <c r="D375" s="34" t="n"/>
      <c r="E375" s="35" t="n"/>
      <c r="F375" s="35" t="n"/>
      <c r="G375" s="35" t="n"/>
      <c r="H375" s="34" t="n"/>
      <c r="I375" s="34" t="n"/>
      <c r="J375" s="36" t="n"/>
      <c r="K375" s="36" t="n"/>
      <c r="L375" s="34" t="n"/>
      <c r="M375" s="34" t="n"/>
      <c r="N375" s="36">
        <f>IF(K375="","",K375-IF(M375="",0,M375))</f>
        <v/>
      </c>
      <c r="O375" s="37">
        <f>IF(K375="","",K375-TODAY())</f>
        <v/>
      </c>
      <c r="P375" s="10">
        <f>IF(F375="","",IF(K375="","No date",IF(O375&lt;0,"Expired",IF(O375&lt;=30,"Urgent",IF(O375&lt;=90,"Due soon","OK")))))</f>
        <v/>
      </c>
      <c r="Q375" s="34" t="n"/>
      <c r="R375" s="38" t="n"/>
      <c r="S375" s="34" t="n"/>
      <c r="T375" s="35" t="n"/>
      <c r="U375" s="34" t="n"/>
      <c r="V375" s="34">
        <f>IF(F375="","",IF(K375="","",O375+ROW()/100000))</f>
        <v/>
      </c>
    </row>
    <row r="376">
      <c r="A376" s="10">
        <f>IF(F376="","",COUNTA($F$5:F376))</f>
        <v/>
      </c>
      <c r="B376" s="34" t="n"/>
      <c r="C376" s="34" t="n"/>
      <c r="D376" s="34" t="n"/>
      <c r="E376" s="35" t="n"/>
      <c r="F376" s="35" t="n"/>
      <c r="G376" s="35" t="n"/>
      <c r="H376" s="34" t="n"/>
      <c r="I376" s="34" t="n"/>
      <c r="J376" s="36" t="n"/>
      <c r="K376" s="36" t="n"/>
      <c r="L376" s="34" t="n"/>
      <c r="M376" s="34" t="n"/>
      <c r="N376" s="36">
        <f>IF(K376="","",K376-IF(M376="",0,M376))</f>
        <v/>
      </c>
      <c r="O376" s="37">
        <f>IF(K376="","",K376-TODAY())</f>
        <v/>
      </c>
      <c r="P376" s="10">
        <f>IF(F376="","",IF(K376="","No date",IF(O376&lt;0,"Expired",IF(O376&lt;=30,"Urgent",IF(O376&lt;=90,"Due soon","OK")))))</f>
        <v/>
      </c>
      <c r="Q376" s="34" t="n"/>
      <c r="R376" s="38" t="n"/>
      <c r="S376" s="34" t="n"/>
      <c r="T376" s="35" t="n"/>
      <c r="U376" s="34" t="n"/>
      <c r="V376" s="34">
        <f>IF(F376="","",IF(K376="","",O376+ROW()/100000))</f>
        <v/>
      </c>
    </row>
    <row r="377">
      <c r="A377" s="10">
        <f>IF(F377="","",COUNTA($F$5:F377))</f>
        <v/>
      </c>
      <c r="B377" s="34" t="n"/>
      <c r="C377" s="34" t="n"/>
      <c r="D377" s="34" t="n"/>
      <c r="E377" s="35" t="n"/>
      <c r="F377" s="35" t="n"/>
      <c r="G377" s="35" t="n"/>
      <c r="H377" s="34" t="n"/>
      <c r="I377" s="34" t="n"/>
      <c r="J377" s="36" t="n"/>
      <c r="K377" s="36" t="n"/>
      <c r="L377" s="34" t="n"/>
      <c r="M377" s="34" t="n"/>
      <c r="N377" s="36">
        <f>IF(K377="","",K377-IF(M377="",0,M377))</f>
        <v/>
      </c>
      <c r="O377" s="37">
        <f>IF(K377="","",K377-TODAY())</f>
        <v/>
      </c>
      <c r="P377" s="10">
        <f>IF(F377="","",IF(K377="","No date",IF(O377&lt;0,"Expired",IF(O377&lt;=30,"Urgent",IF(O377&lt;=90,"Due soon","OK")))))</f>
        <v/>
      </c>
      <c r="Q377" s="34" t="n"/>
      <c r="R377" s="38" t="n"/>
      <c r="S377" s="34" t="n"/>
      <c r="T377" s="35" t="n"/>
      <c r="U377" s="34" t="n"/>
      <c r="V377" s="34">
        <f>IF(F377="","",IF(K377="","",O377+ROW()/100000))</f>
        <v/>
      </c>
    </row>
    <row r="378">
      <c r="A378" s="10">
        <f>IF(F378="","",COUNTA($F$5:F378))</f>
        <v/>
      </c>
      <c r="B378" s="34" t="n"/>
      <c r="C378" s="34" t="n"/>
      <c r="D378" s="34" t="n"/>
      <c r="E378" s="35" t="n"/>
      <c r="F378" s="35" t="n"/>
      <c r="G378" s="35" t="n"/>
      <c r="H378" s="34" t="n"/>
      <c r="I378" s="34" t="n"/>
      <c r="J378" s="36" t="n"/>
      <c r="K378" s="36" t="n"/>
      <c r="L378" s="34" t="n"/>
      <c r="M378" s="34" t="n"/>
      <c r="N378" s="36">
        <f>IF(K378="","",K378-IF(M378="",0,M378))</f>
        <v/>
      </c>
      <c r="O378" s="37">
        <f>IF(K378="","",K378-TODAY())</f>
        <v/>
      </c>
      <c r="P378" s="10">
        <f>IF(F378="","",IF(K378="","No date",IF(O378&lt;0,"Expired",IF(O378&lt;=30,"Urgent",IF(O378&lt;=90,"Due soon","OK")))))</f>
        <v/>
      </c>
      <c r="Q378" s="34" t="n"/>
      <c r="R378" s="38" t="n"/>
      <c r="S378" s="34" t="n"/>
      <c r="T378" s="35" t="n"/>
      <c r="U378" s="34" t="n"/>
      <c r="V378" s="34">
        <f>IF(F378="","",IF(K378="","",O378+ROW()/100000))</f>
        <v/>
      </c>
    </row>
    <row r="379">
      <c r="A379" s="10">
        <f>IF(F379="","",COUNTA($F$5:F379))</f>
        <v/>
      </c>
      <c r="B379" s="34" t="n"/>
      <c r="C379" s="34" t="n"/>
      <c r="D379" s="34" t="n"/>
      <c r="E379" s="35" t="n"/>
      <c r="F379" s="35" t="n"/>
      <c r="G379" s="35" t="n"/>
      <c r="H379" s="34" t="n"/>
      <c r="I379" s="34" t="n"/>
      <c r="J379" s="36" t="n"/>
      <c r="K379" s="36" t="n"/>
      <c r="L379" s="34" t="n"/>
      <c r="M379" s="34" t="n"/>
      <c r="N379" s="36">
        <f>IF(K379="","",K379-IF(M379="",0,M379))</f>
        <v/>
      </c>
      <c r="O379" s="37">
        <f>IF(K379="","",K379-TODAY())</f>
        <v/>
      </c>
      <c r="P379" s="10">
        <f>IF(F379="","",IF(K379="","No date",IF(O379&lt;0,"Expired",IF(O379&lt;=30,"Urgent",IF(O379&lt;=90,"Due soon","OK")))))</f>
        <v/>
      </c>
      <c r="Q379" s="34" t="n"/>
      <c r="R379" s="38" t="n"/>
      <c r="S379" s="34" t="n"/>
      <c r="T379" s="35" t="n"/>
      <c r="U379" s="34" t="n"/>
      <c r="V379" s="34">
        <f>IF(F379="","",IF(K379="","",O379+ROW()/100000))</f>
        <v/>
      </c>
    </row>
    <row r="380">
      <c r="A380" s="10">
        <f>IF(F380="","",COUNTA($F$5:F380))</f>
        <v/>
      </c>
      <c r="B380" s="34" t="n"/>
      <c r="C380" s="34" t="n"/>
      <c r="D380" s="34" t="n"/>
      <c r="E380" s="35" t="n"/>
      <c r="F380" s="35" t="n"/>
      <c r="G380" s="35" t="n"/>
      <c r="H380" s="34" t="n"/>
      <c r="I380" s="34" t="n"/>
      <c r="J380" s="36" t="n"/>
      <c r="K380" s="36" t="n"/>
      <c r="L380" s="34" t="n"/>
      <c r="M380" s="34" t="n"/>
      <c r="N380" s="36">
        <f>IF(K380="","",K380-IF(M380="",0,M380))</f>
        <v/>
      </c>
      <c r="O380" s="37">
        <f>IF(K380="","",K380-TODAY())</f>
        <v/>
      </c>
      <c r="P380" s="10">
        <f>IF(F380="","",IF(K380="","No date",IF(O380&lt;0,"Expired",IF(O380&lt;=30,"Urgent",IF(O380&lt;=90,"Due soon","OK")))))</f>
        <v/>
      </c>
      <c r="Q380" s="34" t="n"/>
      <c r="R380" s="38" t="n"/>
      <c r="S380" s="34" t="n"/>
      <c r="T380" s="35" t="n"/>
      <c r="U380" s="34" t="n"/>
      <c r="V380" s="34">
        <f>IF(F380="","",IF(K380="","",O380+ROW()/100000))</f>
        <v/>
      </c>
    </row>
    <row r="381">
      <c r="A381" s="10">
        <f>IF(F381="","",COUNTA($F$5:F381))</f>
        <v/>
      </c>
      <c r="B381" s="34" t="n"/>
      <c r="C381" s="34" t="n"/>
      <c r="D381" s="34" t="n"/>
      <c r="E381" s="35" t="n"/>
      <c r="F381" s="35" t="n"/>
      <c r="G381" s="35" t="n"/>
      <c r="H381" s="34" t="n"/>
      <c r="I381" s="34" t="n"/>
      <c r="J381" s="36" t="n"/>
      <c r="K381" s="36" t="n"/>
      <c r="L381" s="34" t="n"/>
      <c r="M381" s="34" t="n"/>
      <c r="N381" s="36">
        <f>IF(K381="","",K381-IF(M381="",0,M381))</f>
        <v/>
      </c>
      <c r="O381" s="37">
        <f>IF(K381="","",K381-TODAY())</f>
        <v/>
      </c>
      <c r="P381" s="10">
        <f>IF(F381="","",IF(K381="","No date",IF(O381&lt;0,"Expired",IF(O381&lt;=30,"Urgent",IF(O381&lt;=90,"Due soon","OK")))))</f>
        <v/>
      </c>
      <c r="Q381" s="34" t="n"/>
      <c r="R381" s="38" t="n"/>
      <c r="S381" s="34" t="n"/>
      <c r="T381" s="35" t="n"/>
      <c r="U381" s="34" t="n"/>
      <c r="V381" s="34">
        <f>IF(F381="","",IF(K381="","",O381+ROW()/100000))</f>
        <v/>
      </c>
    </row>
    <row r="382">
      <c r="A382" s="10">
        <f>IF(F382="","",COUNTA($F$5:F382))</f>
        <v/>
      </c>
      <c r="B382" s="34" t="n"/>
      <c r="C382" s="34" t="n"/>
      <c r="D382" s="34" t="n"/>
      <c r="E382" s="35" t="n"/>
      <c r="F382" s="35" t="n"/>
      <c r="G382" s="35" t="n"/>
      <c r="H382" s="34" t="n"/>
      <c r="I382" s="34" t="n"/>
      <c r="J382" s="36" t="n"/>
      <c r="K382" s="36" t="n"/>
      <c r="L382" s="34" t="n"/>
      <c r="M382" s="34" t="n"/>
      <c r="N382" s="36">
        <f>IF(K382="","",K382-IF(M382="",0,M382))</f>
        <v/>
      </c>
      <c r="O382" s="37">
        <f>IF(K382="","",K382-TODAY())</f>
        <v/>
      </c>
      <c r="P382" s="10">
        <f>IF(F382="","",IF(K382="","No date",IF(O382&lt;0,"Expired",IF(O382&lt;=30,"Urgent",IF(O382&lt;=90,"Due soon","OK")))))</f>
        <v/>
      </c>
      <c r="Q382" s="34" t="n"/>
      <c r="R382" s="38" t="n"/>
      <c r="S382" s="34" t="n"/>
      <c r="T382" s="35" t="n"/>
      <c r="U382" s="34" t="n"/>
      <c r="V382" s="34">
        <f>IF(F382="","",IF(K382="","",O382+ROW()/100000))</f>
        <v/>
      </c>
    </row>
    <row r="383">
      <c r="A383" s="10">
        <f>IF(F383="","",COUNTA($F$5:F383))</f>
        <v/>
      </c>
      <c r="B383" s="34" t="n"/>
      <c r="C383" s="34" t="n"/>
      <c r="D383" s="34" t="n"/>
      <c r="E383" s="35" t="n"/>
      <c r="F383" s="35" t="n"/>
      <c r="G383" s="35" t="n"/>
      <c r="H383" s="34" t="n"/>
      <c r="I383" s="34" t="n"/>
      <c r="J383" s="36" t="n"/>
      <c r="K383" s="36" t="n"/>
      <c r="L383" s="34" t="n"/>
      <c r="M383" s="34" t="n"/>
      <c r="N383" s="36">
        <f>IF(K383="","",K383-IF(M383="",0,M383))</f>
        <v/>
      </c>
      <c r="O383" s="37">
        <f>IF(K383="","",K383-TODAY())</f>
        <v/>
      </c>
      <c r="P383" s="10">
        <f>IF(F383="","",IF(K383="","No date",IF(O383&lt;0,"Expired",IF(O383&lt;=30,"Urgent",IF(O383&lt;=90,"Due soon","OK")))))</f>
        <v/>
      </c>
      <c r="Q383" s="34" t="n"/>
      <c r="R383" s="38" t="n"/>
      <c r="S383" s="34" t="n"/>
      <c r="T383" s="35" t="n"/>
      <c r="U383" s="34" t="n"/>
      <c r="V383" s="34">
        <f>IF(F383="","",IF(K383="","",O383+ROW()/100000))</f>
        <v/>
      </c>
    </row>
    <row r="384">
      <c r="A384" s="10">
        <f>IF(F384="","",COUNTA($F$5:F384))</f>
        <v/>
      </c>
      <c r="B384" s="34" t="n"/>
      <c r="C384" s="34" t="n"/>
      <c r="D384" s="34" t="n"/>
      <c r="E384" s="35" t="n"/>
      <c r="F384" s="35" t="n"/>
      <c r="G384" s="35" t="n"/>
      <c r="H384" s="34" t="n"/>
      <c r="I384" s="34" t="n"/>
      <c r="J384" s="36" t="n"/>
      <c r="K384" s="36" t="n"/>
      <c r="L384" s="34" t="n"/>
      <c r="M384" s="34" t="n"/>
      <c r="N384" s="36">
        <f>IF(K384="","",K384-IF(M384="",0,M384))</f>
        <v/>
      </c>
      <c r="O384" s="37">
        <f>IF(K384="","",K384-TODAY())</f>
        <v/>
      </c>
      <c r="P384" s="10">
        <f>IF(F384="","",IF(K384="","No date",IF(O384&lt;0,"Expired",IF(O384&lt;=30,"Urgent",IF(O384&lt;=90,"Due soon","OK")))))</f>
        <v/>
      </c>
      <c r="Q384" s="34" t="n"/>
      <c r="R384" s="38" t="n"/>
      <c r="S384" s="34" t="n"/>
      <c r="T384" s="35" t="n"/>
      <c r="U384" s="34" t="n"/>
      <c r="V384" s="34">
        <f>IF(F384="","",IF(K384="","",O384+ROW()/100000))</f>
        <v/>
      </c>
    </row>
    <row r="385">
      <c r="A385" s="10">
        <f>IF(F385="","",COUNTA($F$5:F385))</f>
        <v/>
      </c>
      <c r="B385" s="34" t="n"/>
      <c r="C385" s="34" t="n"/>
      <c r="D385" s="34" t="n"/>
      <c r="E385" s="35" t="n"/>
      <c r="F385" s="35" t="n"/>
      <c r="G385" s="35" t="n"/>
      <c r="H385" s="34" t="n"/>
      <c r="I385" s="34" t="n"/>
      <c r="J385" s="36" t="n"/>
      <c r="K385" s="36" t="n"/>
      <c r="L385" s="34" t="n"/>
      <c r="M385" s="34" t="n"/>
      <c r="N385" s="36">
        <f>IF(K385="","",K385-IF(M385="",0,M385))</f>
        <v/>
      </c>
      <c r="O385" s="37">
        <f>IF(K385="","",K385-TODAY())</f>
        <v/>
      </c>
      <c r="P385" s="10">
        <f>IF(F385="","",IF(K385="","No date",IF(O385&lt;0,"Expired",IF(O385&lt;=30,"Urgent",IF(O385&lt;=90,"Due soon","OK")))))</f>
        <v/>
      </c>
      <c r="Q385" s="34" t="n"/>
      <c r="R385" s="38" t="n"/>
      <c r="S385" s="34" t="n"/>
      <c r="T385" s="35" t="n"/>
      <c r="U385" s="34" t="n"/>
      <c r="V385" s="34">
        <f>IF(F385="","",IF(K385="","",O385+ROW()/100000))</f>
        <v/>
      </c>
    </row>
    <row r="386">
      <c r="A386" s="10">
        <f>IF(F386="","",COUNTA($F$5:F386))</f>
        <v/>
      </c>
      <c r="B386" s="34" t="n"/>
      <c r="C386" s="34" t="n"/>
      <c r="D386" s="34" t="n"/>
      <c r="E386" s="35" t="n"/>
      <c r="F386" s="35" t="n"/>
      <c r="G386" s="35" t="n"/>
      <c r="H386" s="34" t="n"/>
      <c r="I386" s="34" t="n"/>
      <c r="J386" s="36" t="n"/>
      <c r="K386" s="36" t="n"/>
      <c r="L386" s="34" t="n"/>
      <c r="M386" s="34" t="n"/>
      <c r="N386" s="36">
        <f>IF(K386="","",K386-IF(M386="",0,M386))</f>
        <v/>
      </c>
      <c r="O386" s="37">
        <f>IF(K386="","",K386-TODAY())</f>
        <v/>
      </c>
      <c r="P386" s="10">
        <f>IF(F386="","",IF(K386="","No date",IF(O386&lt;0,"Expired",IF(O386&lt;=30,"Urgent",IF(O386&lt;=90,"Due soon","OK")))))</f>
        <v/>
      </c>
      <c r="Q386" s="34" t="n"/>
      <c r="R386" s="38" t="n"/>
      <c r="S386" s="34" t="n"/>
      <c r="T386" s="35" t="n"/>
      <c r="U386" s="34" t="n"/>
      <c r="V386" s="34">
        <f>IF(F386="","",IF(K386="","",O386+ROW()/100000))</f>
        <v/>
      </c>
    </row>
    <row r="387">
      <c r="A387" s="10">
        <f>IF(F387="","",COUNTA($F$5:F387))</f>
        <v/>
      </c>
      <c r="B387" s="34" t="n"/>
      <c r="C387" s="34" t="n"/>
      <c r="D387" s="34" t="n"/>
      <c r="E387" s="35" t="n"/>
      <c r="F387" s="35" t="n"/>
      <c r="G387" s="35" t="n"/>
      <c r="H387" s="34" t="n"/>
      <c r="I387" s="34" t="n"/>
      <c r="J387" s="36" t="n"/>
      <c r="K387" s="36" t="n"/>
      <c r="L387" s="34" t="n"/>
      <c r="M387" s="34" t="n"/>
      <c r="N387" s="36">
        <f>IF(K387="","",K387-IF(M387="",0,M387))</f>
        <v/>
      </c>
      <c r="O387" s="37">
        <f>IF(K387="","",K387-TODAY())</f>
        <v/>
      </c>
      <c r="P387" s="10">
        <f>IF(F387="","",IF(K387="","No date",IF(O387&lt;0,"Expired",IF(O387&lt;=30,"Urgent",IF(O387&lt;=90,"Due soon","OK")))))</f>
        <v/>
      </c>
      <c r="Q387" s="34" t="n"/>
      <c r="R387" s="38" t="n"/>
      <c r="S387" s="34" t="n"/>
      <c r="T387" s="35" t="n"/>
      <c r="U387" s="34" t="n"/>
      <c r="V387" s="34">
        <f>IF(F387="","",IF(K387="","",O387+ROW()/100000))</f>
        <v/>
      </c>
    </row>
    <row r="388">
      <c r="A388" s="10">
        <f>IF(F388="","",COUNTA($F$5:F388))</f>
        <v/>
      </c>
      <c r="B388" s="34" t="n"/>
      <c r="C388" s="34" t="n"/>
      <c r="D388" s="34" t="n"/>
      <c r="E388" s="35" t="n"/>
      <c r="F388" s="35" t="n"/>
      <c r="G388" s="35" t="n"/>
      <c r="H388" s="34" t="n"/>
      <c r="I388" s="34" t="n"/>
      <c r="J388" s="36" t="n"/>
      <c r="K388" s="36" t="n"/>
      <c r="L388" s="34" t="n"/>
      <c r="M388" s="34" t="n"/>
      <c r="N388" s="36">
        <f>IF(K388="","",K388-IF(M388="",0,M388))</f>
        <v/>
      </c>
      <c r="O388" s="37">
        <f>IF(K388="","",K388-TODAY())</f>
        <v/>
      </c>
      <c r="P388" s="10">
        <f>IF(F388="","",IF(K388="","No date",IF(O388&lt;0,"Expired",IF(O388&lt;=30,"Urgent",IF(O388&lt;=90,"Due soon","OK")))))</f>
        <v/>
      </c>
      <c r="Q388" s="34" t="n"/>
      <c r="R388" s="38" t="n"/>
      <c r="S388" s="34" t="n"/>
      <c r="T388" s="35" t="n"/>
      <c r="U388" s="34" t="n"/>
      <c r="V388" s="34">
        <f>IF(F388="","",IF(K388="","",O388+ROW()/100000))</f>
        <v/>
      </c>
    </row>
    <row r="389">
      <c r="A389" s="10">
        <f>IF(F389="","",COUNTA($F$5:F389))</f>
        <v/>
      </c>
      <c r="B389" s="34" t="n"/>
      <c r="C389" s="34" t="n"/>
      <c r="D389" s="34" t="n"/>
      <c r="E389" s="35" t="n"/>
      <c r="F389" s="35" t="n"/>
      <c r="G389" s="35" t="n"/>
      <c r="H389" s="34" t="n"/>
      <c r="I389" s="34" t="n"/>
      <c r="J389" s="36" t="n"/>
      <c r="K389" s="36" t="n"/>
      <c r="L389" s="34" t="n"/>
      <c r="M389" s="34" t="n"/>
      <c r="N389" s="36">
        <f>IF(K389="","",K389-IF(M389="",0,M389))</f>
        <v/>
      </c>
      <c r="O389" s="37">
        <f>IF(K389="","",K389-TODAY())</f>
        <v/>
      </c>
      <c r="P389" s="10">
        <f>IF(F389="","",IF(K389="","No date",IF(O389&lt;0,"Expired",IF(O389&lt;=30,"Urgent",IF(O389&lt;=90,"Due soon","OK")))))</f>
        <v/>
      </c>
      <c r="Q389" s="34" t="n"/>
      <c r="R389" s="38" t="n"/>
      <c r="S389" s="34" t="n"/>
      <c r="T389" s="35" t="n"/>
      <c r="U389" s="34" t="n"/>
      <c r="V389" s="34">
        <f>IF(F389="","",IF(K389="","",O389+ROW()/100000))</f>
        <v/>
      </c>
    </row>
    <row r="390">
      <c r="A390" s="10">
        <f>IF(F390="","",COUNTA($F$5:F390))</f>
        <v/>
      </c>
      <c r="B390" s="34" t="n"/>
      <c r="C390" s="34" t="n"/>
      <c r="D390" s="34" t="n"/>
      <c r="E390" s="35" t="n"/>
      <c r="F390" s="35" t="n"/>
      <c r="G390" s="35" t="n"/>
      <c r="H390" s="34" t="n"/>
      <c r="I390" s="34" t="n"/>
      <c r="J390" s="36" t="n"/>
      <c r="K390" s="36" t="n"/>
      <c r="L390" s="34" t="n"/>
      <c r="M390" s="34" t="n"/>
      <c r="N390" s="36">
        <f>IF(K390="","",K390-IF(M390="",0,M390))</f>
        <v/>
      </c>
      <c r="O390" s="37">
        <f>IF(K390="","",K390-TODAY())</f>
        <v/>
      </c>
      <c r="P390" s="10">
        <f>IF(F390="","",IF(K390="","No date",IF(O390&lt;0,"Expired",IF(O390&lt;=30,"Urgent",IF(O390&lt;=90,"Due soon","OK")))))</f>
        <v/>
      </c>
      <c r="Q390" s="34" t="n"/>
      <c r="R390" s="38" t="n"/>
      <c r="S390" s="34" t="n"/>
      <c r="T390" s="35" t="n"/>
      <c r="U390" s="34" t="n"/>
      <c r="V390" s="34">
        <f>IF(F390="","",IF(K390="","",O390+ROW()/100000))</f>
        <v/>
      </c>
    </row>
    <row r="391">
      <c r="A391" s="10">
        <f>IF(F391="","",COUNTA($F$5:F391))</f>
        <v/>
      </c>
      <c r="B391" s="34" t="n"/>
      <c r="C391" s="34" t="n"/>
      <c r="D391" s="34" t="n"/>
      <c r="E391" s="35" t="n"/>
      <c r="F391" s="35" t="n"/>
      <c r="G391" s="35" t="n"/>
      <c r="H391" s="34" t="n"/>
      <c r="I391" s="34" t="n"/>
      <c r="J391" s="36" t="n"/>
      <c r="K391" s="36" t="n"/>
      <c r="L391" s="34" t="n"/>
      <c r="M391" s="34" t="n"/>
      <c r="N391" s="36">
        <f>IF(K391="","",K391-IF(M391="",0,M391))</f>
        <v/>
      </c>
      <c r="O391" s="37">
        <f>IF(K391="","",K391-TODAY())</f>
        <v/>
      </c>
      <c r="P391" s="10">
        <f>IF(F391="","",IF(K391="","No date",IF(O391&lt;0,"Expired",IF(O391&lt;=30,"Urgent",IF(O391&lt;=90,"Due soon","OK")))))</f>
        <v/>
      </c>
      <c r="Q391" s="34" t="n"/>
      <c r="R391" s="38" t="n"/>
      <c r="S391" s="34" t="n"/>
      <c r="T391" s="35" t="n"/>
      <c r="U391" s="34" t="n"/>
      <c r="V391" s="34">
        <f>IF(F391="","",IF(K391="","",O391+ROW()/100000))</f>
        <v/>
      </c>
    </row>
    <row r="392">
      <c r="A392" s="10">
        <f>IF(F392="","",COUNTA($F$5:F392))</f>
        <v/>
      </c>
      <c r="B392" s="34" t="n"/>
      <c r="C392" s="34" t="n"/>
      <c r="D392" s="34" t="n"/>
      <c r="E392" s="35" t="n"/>
      <c r="F392" s="35" t="n"/>
      <c r="G392" s="35" t="n"/>
      <c r="H392" s="34" t="n"/>
      <c r="I392" s="34" t="n"/>
      <c r="J392" s="36" t="n"/>
      <c r="K392" s="36" t="n"/>
      <c r="L392" s="34" t="n"/>
      <c r="M392" s="34" t="n"/>
      <c r="N392" s="36">
        <f>IF(K392="","",K392-IF(M392="",0,M392))</f>
        <v/>
      </c>
      <c r="O392" s="37">
        <f>IF(K392="","",K392-TODAY())</f>
        <v/>
      </c>
      <c r="P392" s="10">
        <f>IF(F392="","",IF(K392="","No date",IF(O392&lt;0,"Expired",IF(O392&lt;=30,"Urgent",IF(O392&lt;=90,"Due soon","OK")))))</f>
        <v/>
      </c>
      <c r="Q392" s="34" t="n"/>
      <c r="R392" s="38" t="n"/>
      <c r="S392" s="34" t="n"/>
      <c r="T392" s="35" t="n"/>
      <c r="U392" s="34" t="n"/>
      <c r="V392" s="34">
        <f>IF(F392="","",IF(K392="","",O392+ROW()/100000))</f>
        <v/>
      </c>
    </row>
    <row r="393">
      <c r="A393" s="10">
        <f>IF(F393="","",COUNTA($F$5:F393))</f>
        <v/>
      </c>
      <c r="B393" s="34" t="n"/>
      <c r="C393" s="34" t="n"/>
      <c r="D393" s="34" t="n"/>
      <c r="E393" s="35" t="n"/>
      <c r="F393" s="35" t="n"/>
      <c r="G393" s="35" t="n"/>
      <c r="H393" s="34" t="n"/>
      <c r="I393" s="34" t="n"/>
      <c r="J393" s="36" t="n"/>
      <c r="K393" s="36" t="n"/>
      <c r="L393" s="34" t="n"/>
      <c r="M393" s="34" t="n"/>
      <c r="N393" s="36">
        <f>IF(K393="","",K393-IF(M393="",0,M393))</f>
        <v/>
      </c>
      <c r="O393" s="37">
        <f>IF(K393="","",K393-TODAY())</f>
        <v/>
      </c>
      <c r="P393" s="10">
        <f>IF(F393="","",IF(K393="","No date",IF(O393&lt;0,"Expired",IF(O393&lt;=30,"Urgent",IF(O393&lt;=90,"Due soon","OK")))))</f>
        <v/>
      </c>
      <c r="Q393" s="34" t="n"/>
      <c r="R393" s="38" t="n"/>
      <c r="S393" s="34" t="n"/>
      <c r="T393" s="35" t="n"/>
      <c r="U393" s="34" t="n"/>
      <c r="V393" s="34">
        <f>IF(F393="","",IF(K393="","",O393+ROW()/100000))</f>
        <v/>
      </c>
    </row>
    <row r="394">
      <c r="A394" s="10">
        <f>IF(F394="","",COUNTA($F$5:F394))</f>
        <v/>
      </c>
      <c r="B394" s="34" t="n"/>
      <c r="C394" s="34" t="n"/>
      <c r="D394" s="34" t="n"/>
      <c r="E394" s="35" t="n"/>
      <c r="F394" s="35" t="n"/>
      <c r="G394" s="35" t="n"/>
      <c r="H394" s="34" t="n"/>
      <c r="I394" s="34" t="n"/>
      <c r="J394" s="36" t="n"/>
      <c r="K394" s="36" t="n"/>
      <c r="L394" s="34" t="n"/>
      <c r="M394" s="34" t="n"/>
      <c r="N394" s="36">
        <f>IF(K394="","",K394-IF(M394="",0,M394))</f>
        <v/>
      </c>
      <c r="O394" s="37">
        <f>IF(K394="","",K394-TODAY())</f>
        <v/>
      </c>
      <c r="P394" s="10">
        <f>IF(F394="","",IF(K394="","No date",IF(O394&lt;0,"Expired",IF(O394&lt;=30,"Urgent",IF(O394&lt;=90,"Due soon","OK")))))</f>
        <v/>
      </c>
      <c r="Q394" s="34" t="n"/>
      <c r="R394" s="38" t="n"/>
      <c r="S394" s="34" t="n"/>
      <c r="T394" s="35" t="n"/>
      <c r="U394" s="34" t="n"/>
      <c r="V394" s="34">
        <f>IF(F394="","",IF(K394="","",O394+ROW()/100000))</f>
        <v/>
      </c>
    </row>
    <row r="395">
      <c r="A395" s="10">
        <f>IF(F395="","",COUNTA($F$5:F395))</f>
        <v/>
      </c>
      <c r="B395" s="34" t="n"/>
      <c r="C395" s="34" t="n"/>
      <c r="D395" s="34" t="n"/>
      <c r="E395" s="35" t="n"/>
      <c r="F395" s="35" t="n"/>
      <c r="G395" s="35" t="n"/>
      <c r="H395" s="34" t="n"/>
      <c r="I395" s="34" t="n"/>
      <c r="J395" s="36" t="n"/>
      <c r="K395" s="36" t="n"/>
      <c r="L395" s="34" t="n"/>
      <c r="M395" s="34" t="n"/>
      <c r="N395" s="36">
        <f>IF(K395="","",K395-IF(M395="",0,M395))</f>
        <v/>
      </c>
      <c r="O395" s="37">
        <f>IF(K395="","",K395-TODAY())</f>
        <v/>
      </c>
      <c r="P395" s="10">
        <f>IF(F395="","",IF(K395="","No date",IF(O395&lt;0,"Expired",IF(O395&lt;=30,"Urgent",IF(O395&lt;=90,"Due soon","OK")))))</f>
        <v/>
      </c>
      <c r="Q395" s="34" t="n"/>
      <c r="R395" s="38" t="n"/>
      <c r="S395" s="34" t="n"/>
      <c r="T395" s="35" t="n"/>
      <c r="U395" s="34" t="n"/>
      <c r="V395" s="34">
        <f>IF(F395="","",IF(K395="","",O395+ROW()/100000))</f>
        <v/>
      </c>
    </row>
    <row r="396">
      <c r="A396" s="10">
        <f>IF(F396="","",COUNTA($F$5:F396))</f>
        <v/>
      </c>
      <c r="B396" s="34" t="n"/>
      <c r="C396" s="34" t="n"/>
      <c r="D396" s="34" t="n"/>
      <c r="E396" s="35" t="n"/>
      <c r="F396" s="35" t="n"/>
      <c r="G396" s="35" t="n"/>
      <c r="H396" s="34" t="n"/>
      <c r="I396" s="34" t="n"/>
      <c r="J396" s="36" t="n"/>
      <c r="K396" s="36" t="n"/>
      <c r="L396" s="34" t="n"/>
      <c r="M396" s="34" t="n"/>
      <c r="N396" s="36">
        <f>IF(K396="","",K396-IF(M396="",0,M396))</f>
        <v/>
      </c>
      <c r="O396" s="37">
        <f>IF(K396="","",K396-TODAY())</f>
        <v/>
      </c>
      <c r="P396" s="10">
        <f>IF(F396="","",IF(K396="","No date",IF(O396&lt;0,"Expired",IF(O396&lt;=30,"Urgent",IF(O396&lt;=90,"Due soon","OK")))))</f>
        <v/>
      </c>
      <c r="Q396" s="34" t="n"/>
      <c r="R396" s="38" t="n"/>
      <c r="S396" s="34" t="n"/>
      <c r="T396" s="35" t="n"/>
      <c r="U396" s="34" t="n"/>
      <c r="V396" s="34">
        <f>IF(F396="","",IF(K396="","",O396+ROW()/100000))</f>
        <v/>
      </c>
    </row>
    <row r="397">
      <c r="A397" s="10">
        <f>IF(F397="","",COUNTA($F$5:F397))</f>
        <v/>
      </c>
      <c r="B397" s="34" t="n"/>
      <c r="C397" s="34" t="n"/>
      <c r="D397" s="34" t="n"/>
      <c r="E397" s="35" t="n"/>
      <c r="F397" s="35" t="n"/>
      <c r="G397" s="35" t="n"/>
      <c r="H397" s="34" t="n"/>
      <c r="I397" s="34" t="n"/>
      <c r="J397" s="36" t="n"/>
      <c r="K397" s="36" t="n"/>
      <c r="L397" s="34" t="n"/>
      <c r="M397" s="34" t="n"/>
      <c r="N397" s="36">
        <f>IF(K397="","",K397-IF(M397="",0,M397))</f>
        <v/>
      </c>
      <c r="O397" s="37">
        <f>IF(K397="","",K397-TODAY())</f>
        <v/>
      </c>
      <c r="P397" s="10">
        <f>IF(F397="","",IF(K397="","No date",IF(O397&lt;0,"Expired",IF(O397&lt;=30,"Urgent",IF(O397&lt;=90,"Due soon","OK")))))</f>
        <v/>
      </c>
      <c r="Q397" s="34" t="n"/>
      <c r="R397" s="38" t="n"/>
      <c r="S397" s="34" t="n"/>
      <c r="T397" s="35" t="n"/>
      <c r="U397" s="34" t="n"/>
      <c r="V397" s="34">
        <f>IF(F397="","",IF(K397="","",O397+ROW()/100000))</f>
        <v/>
      </c>
    </row>
    <row r="398">
      <c r="A398" s="10">
        <f>IF(F398="","",COUNTA($F$5:F398))</f>
        <v/>
      </c>
      <c r="B398" s="34" t="n"/>
      <c r="C398" s="34" t="n"/>
      <c r="D398" s="34" t="n"/>
      <c r="E398" s="35" t="n"/>
      <c r="F398" s="35" t="n"/>
      <c r="G398" s="35" t="n"/>
      <c r="H398" s="34" t="n"/>
      <c r="I398" s="34" t="n"/>
      <c r="J398" s="36" t="n"/>
      <c r="K398" s="36" t="n"/>
      <c r="L398" s="34" t="n"/>
      <c r="M398" s="34" t="n"/>
      <c r="N398" s="36">
        <f>IF(K398="","",K398-IF(M398="",0,M398))</f>
        <v/>
      </c>
      <c r="O398" s="37">
        <f>IF(K398="","",K398-TODAY())</f>
        <v/>
      </c>
      <c r="P398" s="10">
        <f>IF(F398="","",IF(K398="","No date",IF(O398&lt;0,"Expired",IF(O398&lt;=30,"Urgent",IF(O398&lt;=90,"Due soon","OK")))))</f>
        <v/>
      </c>
      <c r="Q398" s="34" t="n"/>
      <c r="R398" s="38" t="n"/>
      <c r="S398" s="34" t="n"/>
      <c r="T398" s="35" t="n"/>
      <c r="U398" s="34" t="n"/>
      <c r="V398" s="34">
        <f>IF(F398="","",IF(K398="","",O398+ROW()/100000))</f>
        <v/>
      </c>
    </row>
    <row r="399">
      <c r="A399" s="10">
        <f>IF(F399="","",COUNTA($F$5:F399))</f>
        <v/>
      </c>
      <c r="B399" s="34" t="n"/>
      <c r="C399" s="34" t="n"/>
      <c r="D399" s="34" t="n"/>
      <c r="E399" s="35" t="n"/>
      <c r="F399" s="35" t="n"/>
      <c r="G399" s="35" t="n"/>
      <c r="H399" s="34" t="n"/>
      <c r="I399" s="34" t="n"/>
      <c r="J399" s="36" t="n"/>
      <c r="K399" s="36" t="n"/>
      <c r="L399" s="34" t="n"/>
      <c r="M399" s="34" t="n"/>
      <c r="N399" s="36">
        <f>IF(K399="","",K399-IF(M399="",0,M399))</f>
        <v/>
      </c>
      <c r="O399" s="37">
        <f>IF(K399="","",K399-TODAY())</f>
        <v/>
      </c>
      <c r="P399" s="10">
        <f>IF(F399="","",IF(K399="","No date",IF(O399&lt;0,"Expired",IF(O399&lt;=30,"Urgent",IF(O399&lt;=90,"Due soon","OK")))))</f>
        <v/>
      </c>
      <c r="Q399" s="34" t="n"/>
      <c r="R399" s="38" t="n"/>
      <c r="S399" s="34" t="n"/>
      <c r="T399" s="35" t="n"/>
      <c r="U399" s="34" t="n"/>
      <c r="V399" s="34">
        <f>IF(F399="","",IF(K399="","",O399+ROW()/100000))</f>
        <v/>
      </c>
    </row>
    <row r="400">
      <c r="A400" s="10">
        <f>IF(F400="","",COUNTA($F$5:F400))</f>
        <v/>
      </c>
      <c r="B400" s="34" t="n"/>
      <c r="C400" s="34" t="n"/>
      <c r="D400" s="34" t="n"/>
      <c r="E400" s="35" t="n"/>
      <c r="F400" s="35" t="n"/>
      <c r="G400" s="35" t="n"/>
      <c r="H400" s="34" t="n"/>
      <c r="I400" s="34" t="n"/>
      <c r="J400" s="36" t="n"/>
      <c r="K400" s="36" t="n"/>
      <c r="L400" s="34" t="n"/>
      <c r="M400" s="34" t="n"/>
      <c r="N400" s="36">
        <f>IF(K400="","",K400-IF(M400="",0,M400))</f>
        <v/>
      </c>
      <c r="O400" s="37">
        <f>IF(K400="","",K400-TODAY())</f>
        <v/>
      </c>
      <c r="P400" s="10">
        <f>IF(F400="","",IF(K400="","No date",IF(O400&lt;0,"Expired",IF(O400&lt;=30,"Urgent",IF(O400&lt;=90,"Due soon","OK")))))</f>
        <v/>
      </c>
      <c r="Q400" s="34" t="n"/>
      <c r="R400" s="38" t="n"/>
      <c r="S400" s="34" t="n"/>
      <c r="T400" s="35" t="n"/>
      <c r="U400" s="34" t="n"/>
      <c r="V400" s="34">
        <f>IF(F400="","",IF(K400="","",O400+ROW()/100000))</f>
        <v/>
      </c>
    </row>
    <row r="401">
      <c r="A401" s="10">
        <f>IF(F401="","",COUNTA($F$5:F401))</f>
        <v/>
      </c>
      <c r="B401" s="34" t="n"/>
      <c r="C401" s="34" t="n"/>
      <c r="D401" s="34" t="n"/>
      <c r="E401" s="35" t="n"/>
      <c r="F401" s="35" t="n"/>
      <c r="G401" s="35" t="n"/>
      <c r="H401" s="34" t="n"/>
      <c r="I401" s="34" t="n"/>
      <c r="J401" s="36" t="n"/>
      <c r="K401" s="36" t="n"/>
      <c r="L401" s="34" t="n"/>
      <c r="M401" s="34" t="n"/>
      <c r="N401" s="36">
        <f>IF(K401="","",K401-IF(M401="",0,M401))</f>
        <v/>
      </c>
      <c r="O401" s="37">
        <f>IF(K401="","",K401-TODAY())</f>
        <v/>
      </c>
      <c r="P401" s="10">
        <f>IF(F401="","",IF(K401="","No date",IF(O401&lt;0,"Expired",IF(O401&lt;=30,"Urgent",IF(O401&lt;=90,"Due soon","OK")))))</f>
        <v/>
      </c>
      <c r="Q401" s="34" t="n"/>
      <c r="R401" s="38" t="n"/>
      <c r="S401" s="34" t="n"/>
      <c r="T401" s="35" t="n"/>
      <c r="U401" s="34" t="n"/>
      <c r="V401" s="34">
        <f>IF(F401="","",IF(K401="","",O401+ROW()/100000))</f>
        <v/>
      </c>
    </row>
    <row r="402">
      <c r="A402" s="10">
        <f>IF(F402="","",COUNTA($F$5:F402))</f>
        <v/>
      </c>
      <c r="B402" s="34" t="n"/>
      <c r="C402" s="34" t="n"/>
      <c r="D402" s="34" t="n"/>
      <c r="E402" s="35" t="n"/>
      <c r="F402" s="35" t="n"/>
      <c r="G402" s="35" t="n"/>
      <c r="H402" s="34" t="n"/>
      <c r="I402" s="34" t="n"/>
      <c r="J402" s="36" t="n"/>
      <c r="K402" s="36" t="n"/>
      <c r="L402" s="34" t="n"/>
      <c r="M402" s="34" t="n"/>
      <c r="N402" s="36">
        <f>IF(K402="","",K402-IF(M402="",0,M402))</f>
        <v/>
      </c>
      <c r="O402" s="37">
        <f>IF(K402="","",K402-TODAY())</f>
        <v/>
      </c>
      <c r="P402" s="10">
        <f>IF(F402="","",IF(K402="","No date",IF(O402&lt;0,"Expired",IF(O402&lt;=30,"Urgent",IF(O402&lt;=90,"Due soon","OK")))))</f>
        <v/>
      </c>
      <c r="Q402" s="34" t="n"/>
      <c r="R402" s="38" t="n"/>
      <c r="S402" s="34" t="n"/>
      <c r="T402" s="35" t="n"/>
      <c r="U402" s="34" t="n"/>
      <c r="V402" s="34">
        <f>IF(F402="","",IF(K402="","",O402+ROW()/100000))</f>
        <v/>
      </c>
    </row>
    <row r="403">
      <c r="A403" s="10">
        <f>IF(F403="","",COUNTA($F$5:F403))</f>
        <v/>
      </c>
      <c r="B403" s="34" t="n"/>
      <c r="C403" s="34" t="n"/>
      <c r="D403" s="34" t="n"/>
      <c r="E403" s="35" t="n"/>
      <c r="F403" s="35" t="n"/>
      <c r="G403" s="35" t="n"/>
      <c r="H403" s="34" t="n"/>
      <c r="I403" s="34" t="n"/>
      <c r="J403" s="36" t="n"/>
      <c r="K403" s="36" t="n"/>
      <c r="L403" s="34" t="n"/>
      <c r="M403" s="34" t="n"/>
      <c r="N403" s="36">
        <f>IF(K403="","",K403-IF(M403="",0,M403))</f>
        <v/>
      </c>
      <c r="O403" s="37">
        <f>IF(K403="","",K403-TODAY())</f>
        <v/>
      </c>
      <c r="P403" s="10">
        <f>IF(F403="","",IF(K403="","No date",IF(O403&lt;0,"Expired",IF(O403&lt;=30,"Urgent",IF(O403&lt;=90,"Due soon","OK")))))</f>
        <v/>
      </c>
      <c r="Q403" s="34" t="n"/>
      <c r="R403" s="38" t="n"/>
      <c r="S403" s="34" t="n"/>
      <c r="T403" s="35" t="n"/>
      <c r="U403" s="34" t="n"/>
      <c r="V403" s="34">
        <f>IF(F403="","",IF(K403="","",O403+ROW()/100000))</f>
        <v/>
      </c>
    </row>
    <row r="404">
      <c r="A404" s="10">
        <f>IF(F404="","",COUNTA($F$5:F404))</f>
        <v/>
      </c>
      <c r="B404" s="34" t="n"/>
      <c r="C404" s="34" t="n"/>
      <c r="D404" s="34" t="n"/>
      <c r="E404" s="35" t="n"/>
      <c r="F404" s="35" t="n"/>
      <c r="G404" s="35" t="n"/>
      <c r="H404" s="34" t="n"/>
      <c r="I404" s="34" t="n"/>
      <c r="J404" s="36" t="n"/>
      <c r="K404" s="36" t="n"/>
      <c r="L404" s="34" t="n"/>
      <c r="M404" s="34" t="n"/>
      <c r="N404" s="36">
        <f>IF(K404="","",K404-IF(M404="",0,M404))</f>
        <v/>
      </c>
      <c r="O404" s="37">
        <f>IF(K404="","",K404-TODAY())</f>
        <v/>
      </c>
      <c r="P404" s="10">
        <f>IF(F404="","",IF(K404="","No date",IF(O404&lt;0,"Expired",IF(O404&lt;=30,"Urgent",IF(O404&lt;=90,"Due soon","OK")))))</f>
        <v/>
      </c>
      <c r="Q404" s="34" t="n"/>
      <c r="R404" s="38" t="n"/>
      <c r="S404" s="34" t="n"/>
      <c r="T404" s="35" t="n"/>
      <c r="U404" s="34" t="n"/>
      <c r="V404" s="34">
        <f>IF(F404="","",IF(K404="","",O404+ROW()/100000))</f>
        <v/>
      </c>
    </row>
  </sheetData>
  <autoFilter ref="A4:U404"/>
  <mergeCells count="2">
    <mergeCell ref="A2:V2"/>
    <mergeCell ref="A1:V1"/>
  </mergeCells>
  <conditionalFormatting sqref="E5:E404">
    <cfRule type="expression" priority="1" dxfId="4" stopIfTrue="1">
      <formula>$E5="Owner"</formula>
    </cfRule>
    <cfRule type="expression" priority="2" dxfId="5" stopIfTrue="1">
      <formula>$E5="Property"</formula>
    </cfRule>
  </conditionalFormatting>
  <conditionalFormatting sqref="A5:U404">
    <cfRule type="expression" priority="3" dxfId="0" stopIfTrue="0">
      <formula>$P5="Expired"</formula>
    </cfRule>
    <cfRule type="expression" priority="4" dxfId="1" stopIfTrue="0">
      <formula>$P5="Urgent"</formula>
    </cfRule>
    <cfRule type="expression" priority="5" dxfId="2" stopIfTrue="0">
      <formula>$P5="Due soon"</formula>
    </cfRule>
    <cfRule type="expression" priority="6" dxfId="3" stopIfTrue="0">
      <formula>$P5="OK"</formula>
    </cfRule>
    <cfRule type="expression" priority="7" dxfId="6" stopIfTrue="0">
      <formula>$P5="No date"</formula>
    </cfRule>
  </conditionalFormatting>
  <dataValidations count="5">
    <dataValidation sqref="B5:B404" showDropDown="0" showInputMessage="0" showErrorMessage="0" allowBlank="1" error="Pick a value from the list / เลือกจากรายการ" type="list">
      <formula1>Lists!$A$4:$A$7</formula1>
    </dataValidation>
    <dataValidation sqref="D5:D404" showDropDown="0" showInputMessage="0" showErrorMessage="0" allowBlank="1" error="Pick a value from the list / เลือกจากรายการ" type="list">
      <formula1>Lists!$C$4:$C$13</formula1>
    </dataValidation>
    <dataValidation sqref="E5:E404" showDropDown="0" showInputMessage="0" showErrorMessage="0" allowBlank="1" error="Pick a value from the list / เลือกจากรายการ" type="list">
      <formula1>Lists!$O$4:$O$5</formula1>
    </dataValidation>
    <dataValidation sqref="L5:L404" showDropDown="0" showInputMessage="0" showErrorMessage="0" allowBlank="1" error="Pick a value from the list / เลือกจากรายการ" type="list">
      <formula1>Lists!$E$4:$E$11</formula1>
    </dataValidation>
    <dataValidation sqref="S5:S404" showDropDown="0" showInputMessage="0" showErrorMessage="0" allowBlank="1" error="Pick a value from the list / เลือกจากรายการ" type="list">
      <formula1>Lists!$G$4:$G$5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12" customWidth="1" min="11" max="11"/>
    <col width="32" customWidth="1" min="12" max="12"/>
    <col width="26" customWidth="1" min="13" max="13"/>
    <col width="22" customWidth="1" min="15" max="15"/>
  </cols>
  <sheetData>
    <row r="1">
      <c r="A1" s="26" t="inlineStr">
        <is>
          <t>Dropdown lists — used by the Register. Edit here to change the choices.</t>
        </is>
      </c>
    </row>
    <row r="3">
      <c r="A3" s="39" t="inlineStr">
        <is>
          <t>Property</t>
        </is>
      </c>
      <c r="C3" s="39" t="inlineStr">
        <is>
          <t>Category</t>
        </is>
      </c>
      <c r="E3" s="39" t="inlineStr">
        <is>
          <t>Renewal cycle</t>
        </is>
      </c>
      <c r="G3" s="39" t="inlineStr">
        <is>
          <t>Auto-renew</t>
        </is>
      </c>
      <c r="I3" s="39" t="inlineStr">
        <is>
          <t>Status (reference)</t>
        </is>
      </c>
      <c r="K3" s="39" t="inlineStr">
        <is>
          <t>Property</t>
        </is>
      </c>
      <c r="L3" s="39" t="inlineStr">
        <is>
          <t>Full name</t>
        </is>
      </c>
      <c r="M3" s="39" t="inlineStr">
        <is>
          <t>Legal entity</t>
        </is>
      </c>
      <c r="O3" s="39" t="inlineStr">
        <is>
          <t>Renew by</t>
        </is>
      </c>
    </row>
    <row r="4">
      <c r="A4" t="inlineStr">
        <is>
          <t>SR9</t>
        </is>
      </c>
      <c r="C4" t="inlineStr">
        <is>
          <t>Licence</t>
        </is>
      </c>
      <c r="E4" t="inlineStr">
        <is>
          <t>Annual</t>
        </is>
      </c>
      <c r="G4" t="inlineStr">
        <is>
          <t>Yes</t>
        </is>
      </c>
      <c r="I4" t="inlineStr">
        <is>
          <t>Expired</t>
        </is>
      </c>
      <c r="K4" t="inlineStr">
        <is>
          <t>SR9</t>
        </is>
      </c>
      <c r="L4" t="inlineStr">
        <is>
          <t>Somerset Rama 9 Bangkok</t>
        </is>
      </c>
      <c r="M4" t="inlineStr">
        <is>
          <t>AMH Ratchada Co., Ltd.</t>
        </is>
      </c>
      <c r="O4" t="inlineStr">
        <is>
          <t>Owner</t>
        </is>
      </c>
    </row>
    <row r="5">
      <c r="A5" t="inlineStr">
        <is>
          <t>AES</t>
        </is>
      </c>
      <c r="C5" t="inlineStr">
        <is>
          <t>Permit</t>
        </is>
      </c>
      <c r="E5" t="inlineStr">
        <is>
          <t>Every 2 years</t>
        </is>
      </c>
      <c r="G5" t="inlineStr">
        <is>
          <t>No</t>
        </is>
      </c>
      <c r="I5" t="inlineStr">
        <is>
          <t>Urgent</t>
        </is>
      </c>
      <c r="K5" t="inlineStr">
        <is>
          <t>AES</t>
        </is>
      </c>
      <c r="L5" t="inlineStr">
        <is>
          <t>Ascott Embassy Sathorn Bangkok</t>
        </is>
      </c>
      <c r="M5" t="inlineStr">
        <is>
          <t>AMH Sathorn Co., Ltd.</t>
        </is>
      </c>
      <c r="O5" t="inlineStr">
        <is>
          <t>Property</t>
        </is>
      </c>
    </row>
    <row r="6">
      <c r="A6" t="inlineStr">
        <is>
          <t>LYF</t>
        </is>
      </c>
      <c r="C6" t="inlineStr">
        <is>
          <t>Certificate</t>
        </is>
      </c>
      <c r="E6" t="inlineStr">
        <is>
          <t>Every 3 years</t>
        </is>
      </c>
      <c r="I6" t="inlineStr">
        <is>
          <t>Due soon</t>
        </is>
      </c>
      <c r="K6" t="inlineStr">
        <is>
          <t>LYF</t>
        </is>
      </c>
      <c r="L6" t="inlineStr">
        <is>
          <t>lyf Sukhumvit 8 Bangkok</t>
        </is>
      </c>
      <c r="M6" t="inlineStr">
        <is>
          <t>AMH Sukhumvit 8 Co., Ltd.</t>
        </is>
      </c>
    </row>
    <row r="7">
      <c r="A7" t="inlineStr">
        <is>
          <t>SP</t>
        </is>
      </c>
      <c r="C7" t="inlineStr">
        <is>
          <t>Tax / Registration</t>
        </is>
      </c>
      <c r="E7" t="inlineStr">
        <is>
          <t>Every 5 years</t>
        </is>
      </c>
      <c r="I7" t="inlineStr">
        <is>
          <t>OK</t>
        </is>
      </c>
      <c r="K7" t="inlineStr">
        <is>
          <t>SP</t>
        </is>
      </c>
      <c r="L7" t="inlineStr">
        <is>
          <t>Somerset Pattaya</t>
        </is>
      </c>
      <c r="M7" t="inlineStr">
        <is>
          <t>AMH Pattaya Co., Ltd.</t>
        </is>
      </c>
    </row>
    <row r="8">
      <c r="C8" t="inlineStr">
        <is>
          <t>Insurance</t>
        </is>
      </c>
      <c r="E8" t="inlineStr">
        <is>
          <t>One-off</t>
        </is>
      </c>
      <c r="I8" t="inlineStr">
        <is>
          <t>No date</t>
        </is>
      </c>
    </row>
    <row r="9">
      <c r="C9" t="inlineStr">
        <is>
          <t>Contract - Management</t>
        </is>
      </c>
      <c r="E9" t="inlineStr">
        <is>
          <t>Rolling / evergreen</t>
        </is>
      </c>
    </row>
    <row r="10">
      <c r="C10" t="inlineStr">
        <is>
          <t>Contract - OTA</t>
        </is>
      </c>
      <c r="E10" t="inlineStr">
        <is>
          <t>Monthly</t>
        </is>
      </c>
    </row>
    <row r="11">
      <c r="C11" t="inlineStr">
        <is>
          <t>Contract - Service</t>
        </is>
      </c>
      <c r="E11" t="inlineStr">
        <is>
          <t>Other</t>
        </is>
      </c>
    </row>
    <row r="12">
      <c r="C12" t="inlineStr">
        <is>
          <t>Contract - Utility</t>
        </is>
      </c>
    </row>
    <row r="13">
      <c r="C13" t="inlineStr">
        <is>
          <t>Contract - Lease /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2026-08-20T03:50:38Z</dcterms:created>
  <dcterms:modified xsi:type="dcterms:W3CDTF">2026-08-20T03:50:39Z</dcterms:modified>
</cp:coreProperties>
</file>