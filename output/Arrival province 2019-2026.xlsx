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Yu Gothic UI"/>
      <b val="1"/>
      <color theme="0"/>
      <sz val="11"/>
    </font>
    <font>
      <name val="Yu Gothic UI"/>
      <b val="1"/>
      <color theme="1"/>
      <sz val="11"/>
    </font>
    <font>
      <name val="Yu Gothic UI"/>
      <color theme="1"/>
      <sz val="11"/>
    </font>
    <font>
      <name val="Yu Gothic UI"/>
      <family val="2"/>
      <color theme="1"/>
      <sz val="11"/>
    </font>
    <font>
      <name val="Yu Gothic UI"/>
      <family val="2"/>
      <b val="1"/>
      <color theme="1"/>
      <sz val="11"/>
    </font>
    <font>
      <name val="Yu Gothic UI"/>
      <i val="1"/>
      <color theme="1"/>
      <sz val="11"/>
    </font>
    <font>
      <name val="Yu Gothic UI"/>
      <b val="1"/>
      <i val="1"/>
      <color theme="1"/>
      <sz val="11"/>
    </font>
    <font>
      <name val="Yu Gothic UI"/>
      <charset val="128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2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vertical="center"/>
    </xf>
    <xf numFmtId="0" fontId="4" fillId="3" borderId="1" applyAlignment="1" pivotButton="0" quotePrefix="1" xfId="0">
      <alignment horizontal="left" vertical="center"/>
    </xf>
    <xf numFmtId="3" fontId="4" fillId="3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3" borderId="0" applyAlignment="1" pivotButton="0" quotePrefix="0" xfId="0">
      <alignment horizontal="center" vertical="center"/>
    </xf>
    <xf numFmtId="9" fontId="7" fillId="3" borderId="0" applyAlignment="1" pivotButton="0" quotePrefix="0" xfId="1">
      <alignment horizontal="center" vertical="center"/>
    </xf>
    <xf numFmtId="9" fontId="7" fillId="4" borderId="0" applyAlignment="1" pivotButton="0" quotePrefix="0" xfId="1">
      <alignment horizontal="center" vertical="center"/>
    </xf>
    <xf numFmtId="0" fontId="8" fillId="3" borderId="0" applyAlignment="1" pivotButton="0" quotePrefix="0" xfId="0">
      <alignment vertical="center"/>
    </xf>
    <xf numFmtId="9" fontId="7" fillId="3" borderId="0" applyAlignment="1" pivotButton="0" quotePrefix="0" xfId="1">
      <alignment vertical="center"/>
    </xf>
    <xf numFmtId="3" fontId="9" fillId="3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3" fontId="4" fillId="3" borderId="0" applyAlignment="1" pivotButton="0" quotePrefix="0" xfId="0">
      <alignment vertical="center"/>
    </xf>
    <xf numFmtId="3" fontId="3" fillId="3" borderId="0" applyAlignment="1" pivotButton="0" quotePrefix="0" xfId="0">
      <alignment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8:N63"/>
  <sheetViews>
    <sheetView tabSelected="1" topLeftCell="A7" workbookViewId="0">
      <selection activeCell="M10" sqref="M10"/>
    </sheetView>
  </sheetViews>
  <sheetFormatPr baseColWidth="8" defaultRowHeight="14.5"/>
  <sheetData>
    <row r="8" ht="49.5" customHeight="1">
      <c r="A8" s="1" t="inlineStr">
        <is>
          <t>Bangkok Arrivals</t>
        </is>
      </c>
      <c r="B8" s="2" t="inlineStr">
        <is>
          <t>Jan</t>
        </is>
      </c>
      <c r="C8" s="2" t="inlineStr">
        <is>
          <t>Feb</t>
        </is>
      </c>
      <c r="D8" s="2" t="inlineStr">
        <is>
          <t>Mar</t>
        </is>
      </c>
      <c r="E8" s="2" t="inlineStr">
        <is>
          <t>Apr</t>
        </is>
      </c>
      <c r="F8" s="2" t="inlineStr">
        <is>
          <t>May</t>
        </is>
      </c>
      <c r="G8" s="2" t="inlineStr">
        <is>
          <t>Jun</t>
        </is>
      </c>
      <c r="H8" s="2" t="inlineStr">
        <is>
          <t>Jul</t>
        </is>
      </c>
      <c r="I8" s="2" t="inlineStr">
        <is>
          <t>Aug</t>
        </is>
      </c>
      <c r="J8" s="2" t="inlineStr">
        <is>
          <t>Sep</t>
        </is>
      </c>
      <c r="K8" s="2" t="inlineStr">
        <is>
          <t>Oct</t>
        </is>
      </c>
      <c r="L8" s="2" t="inlineStr">
        <is>
          <t>Nov</t>
        </is>
      </c>
      <c r="M8" s="2" t="inlineStr">
        <is>
          <t>Dec</t>
        </is>
      </c>
      <c r="N8" s="2" t="inlineStr">
        <is>
          <t>Total</t>
        </is>
      </c>
    </row>
    <row r="9" ht="16.5" customHeight="1">
      <c r="A9" s="3" t="n">
        <v>2019</v>
      </c>
      <c r="B9" s="4">
        <f>SUM(B10:B11)</f>
        <v/>
      </c>
      <c r="C9" s="4">
        <f>SUM(C10:C11)</f>
        <v/>
      </c>
      <c r="D9" s="4">
        <f>SUM(D10:D11)</f>
        <v/>
      </c>
      <c r="E9" s="4">
        <f>SUM(E10:E11)</f>
        <v/>
      </c>
      <c r="F9" s="4">
        <f>SUM(F10:F11)</f>
        <v/>
      </c>
      <c r="G9" s="4">
        <f>SUM(G10:G11)</f>
        <v/>
      </c>
      <c r="H9" s="4">
        <f>SUM(H10:H11)</f>
        <v/>
      </c>
      <c r="I9" s="4">
        <f>SUM(I10:I11)</f>
        <v/>
      </c>
      <c r="J9" s="4">
        <f>SUM(J10:J11)</f>
        <v/>
      </c>
      <c r="K9" s="4">
        <f>SUM(K10:K11)</f>
        <v/>
      </c>
      <c r="L9" s="4">
        <f>SUM(L10:L11)</f>
        <v/>
      </c>
      <c r="M9" s="4">
        <f>SUM(M10:M11)</f>
        <v/>
      </c>
      <c r="N9" s="4">
        <f>SUM(B9:M9)</f>
        <v/>
      </c>
    </row>
    <row r="10" ht="16.5" customHeight="1">
      <c r="A10" s="5" t="inlineStr">
        <is>
          <t>- Domestics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4">
        <f>SUM(B10:M10)</f>
        <v/>
      </c>
    </row>
    <row r="11" ht="16.5" customHeight="1">
      <c r="A11" s="5" t="inlineStr">
        <is>
          <t>- International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4">
        <f>SUM(B11:M11)</f>
        <v/>
      </c>
    </row>
    <row r="12" ht="16.5" customHeight="1">
      <c r="A12" s="7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9" t="n"/>
    </row>
    <row r="13" ht="16.5" customHeight="1">
      <c r="A13" s="3" t="n">
        <v>2024</v>
      </c>
      <c r="B13" s="4">
        <f>SUM(B14:B15)</f>
        <v/>
      </c>
      <c r="C13" s="4">
        <f>SUM(C14:C15)</f>
        <v/>
      </c>
      <c r="D13" s="4">
        <f>SUM(D14:D15)</f>
        <v/>
      </c>
      <c r="E13" s="4">
        <f>SUM(E14:E15)</f>
        <v/>
      </c>
      <c r="F13" s="4">
        <f>SUM(F14:F15)</f>
        <v/>
      </c>
      <c r="G13" s="4">
        <f>SUM(G14:G15)</f>
        <v/>
      </c>
      <c r="H13" s="4">
        <f>SUM(H14:H15)</f>
        <v/>
      </c>
      <c r="I13" s="4">
        <f>SUM(I14:I15)</f>
        <v/>
      </c>
      <c r="J13" s="4">
        <f>SUM(J14:J15)</f>
        <v/>
      </c>
      <c r="K13" s="4">
        <f>SUM(K14:K15)</f>
        <v/>
      </c>
      <c r="L13" s="4">
        <f>SUM(L14:L15)</f>
        <v/>
      </c>
      <c r="M13" s="4">
        <f>SUM(M14:M15)</f>
        <v/>
      </c>
      <c r="N13" s="4">
        <f>SUM(B13:M13)</f>
        <v/>
      </c>
    </row>
    <row r="14" ht="16.5" customHeight="1">
      <c r="A14" s="5" t="inlineStr">
        <is>
          <t>- Domestics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4">
        <f>SUM(B14:M14)</f>
        <v/>
      </c>
    </row>
    <row r="15" ht="16.5" customHeight="1">
      <c r="A15" s="5" t="inlineStr">
        <is>
          <t>- International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4">
        <f>SUM(B15:M15)</f>
        <v/>
      </c>
    </row>
    <row r="16" ht="16.5" customHeight="1">
      <c r="A16" s="10" t="inlineStr">
        <is>
          <t>% Domestic</t>
        </is>
      </c>
      <c r="B16" s="11">
        <f>B14/B13</f>
        <v/>
      </c>
      <c r="C16" s="11">
        <f>C14/C13</f>
        <v/>
      </c>
      <c r="D16" s="11">
        <f>D14/D13</f>
        <v/>
      </c>
      <c r="E16" s="12">
        <f>E14/E13</f>
        <v/>
      </c>
      <c r="F16" s="12">
        <f>F14/F13</f>
        <v/>
      </c>
      <c r="G16" s="11">
        <f>G14/G13</f>
        <v/>
      </c>
      <c r="H16" s="11">
        <f>H14/H13</f>
        <v/>
      </c>
      <c r="I16" s="11">
        <f>I14/I13</f>
        <v/>
      </c>
      <c r="J16" s="11">
        <f>J14/J13</f>
        <v/>
      </c>
      <c r="K16" s="12">
        <f>K14/K13</f>
        <v/>
      </c>
      <c r="L16" s="11">
        <f>L14/L13</f>
        <v/>
      </c>
      <c r="M16" s="11" t="n"/>
      <c r="N16" s="13" t="n"/>
    </row>
    <row r="17" ht="16.5" customHeight="1">
      <c r="A17" s="7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3" t="n"/>
    </row>
    <row r="18" ht="16.5" customHeight="1">
      <c r="A18" s="7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4" t="n"/>
      <c r="L18" s="11" t="n"/>
      <c r="M18" s="11" t="n"/>
      <c r="N18" s="13" t="n"/>
    </row>
    <row r="19" ht="16.5" customHeight="1">
      <c r="A19" s="3" t="n">
        <v>2025</v>
      </c>
      <c r="B19" s="4">
        <f>SUM(B20:B21)</f>
        <v/>
      </c>
      <c r="C19" s="4">
        <f>SUM(C20:C21)</f>
        <v/>
      </c>
      <c r="D19" s="4">
        <f>SUM(D20:D21)</f>
        <v/>
      </c>
      <c r="E19" s="4">
        <f>SUM(E20:E21)</f>
        <v/>
      </c>
      <c r="F19" s="4">
        <f>SUM(F20:F21)</f>
        <v/>
      </c>
      <c r="G19" s="4">
        <f>SUM(G20:G21)</f>
        <v/>
      </c>
      <c r="H19" s="4">
        <f>SUM(H20:H21)</f>
        <v/>
      </c>
      <c r="I19" s="4">
        <f>SUM(I20:I21)</f>
        <v/>
      </c>
      <c r="J19" s="15">
        <f>SUM(J20:J21)</f>
        <v/>
      </c>
      <c r="K19" s="4">
        <f>SUM(K20:K21)</f>
        <v/>
      </c>
      <c r="L19" s="4">
        <f>SUM(L20:L21)</f>
        <v/>
      </c>
      <c r="M19" s="4">
        <f>SUM(M20:M21)</f>
        <v/>
      </c>
      <c r="N19" s="4">
        <f>SUM(B19:M19)</f>
        <v/>
      </c>
    </row>
    <row r="20" ht="16.5" customHeight="1">
      <c r="A20" s="5" t="inlineStr">
        <is>
          <t>- Domestics</t>
        </is>
      </c>
      <c r="B20" s="6" t="n">
        <v>2157546</v>
      </c>
      <c r="C20" s="6" t="n">
        <v>2379572</v>
      </c>
      <c r="D20" s="6" t="n">
        <v>2650644</v>
      </c>
      <c r="E20" s="6" t="n">
        <v>2343256</v>
      </c>
      <c r="F20" s="6" t="n">
        <v>2645108</v>
      </c>
      <c r="G20" s="6" t="n">
        <v>2370875</v>
      </c>
      <c r="H20" s="6" t="n"/>
      <c r="I20" s="16" t="n"/>
      <c r="J20" s="16" t="n"/>
      <c r="K20" s="6" t="n"/>
      <c r="L20" s="6" t="n"/>
      <c r="M20" s="6" t="n"/>
      <c r="N20" s="4">
        <f>SUM(B20:M20)</f>
        <v/>
      </c>
    </row>
    <row r="21" ht="16.5" customHeight="1">
      <c r="A21" s="5" t="inlineStr">
        <is>
          <t>- International</t>
        </is>
      </c>
      <c r="B21" s="6" t="n">
        <v>2631003</v>
      </c>
      <c r="C21" s="6" t="n">
        <v>2280653</v>
      </c>
      <c r="D21" s="6" t="n">
        <v>1994772</v>
      </c>
      <c r="E21" s="6" t="n">
        <v>1957180</v>
      </c>
      <c r="F21" s="6" t="n">
        <v>1761572</v>
      </c>
      <c r="G21" s="6" t="n">
        <v>1807070</v>
      </c>
      <c r="H21" s="6" t="n"/>
      <c r="I21" s="16" t="n"/>
      <c r="J21" s="16" t="n"/>
      <c r="K21" s="6" t="n"/>
      <c r="L21" s="6" t="n"/>
      <c r="M21" s="6" t="n"/>
      <c r="N21" s="4">
        <f>SUM(B21:M21)</f>
        <v/>
      </c>
    </row>
    <row r="22" ht="16.5" customHeight="1">
      <c r="A22" s="17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8" t="n"/>
      <c r="K22" s="18" t="n"/>
      <c r="L22" s="18" t="n"/>
      <c r="M22" s="18" t="n"/>
      <c r="N22" s="19" t="n"/>
    </row>
    <row r="23" ht="16.5" customHeight="1">
      <c r="A23" s="3" t="n">
        <v>2026</v>
      </c>
      <c r="B23" s="4">
        <f>SUM(B24:B25)</f>
        <v/>
      </c>
      <c r="C23" s="4">
        <f>SUM(C24:C25)</f>
        <v/>
      </c>
      <c r="D23" s="4">
        <f>SUM(D24:D25)</f>
        <v/>
      </c>
      <c r="E23" s="4">
        <f>SUM(E24:E25)</f>
        <v/>
      </c>
      <c r="F23" s="4">
        <f>SUM(F24:F25)</f>
        <v/>
      </c>
      <c r="G23" s="4">
        <f>SUM(G24:G25)</f>
        <v/>
      </c>
      <c r="H23" s="4">
        <f>SUM(H24:H25)</f>
        <v/>
      </c>
      <c r="I23" s="4">
        <f>SUM(I24:I25)</f>
        <v/>
      </c>
      <c r="J23" s="15">
        <f>SUM(J24:J25)</f>
        <v/>
      </c>
      <c r="K23" s="4">
        <f>SUM(K24:K25)</f>
        <v/>
      </c>
      <c r="L23" s="4">
        <f>SUM(L24:L25)</f>
        <v/>
      </c>
      <c r="M23" s="4">
        <f>SUM(M24:M25)</f>
        <v/>
      </c>
      <c r="N23" s="4">
        <f>SUM(B23:M23)</f>
        <v/>
      </c>
    </row>
    <row r="24" ht="16.5" customHeight="1">
      <c r="A24" s="5" t="inlineStr">
        <is>
          <t>- Domestics</t>
        </is>
      </c>
      <c r="B24" s="6" t="n">
        <v>2334187</v>
      </c>
      <c r="C24" s="6" t="n">
        <v>2499572</v>
      </c>
      <c r="D24" s="6" t="n">
        <v>2907661</v>
      </c>
      <c r="E24" s="6" t="n">
        <v>2472364</v>
      </c>
      <c r="F24" s="6" t="n">
        <v>2718774</v>
      </c>
      <c r="G24" s="6" t="n">
        <v>2512532</v>
      </c>
      <c r="H24" s="6" t="n"/>
      <c r="I24" s="16" t="n"/>
      <c r="J24" s="16" t="n"/>
      <c r="K24" s="6" t="n"/>
      <c r="L24" s="6" t="n"/>
      <c r="M24" s="6" t="n"/>
      <c r="N24" s="4">
        <f>SUM(B24:M24)</f>
        <v/>
      </c>
    </row>
    <row r="25" ht="16.5" customHeight="1">
      <c r="A25" s="5" t="inlineStr">
        <is>
          <t>- International</t>
        </is>
      </c>
      <c r="B25" s="6" t="n">
        <v>2469867</v>
      </c>
      <c r="C25" s="6" t="n">
        <v>2479586</v>
      </c>
      <c r="D25" s="6" t="n">
        <v>2095852</v>
      </c>
      <c r="E25" s="6" t="n">
        <v>1821886</v>
      </c>
      <c r="F25" s="6" t="n">
        <v>1817868</v>
      </c>
      <c r="G25" s="6" t="n">
        <v>1733888</v>
      </c>
      <c r="H25" s="6" t="n"/>
      <c r="I25" s="16" t="n"/>
      <c r="J25" s="16" t="n"/>
      <c r="K25" s="6" t="n"/>
      <c r="L25" s="6" t="n"/>
      <c r="M25" s="6" t="n"/>
      <c r="N25" s="4">
        <f>SUM(B25:M25)</f>
        <v/>
      </c>
    </row>
    <row r="26" ht="16.5" customHeight="1">
      <c r="A26" s="7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9" t="n"/>
    </row>
    <row r="27" ht="33" customHeight="1">
      <c r="A27" s="1" t="inlineStr">
        <is>
          <t>Phuket Arrivals</t>
        </is>
      </c>
      <c r="B27" s="2" t="inlineStr">
        <is>
          <t>Jan</t>
        </is>
      </c>
      <c r="C27" s="2" t="inlineStr">
        <is>
          <t>Feb</t>
        </is>
      </c>
      <c r="D27" s="2" t="inlineStr">
        <is>
          <t>Mar</t>
        </is>
      </c>
      <c r="E27" s="2" t="inlineStr">
        <is>
          <t>Apr</t>
        </is>
      </c>
      <c r="F27" s="2" t="inlineStr">
        <is>
          <t>May</t>
        </is>
      </c>
      <c r="G27" s="2" t="inlineStr">
        <is>
          <t>Jun</t>
        </is>
      </c>
      <c r="H27" s="2" t="inlineStr">
        <is>
          <t>Jul</t>
        </is>
      </c>
      <c r="I27" s="2" t="inlineStr">
        <is>
          <t>Aug</t>
        </is>
      </c>
      <c r="J27" s="2" t="inlineStr">
        <is>
          <t>Sep</t>
        </is>
      </c>
      <c r="K27" s="2" t="inlineStr">
        <is>
          <t>Oct</t>
        </is>
      </c>
      <c r="L27" s="2" t="inlineStr">
        <is>
          <t>Nov</t>
        </is>
      </c>
      <c r="M27" s="2" t="inlineStr">
        <is>
          <t>Dec</t>
        </is>
      </c>
      <c r="N27" s="2" t="inlineStr">
        <is>
          <t>Total</t>
        </is>
      </c>
    </row>
    <row r="28" ht="16.5" customHeight="1">
      <c r="A28" s="3" t="n">
        <v>2019</v>
      </c>
      <c r="B28" s="4">
        <f>SUM(B29:B30)</f>
        <v/>
      </c>
      <c r="C28" s="4">
        <f>SUM(C29:C30)</f>
        <v/>
      </c>
      <c r="D28" s="4">
        <f>SUM(D29:D30)</f>
        <v/>
      </c>
      <c r="E28" s="4">
        <f>SUM(E29:E30)</f>
        <v/>
      </c>
      <c r="F28" s="4">
        <f>SUM(F29:F30)</f>
        <v/>
      </c>
      <c r="G28" s="4">
        <f>SUM(G29:G30)</f>
        <v/>
      </c>
      <c r="H28" s="4">
        <f>SUM(H29:H30)</f>
        <v/>
      </c>
      <c r="I28" s="4">
        <f>SUM(I29:I30)</f>
        <v/>
      </c>
      <c r="J28" s="4">
        <f>SUM(J29:J30)</f>
        <v/>
      </c>
      <c r="K28" s="4">
        <f>SUM(K29:K30)</f>
        <v/>
      </c>
      <c r="L28" s="4">
        <f>SUM(L29:L30)</f>
        <v/>
      </c>
      <c r="M28" s="4">
        <f>SUM(M29:M30)</f>
        <v/>
      </c>
      <c r="N28" s="4">
        <f>SUM(B28:M28)</f>
        <v/>
      </c>
    </row>
    <row r="29" ht="16.5" customHeight="1">
      <c r="A29" s="5" t="inlineStr">
        <is>
          <t>- Domestics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4">
        <f>SUM(B29:M29)</f>
        <v/>
      </c>
    </row>
    <row r="30" ht="16.5" customHeight="1">
      <c r="A30" s="5" t="inlineStr">
        <is>
          <t>- International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4">
        <f>SUM(B30:M30)</f>
        <v/>
      </c>
    </row>
    <row r="31" ht="16.5" customHeight="1">
      <c r="A31" s="7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9" t="n"/>
    </row>
    <row r="32" ht="16.5" customHeight="1">
      <c r="A32" s="3" t="n">
        <v>2024</v>
      </c>
      <c r="B32" s="4">
        <f>SUM(B33:B34)</f>
        <v/>
      </c>
      <c r="C32" s="4">
        <f>SUM(C33:C34)</f>
        <v/>
      </c>
      <c r="D32" s="4">
        <f>SUM(D33:D34)</f>
        <v/>
      </c>
      <c r="E32" s="4">
        <f>SUM(E33:E34)</f>
        <v/>
      </c>
      <c r="F32" s="4">
        <f>SUM(F33:F34)</f>
        <v/>
      </c>
      <c r="G32" s="4">
        <f>SUM(G33:G34)</f>
        <v/>
      </c>
      <c r="H32" s="4">
        <f>SUM(H33:H34)</f>
        <v/>
      </c>
      <c r="I32" s="4">
        <f>SUM(I33:I34)</f>
        <v/>
      </c>
      <c r="J32" s="4">
        <f>SUM(J33:J34)</f>
        <v/>
      </c>
      <c r="K32" s="4">
        <f>SUM(K33:K34)</f>
        <v/>
      </c>
      <c r="L32" s="4">
        <f>SUM(L33:L34)</f>
        <v/>
      </c>
      <c r="M32" s="4">
        <f>SUM(M33:M34)</f>
        <v/>
      </c>
      <c r="N32" s="4">
        <f>SUM(B32:M32)</f>
        <v/>
      </c>
    </row>
    <row r="33" ht="16.5" customHeight="1">
      <c r="A33" s="5" t="inlineStr">
        <is>
          <t>- Domestics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4">
        <f>SUM(B33:M33)</f>
        <v/>
      </c>
    </row>
    <row r="34" ht="16.5" customHeight="1">
      <c r="A34" s="5" t="inlineStr">
        <is>
          <t>- International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4">
        <f>SUM(B34:M34)</f>
        <v/>
      </c>
    </row>
    <row r="35" ht="16.5" customHeight="1">
      <c r="A35" s="10" t="inlineStr">
        <is>
          <t>% Domestic</t>
        </is>
      </c>
      <c r="B35" s="11" t="n"/>
      <c r="C35" s="11" t="n"/>
      <c r="D35" s="11" t="n"/>
      <c r="E35" s="12" t="n"/>
      <c r="F35" s="12" t="n"/>
      <c r="G35" s="11" t="n"/>
      <c r="H35" s="11" t="n"/>
      <c r="I35" s="11" t="n"/>
      <c r="J35" s="11" t="n"/>
      <c r="K35" s="12" t="n"/>
      <c r="L35" s="11" t="n"/>
      <c r="M35" s="11" t="n"/>
      <c r="N35" s="13" t="n"/>
    </row>
    <row r="36" ht="16.5" customHeight="1">
      <c r="A36" s="7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3" t="n"/>
    </row>
    <row r="37" ht="16.5" customHeight="1">
      <c r="A37" s="7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4" t="n"/>
      <c r="L37" s="11" t="n"/>
      <c r="M37" s="11" t="n"/>
      <c r="N37" s="13" t="n"/>
    </row>
    <row r="38" ht="16.5" customHeight="1">
      <c r="A38" s="3" t="n">
        <v>2025</v>
      </c>
      <c r="B38" s="4">
        <f>SUM(B39:B40)</f>
        <v/>
      </c>
      <c r="C38" s="4">
        <f>SUM(C39:C40)</f>
        <v/>
      </c>
      <c r="D38" s="4">
        <f>SUM(D39:D40)</f>
        <v/>
      </c>
      <c r="E38" s="4">
        <f>SUM(E39:E40)</f>
        <v/>
      </c>
      <c r="F38" s="4">
        <f>SUM(F39:F40)</f>
        <v/>
      </c>
      <c r="G38" s="4">
        <f>SUM(G39:G40)</f>
        <v/>
      </c>
      <c r="H38" s="4">
        <f>SUM(H39:H40)</f>
        <v/>
      </c>
      <c r="I38" s="4">
        <f>SUM(I39:I40)</f>
        <v/>
      </c>
      <c r="J38" s="15">
        <f>SUM(J39:J40)</f>
        <v/>
      </c>
      <c r="K38" s="4">
        <f>SUM(K39:K40)</f>
        <v/>
      </c>
      <c r="L38" s="4">
        <f>SUM(L39:L40)</f>
        <v/>
      </c>
      <c r="M38" s="4">
        <f>SUM(M39:M40)</f>
        <v/>
      </c>
      <c r="N38" s="4">
        <f>SUM(B38:M38)</f>
        <v/>
      </c>
    </row>
    <row r="39" ht="16.5" customHeight="1">
      <c r="A39" s="5" t="inlineStr">
        <is>
          <t>- Domestics</t>
        </is>
      </c>
      <c r="B39" s="6" t="n">
        <v>264110</v>
      </c>
      <c r="C39" s="6" t="n">
        <v>329335</v>
      </c>
      <c r="D39" s="6" t="n">
        <v>355294</v>
      </c>
      <c r="E39" s="6" t="n">
        <v>307492</v>
      </c>
      <c r="F39" s="6" t="n">
        <v>301130</v>
      </c>
      <c r="G39" s="6" t="n">
        <v>320771</v>
      </c>
      <c r="H39" s="6" t="n"/>
      <c r="I39" s="16" t="n"/>
      <c r="J39" s="16" t="n"/>
      <c r="K39" s="6" t="n"/>
      <c r="L39" s="6" t="n"/>
      <c r="M39" s="6" t="n"/>
      <c r="N39" s="4">
        <f>SUM(B39:M39)</f>
        <v/>
      </c>
    </row>
    <row r="40" ht="16.5" customHeight="1">
      <c r="A40" s="5" t="inlineStr">
        <is>
          <t>- International</t>
        </is>
      </c>
      <c r="B40" s="6" t="n">
        <v>1066672</v>
      </c>
      <c r="C40" s="6" t="n">
        <v>934101</v>
      </c>
      <c r="D40" s="6" t="n">
        <v>795103</v>
      </c>
      <c r="E40" s="6" t="n">
        <v>866723</v>
      </c>
      <c r="F40" s="6" t="n">
        <v>817488</v>
      </c>
      <c r="G40" s="6" t="n">
        <v>725843</v>
      </c>
      <c r="H40" s="6" t="n"/>
      <c r="I40" s="16" t="n"/>
      <c r="J40" s="16" t="n"/>
      <c r="K40" s="6" t="n"/>
      <c r="L40" s="6" t="n"/>
      <c r="M40" s="6" t="n"/>
      <c r="N40" s="4">
        <f>SUM(B40:M40)</f>
        <v/>
      </c>
    </row>
    <row r="41" ht="16.5" customHeight="1">
      <c r="A41" s="17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8" t="n"/>
      <c r="K41" s="18" t="n"/>
      <c r="L41" s="18" t="n"/>
      <c r="M41" s="18" t="n"/>
      <c r="N41" s="19" t="n"/>
    </row>
    <row r="42" ht="16.5" customHeight="1">
      <c r="A42" s="3" t="n">
        <v>2026</v>
      </c>
      <c r="B42" s="4">
        <f>SUM(B43:B44)</f>
        <v/>
      </c>
      <c r="C42" s="4">
        <f>SUM(C43:C44)</f>
        <v/>
      </c>
      <c r="D42" s="4">
        <f>SUM(D43:D44)</f>
        <v/>
      </c>
      <c r="E42" s="4">
        <f>SUM(E43:E44)</f>
        <v/>
      </c>
      <c r="F42" s="4">
        <f>SUM(F43:F44)</f>
        <v/>
      </c>
      <c r="G42" s="4">
        <f>SUM(G43:G44)</f>
        <v/>
      </c>
      <c r="H42" s="4">
        <f>SUM(H43:H44)</f>
        <v/>
      </c>
      <c r="I42" s="4">
        <f>SUM(I43:I44)</f>
        <v/>
      </c>
      <c r="J42" s="15">
        <f>SUM(J43:J44)</f>
        <v/>
      </c>
      <c r="K42" s="4">
        <f>SUM(K43:K44)</f>
        <v/>
      </c>
      <c r="L42" s="4">
        <f>SUM(L43:L44)</f>
        <v/>
      </c>
      <c r="M42" s="4">
        <f>SUM(M43:M44)</f>
        <v/>
      </c>
      <c r="N42" s="4">
        <f>SUM(B42:M42)</f>
        <v/>
      </c>
    </row>
    <row r="43" ht="16.5" customHeight="1">
      <c r="A43" s="5" t="inlineStr">
        <is>
          <t>- Domestics</t>
        </is>
      </c>
      <c r="B43" s="6" t="n">
        <v>276027</v>
      </c>
      <c r="C43" s="6" t="n">
        <v>384121</v>
      </c>
      <c r="D43" s="6" t="n">
        <v>344081</v>
      </c>
      <c r="E43" s="6" t="n">
        <v>300106</v>
      </c>
      <c r="F43" s="6" t="n">
        <v>292548</v>
      </c>
      <c r="G43" s="6" t="n">
        <v>306229</v>
      </c>
      <c r="H43" s="6" t="n"/>
      <c r="I43" s="16" t="n"/>
      <c r="J43" s="16" t="n"/>
      <c r="K43" s="6" t="n"/>
      <c r="L43" s="6" t="n"/>
      <c r="M43" s="6" t="n"/>
      <c r="N43" s="4">
        <f>SUM(B43:M43)</f>
        <v/>
      </c>
    </row>
    <row r="44" ht="16.5" customHeight="1">
      <c r="A44" s="5" t="inlineStr">
        <is>
          <t>- International</t>
        </is>
      </c>
      <c r="B44" s="6" t="n">
        <v>1042902</v>
      </c>
      <c r="C44" s="6" t="n">
        <v>936580</v>
      </c>
      <c r="D44" s="6" t="n">
        <v>783438</v>
      </c>
      <c r="E44" s="6" t="n">
        <v>827711</v>
      </c>
      <c r="F44" s="6" t="n">
        <v>795774</v>
      </c>
      <c r="G44" s="6" t="n">
        <v>673160</v>
      </c>
      <c r="H44" s="6" t="n"/>
      <c r="I44" s="16" t="n"/>
      <c r="J44" s="16" t="n"/>
      <c r="K44" s="6" t="n"/>
      <c r="L44" s="6" t="n"/>
      <c r="M44" s="6" t="n"/>
      <c r="N44" s="4">
        <f>SUM(B44:M44)</f>
        <v/>
      </c>
    </row>
    <row r="45" ht="16.5" customHeight="1">
      <c r="A45" s="7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9" t="n"/>
    </row>
    <row r="46">
      <c r="A46" t="inlineStr">
        <is>
          <t>Pattaya (Chonburi) Arrival</t>
        </is>
      </c>
      <c r="B46" t="inlineStr">
        <is>
          <t>Jan</t>
        </is>
      </c>
      <c r="C46" t="inlineStr">
        <is>
          <t>Feb</t>
        </is>
      </c>
      <c r="D46" t="inlineStr">
        <is>
          <t>Mar</t>
        </is>
      </c>
      <c r="E46" t="inlineStr">
        <is>
          <t>Apr</t>
        </is>
      </c>
      <c r="F46" t="inlineStr">
        <is>
          <t>May</t>
        </is>
      </c>
      <c r="G46" t="inlineStr">
        <is>
          <t>Jun</t>
        </is>
      </c>
      <c r="H46" t="inlineStr">
        <is>
          <t>Jul</t>
        </is>
      </c>
      <c r="I46" t="inlineStr">
        <is>
          <t>Aug</t>
        </is>
      </c>
      <c r="J46" t="inlineStr">
        <is>
          <t>Sep</t>
        </is>
      </c>
      <c r="K46" t="inlineStr">
        <is>
          <t>Oct</t>
        </is>
      </c>
      <c r="L46" t="inlineStr">
        <is>
          <t>Nov</t>
        </is>
      </c>
      <c r="M46" t="inlineStr">
        <is>
          <t>Dec</t>
        </is>
      </c>
      <c r="N46" t="inlineStr">
        <is>
          <t>Total</t>
        </is>
      </c>
    </row>
    <row r="47">
      <c r="A47" t="n">
        <v>2019</v>
      </c>
      <c r="B47">
        <f>SUM(B48:B49)</f>
        <v/>
      </c>
      <c r="C47">
        <f>SUM(C48:C49)</f>
        <v/>
      </c>
      <c r="D47">
        <f>SUM(D48:D49)</f>
        <v/>
      </c>
      <c r="E47">
        <f>SUM(E48:E49)</f>
        <v/>
      </c>
      <c r="F47">
        <f>SUM(F48:F49)</f>
        <v/>
      </c>
      <c r="G47">
        <f>SUM(G48:G49)</f>
        <v/>
      </c>
      <c r="H47">
        <f>SUM(H48:H49)</f>
        <v/>
      </c>
      <c r="I47">
        <f>SUM(I48:I49)</f>
        <v/>
      </c>
      <c r="J47">
        <f>SUM(J48:J49)</f>
        <v/>
      </c>
      <c r="K47">
        <f>SUM(K48:K49)</f>
        <v/>
      </c>
      <c r="L47">
        <f>SUM(L48:L49)</f>
        <v/>
      </c>
      <c r="M47">
        <f>SUM(M48:M49)</f>
        <v/>
      </c>
      <c r="N47">
        <f>SUM(B47:M47)</f>
        <v/>
      </c>
    </row>
    <row r="48">
      <c r="A48" t="inlineStr">
        <is>
          <t>- Domestics</t>
        </is>
      </c>
      <c r="N48">
        <f>SUM(B48:M48)</f>
        <v/>
      </c>
    </row>
    <row r="49">
      <c r="A49" t="inlineStr">
        <is>
          <t>- International</t>
        </is>
      </c>
      <c r="N49">
        <f>SUM(B49:M49)</f>
        <v/>
      </c>
    </row>
    <row r="51">
      <c r="A51" t="n">
        <v>2024</v>
      </c>
      <c r="B51">
        <f>SUM(B52:B53)</f>
        <v/>
      </c>
      <c r="C51">
        <f>SUM(C52:C53)</f>
        <v/>
      </c>
      <c r="D51">
        <f>SUM(D52:D53)</f>
        <v/>
      </c>
      <c r="E51">
        <f>SUM(E52:E53)</f>
        <v/>
      </c>
      <c r="F51">
        <f>SUM(F52:F53)</f>
        <v/>
      </c>
      <c r="G51">
        <f>SUM(G52:G53)</f>
        <v/>
      </c>
      <c r="H51">
        <f>SUM(H52:H53)</f>
        <v/>
      </c>
      <c r="I51">
        <f>SUM(I52:I53)</f>
        <v/>
      </c>
      <c r="J51">
        <f>SUM(J52:J53)</f>
        <v/>
      </c>
      <c r="K51">
        <f>SUM(K52:K53)</f>
        <v/>
      </c>
      <c r="L51">
        <f>SUM(L52:L53)</f>
        <v/>
      </c>
      <c r="M51">
        <f>SUM(M52:M53)</f>
        <v/>
      </c>
      <c r="N51">
        <f>SUM(B51:M51)</f>
        <v/>
      </c>
    </row>
    <row r="52">
      <c r="A52" t="inlineStr">
        <is>
          <t>- Domestics</t>
        </is>
      </c>
      <c r="N52">
        <f>SUM(B52:M52)</f>
        <v/>
      </c>
    </row>
    <row r="53">
      <c r="A53" t="inlineStr">
        <is>
          <t>- International</t>
        </is>
      </c>
      <c r="N53">
        <f>SUM(B53:M53)</f>
        <v/>
      </c>
    </row>
    <row r="55">
      <c r="A55" t="n">
        <v>2025</v>
      </c>
      <c r="B55">
        <f>SUM(B56:B57)</f>
        <v/>
      </c>
      <c r="C55">
        <f>SUM(C56:C57)</f>
        <v/>
      </c>
      <c r="D55">
        <f>SUM(D56:D57)</f>
        <v/>
      </c>
      <c r="E55">
        <f>SUM(E56:E57)</f>
        <v/>
      </c>
      <c r="F55">
        <f>SUM(F56:F57)</f>
        <v/>
      </c>
      <c r="G55">
        <f>SUM(G56:G57)</f>
        <v/>
      </c>
      <c r="H55">
        <f>SUM(H56:H57)</f>
        <v/>
      </c>
      <c r="I55">
        <f>SUM(I56:I57)</f>
        <v/>
      </c>
      <c r="J55">
        <f>SUM(J56:J57)</f>
        <v/>
      </c>
      <c r="K55">
        <f>SUM(K56:K57)</f>
        <v/>
      </c>
      <c r="L55">
        <f>SUM(L56:L57)</f>
        <v/>
      </c>
      <c r="M55">
        <f>SUM(M56:M57)</f>
        <v/>
      </c>
      <c r="N55">
        <f>SUM(B55:M55)</f>
        <v/>
      </c>
    </row>
    <row r="56">
      <c r="A56" t="inlineStr">
        <is>
          <t>- Domestics</t>
        </is>
      </c>
      <c r="B56" t="n">
        <v>1185508</v>
      </c>
      <c r="C56" t="n">
        <v>1182365</v>
      </c>
      <c r="D56" t="n">
        <v>1376266</v>
      </c>
      <c r="E56" t="n">
        <v>1764642</v>
      </c>
      <c r="F56" t="n">
        <v>1651588</v>
      </c>
      <c r="G56" t="n">
        <v>1292830</v>
      </c>
      <c r="N56">
        <f>SUM(B56:M56)</f>
        <v/>
      </c>
    </row>
    <row r="57">
      <c r="A57" t="inlineStr">
        <is>
          <t>- International</t>
        </is>
      </c>
      <c r="B57" t="n">
        <v>1077146</v>
      </c>
      <c r="C57" t="n">
        <v>1030959</v>
      </c>
      <c r="D57" t="n">
        <v>1030207</v>
      </c>
      <c r="E57" t="n">
        <v>850812</v>
      </c>
      <c r="F57" t="n">
        <v>742511</v>
      </c>
      <c r="G57" t="n">
        <v>690056</v>
      </c>
      <c r="N57">
        <f>SUM(B57:M57)</f>
        <v/>
      </c>
    </row>
    <row r="59">
      <c r="A59" t="n">
        <v>2026</v>
      </c>
      <c r="B59">
        <f>SUM(B60:B61)</f>
        <v/>
      </c>
      <c r="C59">
        <f>SUM(C60:C61)</f>
        <v/>
      </c>
      <c r="D59">
        <f>SUM(D60:D61)</f>
        <v/>
      </c>
      <c r="E59">
        <f>SUM(E60:E61)</f>
        <v/>
      </c>
      <c r="F59">
        <f>SUM(F60:F61)</f>
        <v/>
      </c>
      <c r="G59">
        <f>SUM(G60:G61)</f>
        <v/>
      </c>
      <c r="H59">
        <f>SUM(H60:H61)</f>
        <v/>
      </c>
      <c r="I59">
        <f>SUM(I60:I61)</f>
        <v/>
      </c>
      <c r="J59">
        <f>SUM(J60:J61)</f>
        <v/>
      </c>
      <c r="K59">
        <f>SUM(K60:K61)</f>
        <v/>
      </c>
      <c r="L59">
        <f>SUM(L60:L61)</f>
        <v/>
      </c>
      <c r="M59">
        <f>SUM(M60:M61)</f>
        <v/>
      </c>
      <c r="N59">
        <f>SUM(B59:M59)</f>
        <v/>
      </c>
    </row>
    <row r="60">
      <c r="A60" t="inlineStr">
        <is>
          <t>- Domestics</t>
        </is>
      </c>
      <c r="B60" t="n">
        <v>1187042</v>
      </c>
      <c r="C60" t="n">
        <v>1131059</v>
      </c>
      <c r="D60" t="n">
        <v>1289860</v>
      </c>
      <c r="E60" t="n">
        <v>1829691</v>
      </c>
      <c r="F60" t="n">
        <v>1607296</v>
      </c>
      <c r="G60" t="n">
        <v>1331330</v>
      </c>
      <c r="N60">
        <f>SUM(B60:M60)</f>
        <v/>
      </c>
    </row>
    <row r="61">
      <c r="A61" t="inlineStr">
        <is>
          <t>- International</t>
        </is>
      </c>
      <c r="B61" t="n">
        <v>941284</v>
      </c>
      <c r="C61" t="n">
        <v>1081625</v>
      </c>
      <c r="D61" t="n">
        <v>974714</v>
      </c>
      <c r="E61" t="n">
        <v>740668</v>
      </c>
      <c r="F61" t="n">
        <v>747803</v>
      </c>
      <c r="G61" t="n">
        <v>644240</v>
      </c>
      <c r="N61">
        <f>SUM(B61:M61)</f>
        <v/>
      </c>
    </row>
    <row r="63">
      <c r="A63" t="inlineStr">
        <is>
          <t>Source: MOTS provincial visitor statistics (ผู้เยี่ยมเยือน) — 2025+2026 Jan-Jun filled; Jan-Mar 2026 final (R), Apr-Jun preliminary (p). 2019/2024 await those year editions. Chonburi province = Pattaya per Mae.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Ariya Ariyachotima</dc:creator>
  <dcterms:created xmlns:dcterms="http://purl.org/dc/terms/" xmlns:xsi="http://www.w3.org/2001/XMLSchema-instance" xsi:type="dcterms:W3CDTF">2026-07-30T02:17:08Z</dcterms:created>
  <dcterms:modified xmlns:dcterms="http://purl.org/dc/terms/" xmlns:xsi="http://www.w3.org/2001/XMLSchema-instance" xsi:type="dcterms:W3CDTF">2026-07-30T02:22:00Z</dcterms:modified>
  <cp:lastModifiedBy>Ariya Ariyachotima</cp:lastModifiedBy>
</cp:coreProperties>
</file>