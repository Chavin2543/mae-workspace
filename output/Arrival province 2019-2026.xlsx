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Yu Gothic UI"/>
      <family val="2"/>
      <b val="1"/>
      <color theme="0"/>
      <sz val="11"/>
    </font>
    <font>
      <name val="Yu Gothic UI"/>
      <family val="2"/>
      <b val="1"/>
      <color theme="1"/>
      <sz val="11"/>
    </font>
    <font>
      <name val="Yu Gothic UI"/>
      <family val="2"/>
      <color theme="1"/>
      <sz val="11"/>
    </font>
    <font>
      <name val="Yu Gothic UI"/>
      <family val="2"/>
      <color theme="1"/>
      <sz val="11"/>
    </font>
    <font>
      <name val="Yu Gothic UI"/>
      <family val="2"/>
      <b val="1"/>
      <color theme="1"/>
      <sz val="11"/>
    </font>
    <font>
      <name val="Yu Gothic UI"/>
      <family val="2"/>
      <i val="1"/>
      <color theme="1"/>
      <sz val="11"/>
    </font>
    <font>
      <name val="Yu Gothic UI"/>
      <family val="2"/>
      <b val="1"/>
      <i val="1"/>
      <color theme="1"/>
      <sz val="11"/>
    </font>
    <font>
      <name val="Yu Gothic U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vertical="center"/>
    </xf>
    <xf numFmtId="0" fontId="4" fillId="3" borderId="1" applyAlignment="1" pivotButton="0" quotePrefix="1" xfId="0">
      <alignment horizontal="left" vertical="center"/>
    </xf>
    <xf numFmtId="3" fontId="4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9" fontId="7" fillId="3" borderId="0" applyAlignment="1" pivotButton="0" quotePrefix="0" xfId="1">
      <alignment horizontal="center" vertical="center"/>
    </xf>
    <xf numFmtId="9" fontId="7" fillId="4" borderId="0" applyAlignment="1" pivotButton="0" quotePrefix="0" xfId="1">
      <alignment horizontal="center" vertical="center"/>
    </xf>
    <xf numFmtId="0" fontId="8" fillId="3" borderId="0" applyAlignment="1" pivotButton="0" quotePrefix="0" xfId="0">
      <alignment vertical="center"/>
    </xf>
    <xf numFmtId="3" fontId="9" fillId="3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3" fontId="3" fillId="3" borderId="0" applyAlignment="1" pivotButton="0" quotePrefix="0" xfId="0">
      <alignment vertical="center"/>
    </xf>
    <xf numFmtId="164" fontId="7" fillId="3" borderId="0" applyAlignment="1" pivotButton="0" quotePrefix="0" xfId="1">
      <alignment horizontal="center"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70"/>
  <sheetViews>
    <sheetView tabSelected="1" workbookViewId="0">
      <selection activeCell="G17" sqref="G17"/>
    </sheetView>
  </sheetViews>
  <sheetFormatPr baseColWidth="8" defaultRowHeight="14.5"/>
  <cols>
    <col width="13.6328125" customWidth="1" min="1" max="1"/>
    <col width="13" customWidth="1" min="2" max="2"/>
    <col width="11.6328125" customWidth="1" min="3" max="6"/>
    <col width="11.08984375" customWidth="1" min="7" max="7"/>
    <col width="12" customWidth="1" min="14" max="14"/>
  </cols>
  <sheetData>
    <row r="2" ht="49.5" customHeight="1">
      <c r="A2" s="1" t="inlineStr">
        <is>
          <t>Bangkok Arrivals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  <c r="N2" s="2" t="inlineStr">
        <is>
          <t>Total</t>
        </is>
      </c>
    </row>
    <row r="3" ht="16.5" customHeight="1">
      <c r="A3" s="3" t="n">
        <v>2019</v>
      </c>
      <c r="B3" s="4">
        <f>SUM(B4:B5)</f>
        <v/>
      </c>
      <c r="C3" s="4">
        <f>SUM(C4:C5)</f>
        <v/>
      </c>
      <c r="D3" s="4">
        <f>SUM(D4:D5)</f>
        <v/>
      </c>
      <c r="E3" s="4">
        <f>SUM(E4:E5)</f>
        <v/>
      </c>
      <c r="F3" s="4">
        <f>SUM(F4:F5)</f>
        <v/>
      </c>
      <c r="G3" s="4">
        <f>SUM(G4:G5)</f>
        <v/>
      </c>
      <c r="H3" s="4">
        <f>SUM(H4:H5)</f>
        <v/>
      </c>
      <c r="I3" s="4">
        <f>SUM(I4:I5)</f>
        <v/>
      </c>
      <c r="J3" s="4">
        <f>SUM(J4:J5)</f>
        <v/>
      </c>
      <c r="K3" s="4">
        <f>SUM(K4:K5)</f>
        <v/>
      </c>
      <c r="L3" s="4">
        <f>SUM(L4:L5)</f>
        <v/>
      </c>
      <c r="M3" s="4">
        <f>SUM(M4:M5)</f>
        <v/>
      </c>
      <c r="N3" s="4">
        <f>SUM(B3:M3)</f>
        <v/>
      </c>
    </row>
    <row r="4" ht="16.5" customHeight="1">
      <c r="A4" s="5" t="inlineStr">
        <is>
          <t>- Domestics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4">
        <f>SUM(B4:M4)</f>
        <v/>
      </c>
    </row>
    <row r="5" ht="16.5" customHeight="1">
      <c r="A5" s="5" t="inlineStr">
        <is>
          <t>- International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4">
        <f>SUM(B5:M5)</f>
        <v/>
      </c>
    </row>
    <row r="6" ht="16.5" customHeight="1">
      <c r="A6" s="9" t="inlineStr">
        <is>
          <t>% Domestic</t>
        </is>
      </c>
      <c r="B6" s="10">
        <f>B4/B3</f>
        <v/>
      </c>
      <c r="C6" s="10">
        <f>C4/C3</f>
        <v/>
      </c>
      <c r="D6" s="10">
        <f>D4/D3</f>
        <v/>
      </c>
      <c r="E6" s="11">
        <f>E4/E3</f>
        <v/>
      </c>
      <c r="F6" s="11">
        <f>F4/F3</f>
        <v/>
      </c>
      <c r="G6" s="10">
        <f>G4/G3</f>
        <v/>
      </c>
      <c r="H6" s="7" t="n"/>
      <c r="I6" s="7" t="n"/>
      <c r="J6" s="7" t="n"/>
      <c r="K6" s="7" t="n"/>
      <c r="L6" s="7" t="n"/>
      <c r="M6" s="7" t="n"/>
      <c r="N6" s="8" t="n"/>
    </row>
    <row r="7" ht="16.5" customHeight="1">
      <c r="A7" s="3" t="n">
        <v>2023</v>
      </c>
      <c r="B7" s="4">
        <f>SUM(B8:B9)</f>
        <v/>
      </c>
      <c r="C7" s="4">
        <f>SUM(C8:C9)</f>
        <v/>
      </c>
      <c r="D7" s="4">
        <f>SUM(D8:D9)</f>
        <v/>
      </c>
      <c r="E7" s="4">
        <f>SUM(E8:E9)</f>
        <v/>
      </c>
      <c r="F7" s="4">
        <f>SUM(F8:F9)</f>
        <v/>
      </c>
      <c r="G7" s="4">
        <f>SUM(G8:G9)</f>
        <v/>
      </c>
      <c r="H7" s="4">
        <f>SUM(H8:H9)</f>
        <v/>
      </c>
      <c r="I7" s="4">
        <f>SUM(I8:I9)</f>
        <v/>
      </c>
      <c r="J7" s="4">
        <f>SUM(J8:J9)</f>
        <v/>
      </c>
      <c r="K7" s="4">
        <f>SUM(K8:K9)</f>
        <v/>
      </c>
      <c r="L7" s="4">
        <f>SUM(L8:L9)</f>
        <v/>
      </c>
      <c r="M7" s="4">
        <f>SUM(M8:M9)</f>
        <v/>
      </c>
      <c r="N7" s="4">
        <f>SUM(B7:M7)</f>
        <v/>
      </c>
    </row>
    <row r="8" ht="16.5" customHeight="1">
      <c r="A8" s="5" t="inlineStr">
        <is>
          <t>- Domestics</t>
        </is>
      </c>
      <c r="B8" s="6" t="n">
        <v>2487365</v>
      </c>
      <c r="C8" s="6" t="n">
        <v>2281696</v>
      </c>
      <c r="D8" s="6" t="n">
        <v>2808837</v>
      </c>
      <c r="E8" s="6" t="n">
        <v>2789539</v>
      </c>
      <c r="F8" s="6" t="n">
        <v>2802826</v>
      </c>
      <c r="G8" s="6" t="n">
        <v>2447327</v>
      </c>
      <c r="H8" s="6" t="n">
        <v>2210636</v>
      </c>
      <c r="I8" s="6" t="n">
        <v>2666551</v>
      </c>
      <c r="J8" s="6" t="n">
        <v>2744885</v>
      </c>
      <c r="K8" s="6" t="n">
        <v>2597555</v>
      </c>
      <c r="L8" s="6" t="n">
        <v>3065296</v>
      </c>
      <c r="M8" s="6" t="n">
        <v>2984695</v>
      </c>
      <c r="N8" s="4">
        <f>SUM(B8:M8)</f>
        <v/>
      </c>
    </row>
    <row r="9" ht="16.5" customHeight="1">
      <c r="A9" s="5" t="inlineStr">
        <is>
          <t>- International</t>
        </is>
      </c>
      <c r="B9" s="6" t="n">
        <v>1953047</v>
      </c>
      <c r="C9" s="6" t="n">
        <v>1958466</v>
      </c>
      <c r="D9" s="6" t="n">
        <v>2065572</v>
      </c>
      <c r="E9" s="6" t="n">
        <v>1890055</v>
      </c>
      <c r="F9" s="6" t="n">
        <v>1773941</v>
      </c>
      <c r="G9" s="6" t="n">
        <v>1974458</v>
      </c>
      <c r="H9" s="6" t="n">
        <v>2258911</v>
      </c>
      <c r="I9" s="6" t="n">
        <v>2235251</v>
      </c>
      <c r="J9" s="6" t="n">
        <v>1961896</v>
      </c>
      <c r="K9" s="6" t="n">
        <v>1778018</v>
      </c>
      <c r="L9" s="6" t="n">
        <v>1951040</v>
      </c>
      <c r="M9" s="6" t="n">
        <v>2179324</v>
      </c>
      <c r="N9" s="4">
        <f>SUM(B9:M9)</f>
        <v/>
      </c>
    </row>
    <row r="10" ht="16.5" customHeight="1">
      <c r="A10" s="9" t="inlineStr">
        <is>
          <t>% Domestic</t>
        </is>
      </c>
      <c r="B10" s="10">
        <f>B8/B7</f>
        <v/>
      </c>
      <c r="C10" s="10">
        <f>C8/C7</f>
        <v/>
      </c>
      <c r="D10" s="10">
        <f>D8/D7</f>
        <v/>
      </c>
      <c r="E10" s="11">
        <f>E8/E7</f>
        <v/>
      </c>
      <c r="F10" s="11">
        <f>F8/F7</f>
        <v/>
      </c>
      <c r="G10" s="10">
        <f>G8/G7</f>
        <v/>
      </c>
      <c r="H10" s="10">
        <f>H8/H7</f>
        <v/>
      </c>
      <c r="I10" s="10">
        <f>I8/I7</f>
        <v/>
      </c>
      <c r="J10" s="10">
        <f>J8/J7</f>
        <v/>
      </c>
      <c r="K10" s="11">
        <f>K8/K7</f>
        <v/>
      </c>
      <c r="L10" s="10">
        <f>L8/L7</f>
        <v/>
      </c>
      <c r="M10" s="10" t="n"/>
      <c r="N10" s="12" t="n"/>
    </row>
    <row r="11" ht="16.5" customHeight="1">
      <c r="A11" s="3" t="n">
        <v>2024</v>
      </c>
      <c r="B11" s="4">
        <f>SUM(B12:B13)</f>
        <v/>
      </c>
      <c r="C11" s="4">
        <f>SUM(C12:C13)</f>
        <v/>
      </c>
      <c r="D11" s="4">
        <f>SUM(D12:D13)</f>
        <v/>
      </c>
      <c r="E11" s="4">
        <f>SUM(E12:E13)</f>
        <v/>
      </c>
      <c r="F11" s="4">
        <f>SUM(F12:F13)</f>
        <v/>
      </c>
      <c r="G11" s="4">
        <f>SUM(G12:G13)</f>
        <v/>
      </c>
      <c r="H11" s="4">
        <f>SUM(H12:H13)</f>
        <v/>
      </c>
      <c r="I11" s="4">
        <f>SUM(I12:I13)</f>
        <v/>
      </c>
      <c r="J11" s="4">
        <f>SUM(J12:J13)</f>
        <v/>
      </c>
      <c r="K11" s="4">
        <f>SUM(K12:K13)</f>
        <v/>
      </c>
      <c r="L11" s="4">
        <f>SUM(L12:L13)</f>
        <v/>
      </c>
      <c r="M11" s="4">
        <f>SUM(M12:M13)</f>
        <v/>
      </c>
      <c r="N11" s="4">
        <f>SUM(B11:M11)</f>
        <v/>
      </c>
    </row>
    <row r="12" ht="16.5" customHeight="1">
      <c r="A12" s="5" t="inlineStr">
        <is>
          <t>- Domestics</t>
        </is>
      </c>
      <c r="B12" s="6" t="n">
        <v>2665097</v>
      </c>
      <c r="C12" s="6" t="n">
        <v>2206042</v>
      </c>
      <c r="D12" s="6" t="n">
        <v>2342580</v>
      </c>
      <c r="E12" s="6" t="n">
        <v>2649470</v>
      </c>
      <c r="F12" s="6" t="n">
        <v>2639221</v>
      </c>
      <c r="G12" s="6" t="n">
        <v>2325320</v>
      </c>
      <c r="H12" s="6" t="n">
        <v>2293094</v>
      </c>
      <c r="I12" s="6" t="n">
        <v>2765047</v>
      </c>
      <c r="J12" s="6" t="n">
        <v>2787207</v>
      </c>
      <c r="K12" s="6" t="n">
        <v>3173074</v>
      </c>
      <c r="L12" s="6" t="n">
        <v>2685516</v>
      </c>
      <c r="M12" s="6" t="n">
        <v>3178080</v>
      </c>
      <c r="N12" s="4">
        <f>SUM(B12:M12)</f>
        <v/>
      </c>
    </row>
    <row r="13" ht="16.5" customHeight="1">
      <c r="A13" s="5" t="inlineStr">
        <is>
          <t>- International</t>
        </is>
      </c>
      <c r="B13" s="6" t="n">
        <v>2432177</v>
      </c>
      <c r="C13" s="6" t="n">
        <v>2534182</v>
      </c>
      <c r="D13" s="6" t="n">
        <v>2243273</v>
      </c>
      <c r="E13" s="6" t="n">
        <v>2122618</v>
      </c>
      <c r="F13" s="6" t="n">
        <v>2017830</v>
      </c>
      <c r="G13" s="6" t="n">
        <v>2143245</v>
      </c>
      <c r="H13" s="6" t="n">
        <v>2352648</v>
      </c>
      <c r="I13" s="6" t="n">
        <v>2307500</v>
      </c>
      <c r="J13" s="6" t="n">
        <v>2025231</v>
      </c>
      <c r="K13" s="6" t="n">
        <v>2083374</v>
      </c>
      <c r="L13" s="6" t="n">
        <v>2305326</v>
      </c>
      <c r="M13" s="6" t="n">
        <v>2527120</v>
      </c>
      <c r="N13" s="4">
        <f>SUM(B13:M13)</f>
        <v/>
      </c>
    </row>
    <row r="14" ht="16.5" customHeight="1">
      <c r="A14" s="9" t="inlineStr">
        <is>
          <t>% Domestic</t>
        </is>
      </c>
      <c r="B14" s="10">
        <f>B12/B11</f>
        <v/>
      </c>
      <c r="C14" s="10">
        <f>C12/C11</f>
        <v/>
      </c>
      <c r="D14" s="10">
        <f>D12/D11</f>
        <v/>
      </c>
      <c r="E14" s="11">
        <f>E12/E11</f>
        <v/>
      </c>
      <c r="F14" s="11">
        <f>F12/F11</f>
        <v/>
      </c>
      <c r="G14" s="10">
        <f>G12/G11</f>
        <v/>
      </c>
      <c r="H14" s="10">
        <f>H12/H11</f>
        <v/>
      </c>
      <c r="I14" s="10">
        <f>I12/I11</f>
        <v/>
      </c>
      <c r="J14" s="10">
        <f>J12/J11</f>
        <v/>
      </c>
      <c r="K14" s="11">
        <f>K12/K11</f>
        <v/>
      </c>
      <c r="L14" s="10">
        <f>L12/L11</f>
        <v/>
      </c>
      <c r="M14" s="10" t="n"/>
      <c r="N14" s="12" t="n"/>
    </row>
    <row r="15" ht="16.5" customHeight="1">
      <c r="A15" s="3" t="n">
        <v>2025</v>
      </c>
      <c r="B15" s="4">
        <f>SUM(B16:B17)</f>
        <v/>
      </c>
      <c r="C15" s="4">
        <f>SUM(C16:C17)</f>
        <v/>
      </c>
      <c r="D15" s="4">
        <f>SUM(D16:D17)</f>
        <v/>
      </c>
      <c r="E15" s="4">
        <f>SUM(E16:E17)</f>
        <v/>
      </c>
      <c r="F15" s="4">
        <f>SUM(F16:F17)</f>
        <v/>
      </c>
      <c r="G15" s="4">
        <f>SUM(G16:G17)</f>
        <v/>
      </c>
      <c r="H15" s="4">
        <f>SUM(H16:H17)</f>
        <v/>
      </c>
      <c r="I15" s="4">
        <f>SUM(I16:I17)</f>
        <v/>
      </c>
      <c r="J15" s="13">
        <f>SUM(J16:J17)</f>
        <v/>
      </c>
      <c r="K15" s="4">
        <f>SUM(K16:K17)</f>
        <v/>
      </c>
      <c r="L15" s="4">
        <f>SUM(L16:L17)</f>
        <v/>
      </c>
      <c r="M15" s="4">
        <f>SUM(M16:M17)</f>
        <v/>
      </c>
      <c r="N15" s="4">
        <f>SUM(B15:M15)</f>
        <v/>
      </c>
    </row>
    <row r="16" ht="16.5" customHeight="1">
      <c r="A16" s="5" t="inlineStr">
        <is>
          <t>- Domestics</t>
        </is>
      </c>
      <c r="B16" s="6" t="n">
        <v>2157546</v>
      </c>
      <c r="C16" s="6" t="n">
        <v>2379572</v>
      </c>
      <c r="D16" s="6" t="n">
        <v>2650644</v>
      </c>
      <c r="E16" s="6" t="n">
        <v>2343256</v>
      </c>
      <c r="F16" s="6" t="n">
        <v>2645108</v>
      </c>
      <c r="G16" s="6" t="n">
        <v>2370875</v>
      </c>
      <c r="H16" s="6" t="n"/>
      <c r="I16" s="14" t="n"/>
      <c r="J16" s="14" t="n"/>
      <c r="K16" s="6" t="n"/>
      <c r="L16" s="6" t="n"/>
      <c r="M16" s="6" t="n"/>
      <c r="N16" s="4">
        <f>SUM(B16:M16)</f>
        <v/>
      </c>
    </row>
    <row r="17" ht="16.5" customHeight="1">
      <c r="A17" s="5" t="inlineStr">
        <is>
          <t>- International</t>
        </is>
      </c>
      <c r="B17" s="6" t="n">
        <v>2631003</v>
      </c>
      <c r="C17" s="6" t="n">
        <v>2280653</v>
      </c>
      <c r="D17" s="6" t="n">
        <v>1994772</v>
      </c>
      <c r="E17" s="6" t="n">
        <v>1957180</v>
      </c>
      <c r="F17" s="6" t="n">
        <v>1761572</v>
      </c>
      <c r="G17" s="6" t="n">
        <v>1807070</v>
      </c>
      <c r="H17" s="6" t="n"/>
      <c r="I17" s="14" t="n"/>
      <c r="J17" s="14" t="n"/>
      <c r="K17" s="6" t="n"/>
      <c r="L17" s="6" t="n"/>
      <c r="M17" s="6" t="n"/>
      <c r="N17" s="4">
        <f>SUM(B17:M17)</f>
        <v/>
      </c>
    </row>
    <row r="18" ht="16.5" customHeight="1">
      <c r="A18" s="9" t="inlineStr">
        <is>
          <t>% Domestic</t>
        </is>
      </c>
      <c r="B18" s="10">
        <f>B16/B15</f>
        <v/>
      </c>
      <c r="C18" s="10">
        <f>C16/C15</f>
        <v/>
      </c>
      <c r="D18" s="10">
        <f>D16/D15</f>
        <v/>
      </c>
      <c r="E18" s="10">
        <f>E16/E15</f>
        <v/>
      </c>
      <c r="F18" s="10">
        <f>F16/F15</f>
        <v/>
      </c>
      <c r="G18" s="10">
        <f>G16/G15</f>
        <v/>
      </c>
      <c r="H18" s="15" t="n"/>
      <c r="I18" s="15" t="n"/>
      <c r="J18" s="7" t="n"/>
      <c r="K18" s="15" t="n"/>
      <c r="L18" s="15" t="n"/>
      <c r="M18" s="15" t="n"/>
      <c r="N18" s="16" t="n"/>
    </row>
    <row r="19" ht="16.5" customHeight="1">
      <c r="A19" s="3" t="n">
        <v>2026</v>
      </c>
      <c r="B19" s="4">
        <f>SUM(B20:B21)</f>
        <v/>
      </c>
      <c r="C19" s="4">
        <f>SUM(C20:C21)</f>
        <v/>
      </c>
      <c r="D19" s="4">
        <f>SUM(D20:D21)</f>
        <v/>
      </c>
      <c r="E19" s="4">
        <f>SUM(E20:E21)</f>
        <v/>
      </c>
      <c r="F19" s="4">
        <f>SUM(F20:F21)</f>
        <v/>
      </c>
      <c r="G19" s="4">
        <f>SUM(G20:G21)</f>
        <v/>
      </c>
      <c r="H19" s="4">
        <f>SUM(H20:H21)</f>
        <v/>
      </c>
      <c r="I19" s="4">
        <f>SUM(I20:I21)</f>
        <v/>
      </c>
      <c r="J19" s="13">
        <f>SUM(J20:J21)</f>
        <v/>
      </c>
      <c r="K19" s="4">
        <f>SUM(K20:K21)</f>
        <v/>
      </c>
      <c r="L19" s="4">
        <f>SUM(L20:L21)</f>
        <v/>
      </c>
      <c r="M19" s="4">
        <f>SUM(M20:M21)</f>
        <v/>
      </c>
      <c r="N19" s="4">
        <f>SUM(B19:M19)</f>
        <v/>
      </c>
    </row>
    <row r="20" ht="16.5" customHeight="1">
      <c r="A20" s="5" t="inlineStr">
        <is>
          <t>- Domestics</t>
        </is>
      </c>
      <c r="B20" s="6" t="n">
        <v>2334187</v>
      </c>
      <c r="C20" s="6" t="n">
        <v>2499572</v>
      </c>
      <c r="D20" s="6" t="n">
        <v>2907661</v>
      </c>
      <c r="E20" s="6" t="n">
        <v>2472364</v>
      </c>
      <c r="F20" s="6" t="n">
        <v>2718774</v>
      </c>
      <c r="G20" s="6" t="n">
        <v>2512532</v>
      </c>
      <c r="H20" s="6" t="n"/>
      <c r="I20" s="14" t="n"/>
      <c r="J20" s="14" t="n"/>
      <c r="K20" s="6" t="n"/>
      <c r="L20" s="6" t="n"/>
      <c r="M20" s="6" t="n"/>
      <c r="N20" s="4">
        <f>SUM(B20:M20)</f>
        <v/>
      </c>
    </row>
    <row r="21" ht="16.5" customHeight="1">
      <c r="A21" s="5" t="inlineStr">
        <is>
          <t>- International</t>
        </is>
      </c>
      <c r="B21" s="6" t="n">
        <v>2469867</v>
      </c>
      <c r="C21" s="6" t="n">
        <v>2479586</v>
      </c>
      <c r="D21" s="6" t="n">
        <v>2095852</v>
      </c>
      <c r="E21" s="6" t="n">
        <v>1821886</v>
      </c>
      <c r="F21" s="6" t="n">
        <v>1817868</v>
      </c>
      <c r="G21" s="6" t="n">
        <v>1733888</v>
      </c>
      <c r="H21" s="6" t="n"/>
      <c r="I21" s="14" t="n"/>
      <c r="J21" s="14" t="n"/>
      <c r="K21" s="6" t="n"/>
      <c r="L21" s="6" t="n"/>
      <c r="M21" s="6" t="n"/>
      <c r="N21" s="4">
        <f>SUM(B21:M21)</f>
        <v/>
      </c>
    </row>
    <row r="22" ht="16.5" customHeight="1">
      <c r="A22" s="9" t="inlineStr">
        <is>
          <t>% Domestic</t>
        </is>
      </c>
      <c r="B22" s="10">
        <f>B20/B19</f>
        <v/>
      </c>
      <c r="C22" s="10">
        <f>C20/C19</f>
        <v/>
      </c>
      <c r="D22" s="10">
        <f>D20/D19</f>
        <v/>
      </c>
      <c r="E22" s="10">
        <f>E20/E19</f>
        <v/>
      </c>
      <c r="F22" s="10">
        <f>F20/F19</f>
        <v/>
      </c>
      <c r="G22" s="10">
        <f>G20/G19</f>
        <v/>
      </c>
      <c r="H22" s="7" t="n"/>
      <c r="I22" s="7" t="n"/>
      <c r="J22" s="7" t="n"/>
      <c r="K22" s="7" t="n"/>
      <c r="L22" s="7" t="n"/>
      <c r="M22" s="7" t="n"/>
      <c r="N22" s="8" t="n"/>
    </row>
    <row r="23" ht="16.5" customHeight="1">
      <c r="A23" s="9" t="inlineStr">
        <is>
          <t>26 Vs 25</t>
        </is>
      </c>
      <c r="B23" s="17">
        <f>(B19-B15)/B15</f>
        <v/>
      </c>
      <c r="C23" s="17">
        <f>(C19-C15)/C15</f>
        <v/>
      </c>
      <c r="D23" s="17">
        <f>(D19-D15)/D15</f>
        <v/>
      </c>
      <c r="E23" s="17">
        <f>(E19-E15)/E15</f>
        <v/>
      </c>
      <c r="F23" s="17">
        <f>(F19-F15)/F15</f>
        <v/>
      </c>
      <c r="G23" s="17">
        <f>(G19-G15)/G15</f>
        <v/>
      </c>
      <c r="H23" s="7" t="n"/>
      <c r="I23" s="7" t="n"/>
      <c r="J23" s="7" t="n"/>
      <c r="K23" s="7" t="n"/>
      <c r="L23" s="7" t="n"/>
      <c r="M23" s="7" t="n"/>
      <c r="N23" s="8" t="n"/>
    </row>
    <row r="24" ht="16.5" customHeight="1">
      <c r="A24" s="9" t="n"/>
      <c r="B24" s="17" t="n"/>
      <c r="C24" s="17" t="n"/>
      <c r="D24" s="17" t="n"/>
      <c r="E24" s="17" t="n"/>
      <c r="F24" s="17" t="n"/>
      <c r="G24" s="17" t="n"/>
      <c r="H24" s="7" t="n"/>
      <c r="I24" s="7" t="n"/>
      <c r="J24" s="7" t="n"/>
      <c r="K24" s="7" t="n"/>
      <c r="L24" s="7" t="n"/>
      <c r="M24" s="7" t="n"/>
      <c r="N24" s="8" t="n"/>
    </row>
    <row r="25" ht="33" customHeight="1">
      <c r="A25" s="1" t="inlineStr">
        <is>
          <t>Phuket Arrivals</t>
        </is>
      </c>
      <c r="B25" s="2" t="inlineStr">
        <is>
          <t>Jan</t>
        </is>
      </c>
      <c r="C25" s="2" t="inlineStr">
        <is>
          <t>Feb</t>
        </is>
      </c>
      <c r="D25" s="2" t="inlineStr">
        <is>
          <t>Mar</t>
        </is>
      </c>
      <c r="E25" s="2" t="inlineStr">
        <is>
          <t>Apr</t>
        </is>
      </c>
      <c r="F25" s="2" t="inlineStr">
        <is>
          <t>May</t>
        </is>
      </c>
      <c r="G25" s="2" t="inlineStr">
        <is>
          <t>Jun</t>
        </is>
      </c>
      <c r="H25" s="2" t="inlineStr">
        <is>
          <t>Jul</t>
        </is>
      </c>
      <c r="I25" s="2" t="inlineStr">
        <is>
          <t>Aug</t>
        </is>
      </c>
      <c r="J25" s="2" t="inlineStr">
        <is>
          <t>Sep</t>
        </is>
      </c>
      <c r="K25" s="2" t="inlineStr">
        <is>
          <t>Oct</t>
        </is>
      </c>
      <c r="L25" s="2" t="inlineStr">
        <is>
          <t>Nov</t>
        </is>
      </c>
      <c r="M25" s="2" t="inlineStr">
        <is>
          <t>Dec</t>
        </is>
      </c>
      <c r="N25" s="2" t="inlineStr">
        <is>
          <t>Total</t>
        </is>
      </c>
    </row>
    <row r="26" ht="16.5" customHeight="1">
      <c r="A26" s="3" t="n">
        <v>2019</v>
      </c>
      <c r="B26" s="4">
        <f>SUM(B27:B28)</f>
        <v/>
      </c>
      <c r="C26" s="4">
        <f>SUM(C27:C28)</f>
        <v/>
      </c>
      <c r="D26" s="4">
        <f>SUM(D27:D28)</f>
        <v/>
      </c>
      <c r="E26" s="4">
        <f>SUM(E27:E28)</f>
        <v/>
      </c>
      <c r="F26" s="4">
        <f>SUM(F27:F28)</f>
        <v/>
      </c>
      <c r="G26" s="4">
        <f>SUM(G27:G28)</f>
        <v/>
      </c>
      <c r="H26" s="4">
        <f>SUM(H27:H28)</f>
        <v/>
      </c>
      <c r="I26" s="4">
        <f>SUM(I27:I28)</f>
        <v/>
      </c>
      <c r="J26" s="4">
        <f>SUM(J27:J28)</f>
        <v/>
      </c>
      <c r="K26" s="4">
        <f>SUM(K27:K28)</f>
        <v/>
      </c>
      <c r="L26" s="4">
        <f>SUM(L27:L28)</f>
        <v/>
      </c>
      <c r="M26" s="4">
        <f>SUM(M27:M28)</f>
        <v/>
      </c>
      <c r="N26" s="4">
        <f>SUM(B26:M26)</f>
        <v/>
      </c>
    </row>
    <row r="27" ht="16.5" customHeight="1">
      <c r="A27" s="5" t="inlineStr">
        <is>
          <t>- Domestics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4">
        <f>SUM(B27:M27)</f>
        <v/>
      </c>
    </row>
    <row r="28" ht="16.5" customHeight="1">
      <c r="A28" s="5" t="inlineStr">
        <is>
          <t>- International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4">
        <f>SUM(B28:M28)</f>
        <v/>
      </c>
    </row>
    <row r="29" ht="16.5" customHeight="1">
      <c r="A29" s="9" t="inlineStr">
        <is>
          <t>% Domestic</t>
        </is>
      </c>
      <c r="B29" s="10">
        <f>B27/B26</f>
        <v/>
      </c>
      <c r="C29" s="10">
        <f>C27/C26</f>
        <v/>
      </c>
      <c r="D29" s="10">
        <f>D27/D26</f>
        <v/>
      </c>
      <c r="E29" s="10">
        <f>E27/E26</f>
        <v/>
      </c>
      <c r="F29" s="10">
        <f>F27/F26</f>
        <v/>
      </c>
      <c r="G29" s="10">
        <f>G27/G26</f>
        <v/>
      </c>
      <c r="H29" s="7" t="n"/>
      <c r="I29" s="7" t="n"/>
      <c r="J29" s="7" t="n"/>
      <c r="K29" s="7" t="n"/>
      <c r="L29" s="7" t="n"/>
      <c r="M29" s="7" t="n"/>
      <c r="N29" s="8" t="n"/>
    </row>
    <row r="30" ht="16.5" customHeight="1">
      <c r="A30" s="3" t="n">
        <v>2023</v>
      </c>
      <c r="B30" s="4">
        <f>SUM(B31:B32)</f>
        <v/>
      </c>
      <c r="C30" s="4">
        <f>SUM(C31:C32)</f>
        <v/>
      </c>
      <c r="D30" s="4">
        <f>SUM(D31:D32)</f>
        <v/>
      </c>
      <c r="E30" s="4">
        <f>SUM(E31:E32)</f>
        <v/>
      </c>
      <c r="F30" s="4">
        <f>SUM(F31:F32)</f>
        <v/>
      </c>
      <c r="G30" s="4">
        <f>SUM(G31:G32)</f>
        <v/>
      </c>
      <c r="H30" s="4">
        <f>SUM(H31:H32)</f>
        <v/>
      </c>
      <c r="I30" s="4">
        <f>SUM(I31:I32)</f>
        <v/>
      </c>
      <c r="J30" s="4">
        <f>SUM(J31:J32)</f>
        <v/>
      </c>
      <c r="K30" s="4">
        <f>SUM(K31:K32)</f>
        <v/>
      </c>
      <c r="L30" s="4">
        <f>SUM(L31:L32)</f>
        <v/>
      </c>
      <c r="M30" s="4">
        <f>SUM(M31:M32)</f>
        <v/>
      </c>
      <c r="N30" s="4">
        <f>SUM(B30:M30)</f>
        <v/>
      </c>
    </row>
    <row r="31" ht="16.5" customHeight="1">
      <c r="A31" s="5" t="inlineStr">
        <is>
          <t>- Domestics</t>
        </is>
      </c>
      <c r="B31" s="6" t="n">
        <v>313221</v>
      </c>
      <c r="C31" s="6" t="n">
        <v>315450</v>
      </c>
      <c r="D31" s="6" t="n">
        <v>332029</v>
      </c>
      <c r="E31" s="6" t="n">
        <v>258774</v>
      </c>
      <c r="F31" s="6" t="n">
        <v>310898</v>
      </c>
      <c r="G31" s="6" t="n">
        <v>277694</v>
      </c>
      <c r="H31" s="6" t="n">
        <v>335175</v>
      </c>
      <c r="I31" s="6" t="n">
        <v>266251</v>
      </c>
      <c r="J31" s="6" t="n">
        <v>267330</v>
      </c>
      <c r="K31" s="6" t="n">
        <v>265697</v>
      </c>
      <c r="L31" s="6" t="n">
        <v>227625</v>
      </c>
      <c r="M31" s="6" t="n">
        <v>256806</v>
      </c>
      <c r="N31" s="4">
        <f>SUM(B31:M31)</f>
        <v/>
      </c>
    </row>
    <row r="32" ht="16.5" customHeight="1">
      <c r="A32" s="5" t="inlineStr">
        <is>
          <t>- International</t>
        </is>
      </c>
      <c r="B32" s="6" t="n">
        <v>672315</v>
      </c>
      <c r="C32" s="6" t="n">
        <v>722286</v>
      </c>
      <c r="D32" s="6" t="n">
        <v>733683</v>
      </c>
      <c r="E32" s="6" t="n">
        <v>798917</v>
      </c>
      <c r="F32" s="6" t="n">
        <v>742652</v>
      </c>
      <c r="G32" s="6" t="n">
        <v>744064</v>
      </c>
      <c r="H32" s="6" t="n">
        <v>626049</v>
      </c>
      <c r="I32" s="6" t="n">
        <v>653184</v>
      </c>
      <c r="J32" s="6" t="n">
        <v>630072</v>
      </c>
      <c r="K32" s="6" t="n">
        <v>715099</v>
      </c>
      <c r="L32" s="6" t="n">
        <v>822822</v>
      </c>
      <c r="M32" s="6" t="n">
        <v>920951</v>
      </c>
      <c r="N32" s="4">
        <f>SUM(B32:M32)</f>
        <v/>
      </c>
    </row>
    <row r="33" ht="16.5" customHeight="1">
      <c r="A33" s="9" t="inlineStr">
        <is>
          <t>% Domestic</t>
        </is>
      </c>
      <c r="B33" s="10">
        <f>B31/B30</f>
        <v/>
      </c>
      <c r="C33" s="10">
        <f>C31/C30</f>
        <v/>
      </c>
      <c r="D33" s="10">
        <f>D31/D30</f>
        <v/>
      </c>
      <c r="E33" s="10">
        <f>E31/E30</f>
        <v/>
      </c>
      <c r="F33" s="10">
        <f>F31/F30</f>
        <v/>
      </c>
      <c r="G33" s="10">
        <f>G31/G30</f>
        <v/>
      </c>
      <c r="H33" s="10" t="n"/>
      <c r="I33" s="10" t="n"/>
      <c r="J33" s="10" t="n"/>
      <c r="K33" s="11" t="n"/>
      <c r="L33" s="10" t="n"/>
      <c r="M33" s="10" t="n"/>
      <c r="N33" s="12" t="n"/>
    </row>
    <row r="34" ht="16.5" customHeight="1">
      <c r="A34" s="3" t="n">
        <v>2024</v>
      </c>
      <c r="B34" s="4">
        <f>SUM(B35:B36)</f>
        <v/>
      </c>
      <c r="C34" s="4">
        <f>SUM(C35:C36)</f>
        <v/>
      </c>
      <c r="D34" s="4">
        <f>SUM(D35:D36)</f>
        <v/>
      </c>
      <c r="E34" s="4">
        <f>SUM(E35:E36)</f>
        <v/>
      </c>
      <c r="F34" s="4">
        <f>SUM(F35:F36)</f>
        <v/>
      </c>
      <c r="G34" s="4">
        <f>SUM(G35:G36)</f>
        <v/>
      </c>
      <c r="H34" s="4">
        <f>SUM(H35:H36)</f>
        <v/>
      </c>
      <c r="I34" s="4">
        <f>SUM(I35:I36)</f>
        <v/>
      </c>
      <c r="J34" s="4">
        <f>SUM(J35:J36)</f>
        <v/>
      </c>
      <c r="K34" s="4">
        <f>SUM(K35:K36)</f>
        <v/>
      </c>
      <c r="L34" s="4">
        <f>SUM(L35:L36)</f>
        <v/>
      </c>
      <c r="M34" s="4">
        <f>SUM(M35:M36)</f>
        <v/>
      </c>
      <c r="N34" s="4">
        <f>SUM(B34:M34)</f>
        <v/>
      </c>
    </row>
    <row r="35" ht="16.5" customHeight="1">
      <c r="A35" s="5" t="inlineStr">
        <is>
          <t>- Domestics</t>
        </is>
      </c>
      <c r="B35" s="6" t="n">
        <v>287306</v>
      </c>
      <c r="C35" s="6" t="n">
        <v>340760</v>
      </c>
      <c r="D35" s="6" t="n">
        <v>350780</v>
      </c>
      <c r="E35" s="6" t="n">
        <v>295050</v>
      </c>
      <c r="F35" s="6" t="n">
        <v>278343</v>
      </c>
      <c r="G35" s="6" t="n">
        <v>327396</v>
      </c>
      <c r="H35" s="6" t="n">
        <v>216214</v>
      </c>
      <c r="I35" s="6" t="n">
        <v>276604</v>
      </c>
      <c r="J35" s="6" t="n">
        <v>260525</v>
      </c>
      <c r="K35" s="6" t="n">
        <v>260975</v>
      </c>
      <c r="L35" s="6" t="n">
        <v>259112</v>
      </c>
      <c r="M35" s="6" t="n">
        <v>292630</v>
      </c>
      <c r="N35" s="4">
        <f>SUM(B35:M35)</f>
        <v/>
      </c>
    </row>
    <row r="36" ht="16.5" customHeight="1">
      <c r="A36" s="5" t="inlineStr">
        <is>
          <t>- International</t>
        </is>
      </c>
      <c r="B36" s="6" t="n">
        <v>926601</v>
      </c>
      <c r="C36" s="6" t="n">
        <v>905092</v>
      </c>
      <c r="D36" s="6" t="n">
        <v>827917</v>
      </c>
      <c r="E36" s="6" t="n">
        <v>921107</v>
      </c>
      <c r="F36" s="6" t="n">
        <v>865521</v>
      </c>
      <c r="G36" s="6" t="n">
        <v>879723</v>
      </c>
      <c r="H36" s="6" t="n">
        <v>934722</v>
      </c>
      <c r="I36" s="6" t="n">
        <v>928496</v>
      </c>
      <c r="J36" s="6" t="n">
        <v>884125</v>
      </c>
      <c r="K36" s="6" t="n">
        <v>862595</v>
      </c>
      <c r="L36" s="6" t="n">
        <v>1044266</v>
      </c>
      <c r="M36" s="6" t="n">
        <v>1085328</v>
      </c>
      <c r="N36" s="4">
        <f>SUM(B36:M36)</f>
        <v/>
      </c>
    </row>
    <row r="37" ht="16.5" customHeight="1">
      <c r="A37" s="9" t="inlineStr">
        <is>
          <t>% Domestic</t>
        </is>
      </c>
      <c r="B37" s="10">
        <f>B35/B34</f>
        <v/>
      </c>
      <c r="C37" s="10">
        <f>C35/C34</f>
        <v/>
      </c>
      <c r="D37" s="10">
        <f>D35/D34</f>
        <v/>
      </c>
      <c r="E37" s="10">
        <f>E35/E34</f>
        <v/>
      </c>
      <c r="F37" s="10">
        <f>F35/F34</f>
        <v/>
      </c>
      <c r="G37" s="10">
        <f>G35/G34</f>
        <v/>
      </c>
      <c r="H37" s="10" t="n"/>
      <c r="I37" s="10" t="n"/>
      <c r="J37" s="10" t="n"/>
      <c r="K37" s="11" t="n"/>
      <c r="L37" s="10" t="n"/>
      <c r="M37" s="10" t="n"/>
      <c r="N37" s="12" t="n"/>
    </row>
    <row r="38" ht="16.5" customHeight="1">
      <c r="A38" s="3" t="n">
        <v>2025</v>
      </c>
      <c r="B38" s="4">
        <f>SUM(B39:B40)</f>
        <v/>
      </c>
      <c r="C38" s="4">
        <f>SUM(C39:C40)</f>
        <v/>
      </c>
      <c r="D38" s="4">
        <f>SUM(D39:D40)</f>
        <v/>
      </c>
      <c r="E38" s="4">
        <f>SUM(E39:E40)</f>
        <v/>
      </c>
      <c r="F38" s="4">
        <f>SUM(F39:F40)</f>
        <v/>
      </c>
      <c r="G38" s="4">
        <f>SUM(G39:G40)</f>
        <v/>
      </c>
      <c r="H38" s="4">
        <f>SUM(H39:H40)</f>
        <v/>
      </c>
      <c r="I38" s="4">
        <f>SUM(I39:I40)</f>
        <v/>
      </c>
      <c r="J38" s="13">
        <f>SUM(J39:J40)</f>
        <v/>
      </c>
      <c r="K38" s="4">
        <f>SUM(K39:K40)</f>
        <v/>
      </c>
      <c r="L38" s="4">
        <f>SUM(L39:L40)</f>
        <v/>
      </c>
      <c r="M38" s="4">
        <f>SUM(M39:M40)</f>
        <v/>
      </c>
      <c r="N38" s="4">
        <f>SUM(B38:M38)</f>
        <v/>
      </c>
    </row>
    <row r="39" ht="16.5" customHeight="1">
      <c r="A39" s="5" t="inlineStr">
        <is>
          <t>- Domestics</t>
        </is>
      </c>
      <c r="B39" s="6" t="n">
        <v>264110</v>
      </c>
      <c r="C39" s="6" t="n">
        <v>329335</v>
      </c>
      <c r="D39" s="6" t="n">
        <v>355294</v>
      </c>
      <c r="E39" s="6" t="n">
        <v>307492</v>
      </c>
      <c r="F39" s="6" t="n">
        <v>301130</v>
      </c>
      <c r="G39" s="6" t="n">
        <v>320771</v>
      </c>
      <c r="H39" s="6" t="n"/>
      <c r="I39" s="14" t="n"/>
      <c r="J39" s="14" t="n"/>
      <c r="K39" s="6" t="n"/>
      <c r="L39" s="6" t="n"/>
      <c r="M39" s="6" t="n"/>
      <c r="N39" s="4">
        <f>SUM(B39:M39)</f>
        <v/>
      </c>
    </row>
    <row r="40" ht="16.5" customHeight="1">
      <c r="A40" s="5" t="inlineStr">
        <is>
          <t>- International</t>
        </is>
      </c>
      <c r="B40" s="6" t="n">
        <v>1066672</v>
      </c>
      <c r="C40" s="6" t="n">
        <v>934101</v>
      </c>
      <c r="D40" s="6" t="n">
        <v>795103</v>
      </c>
      <c r="E40" s="6" t="n">
        <v>866723</v>
      </c>
      <c r="F40" s="6" t="n">
        <v>817488</v>
      </c>
      <c r="G40" s="6" t="n">
        <v>725843</v>
      </c>
      <c r="H40" s="6" t="n"/>
      <c r="I40" s="14" t="n"/>
      <c r="J40" s="14" t="n"/>
      <c r="K40" s="6" t="n"/>
      <c r="L40" s="6" t="n"/>
      <c r="M40" s="6" t="n"/>
      <c r="N40" s="4">
        <f>SUM(B40:M40)</f>
        <v/>
      </c>
    </row>
    <row r="41" ht="16.5" customHeight="1">
      <c r="A41" s="9" t="inlineStr">
        <is>
          <t>% Domestic</t>
        </is>
      </c>
      <c r="B41" s="10">
        <f>B39/B38</f>
        <v/>
      </c>
      <c r="C41" s="10">
        <f>C39/C38</f>
        <v/>
      </c>
      <c r="D41" s="10">
        <f>D39/D38</f>
        <v/>
      </c>
      <c r="E41" s="10">
        <f>E39/E38</f>
        <v/>
      </c>
      <c r="F41" s="10">
        <f>F39/F38</f>
        <v/>
      </c>
      <c r="G41" s="10">
        <f>G39/G38</f>
        <v/>
      </c>
      <c r="H41" s="10">
        <f>H39/H38</f>
        <v/>
      </c>
      <c r="I41" s="10">
        <f>I39/I38</f>
        <v/>
      </c>
      <c r="J41" s="10">
        <f>J39/J38</f>
        <v/>
      </c>
      <c r="K41" s="10">
        <f>K39/K38</f>
        <v/>
      </c>
      <c r="L41" s="10">
        <f>L39/L38</f>
        <v/>
      </c>
      <c r="M41" s="10">
        <f>M39/M38</f>
        <v/>
      </c>
      <c r="N41" s="16" t="n"/>
    </row>
    <row r="42" ht="16.5" customHeight="1">
      <c r="A42" s="3" t="n">
        <v>2026</v>
      </c>
      <c r="B42" s="4">
        <f>SUM(B43:B44)</f>
        <v/>
      </c>
      <c r="C42" s="4">
        <f>SUM(C43:C44)</f>
        <v/>
      </c>
      <c r="D42" s="4">
        <f>SUM(D43:D44)</f>
        <v/>
      </c>
      <c r="E42" s="4">
        <f>SUM(E43:E44)</f>
        <v/>
      </c>
      <c r="F42" s="4">
        <f>SUM(F43:F44)</f>
        <v/>
      </c>
      <c r="G42" s="4">
        <f>SUM(G43:G44)</f>
        <v/>
      </c>
      <c r="H42" s="4">
        <f>SUM(H43:H44)</f>
        <v/>
      </c>
      <c r="I42" s="4">
        <f>SUM(I43:I44)</f>
        <v/>
      </c>
      <c r="J42" s="13">
        <f>SUM(J43:J44)</f>
        <v/>
      </c>
      <c r="K42" s="4">
        <f>SUM(K43:K44)</f>
        <v/>
      </c>
      <c r="L42" s="4">
        <f>SUM(L43:L44)</f>
        <v/>
      </c>
      <c r="M42" s="4">
        <f>SUM(M43:M44)</f>
        <v/>
      </c>
      <c r="N42" s="4">
        <f>SUM(B42:M42)</f>
        <v/>
      </c>
    </row>
    <row r="43" ht="16.5" customHeight="1">
      <c r="A43" s="5" t="inlineStr">
        <is>
          <t>- Domestics</t>
        </is>
      </c>
      <c r="B43" s="6" t="n">
        <v>276027</v>
      </c>
      <c r="C43" s="6" t="n">
        <v>384121</v>
      </c>
      <c r="D43" s="6" t="n">
        <v>344081</v>
      </c>
      <c r="E43" s="6" t="n">
        <v>300106</v>
      </c>
      <c r="F43" s="6" t="n">
        <v>292548</v>
      </c>
      <c r="G43" s="6" t="n">
        <v>306229</v>
      </c>
      <c r="H43" s="6" t="n"/>
      <c r="I43" s="14" t="n"/>
      <c r="J43" s="14" t="n"/>
      <c r="K43" s="6" t="n"/>
      <c r="L43" s="6" t="n"/>
      <c r="M43" s="6" t="n"/>
      <c r="N43" s="4">
        <f>SUM(B43:M43)</f>
        <v/>
      </c>
    </row>
    <row r="44" ht="16.5" customHeight="1">
      <c r="A44" s="5" t="inlineStr">
        <is>
          <t>- International</t>
        </is>
      </c>
      <c r="B44" s="6" t="n">
        <v>1042902</v>
      </c>
      <c r="C44" s="6" t="n">
        <v>936580</v>
      </c>
      <c r="D44" s="6" t="n">
        <v>783438</v>
      </c>
      <c r="E44" s="6" t="n">
        <v>827711</v>
      </c>
      <c r="F44" s="6" t="n">
        <v>795774</v>
      </c>
      <c r="G44" s="6" t="n">
        <v>673160</v>
      </c>
      <c r="H44" s="6" t="n"/>
      <c r="I44" s="14" t="n"/>
      <c r="J44" s="14" t="n"/>
      <c r="K44" s="6" t="n"/>
      <c r="L44" s="6" t="n"/>
      <c r="M44" s="6" t="n"/>
      <c r="N44" s="4">
        <f>SUM(B44:M44)</f>
        <v/>
      </c>
    </row>
    <row r="45" ht="16.5" customHeight="1">
      <c r="A45" s="9" t="inlineStr">
        <is>
          <t>% Domestic</t>
        </is>
      </c>
      <c r="B45" s="10">
        <f>B43/B42</f>
        <v/>
      </c>
      <c r="C45" s="10">
        <f>C43/C42</f>
        <v/>
      </c>
      <c r="D45" s="10">
        <f>D43/D42</f>
        <v/>
      </c>
      <c r="E45" s="10">
        <f>E43/E42</f>
        <v/>
      </c>
      <c r="F45" s="10">
        <f>F43/F42</f>
        <v/>
      </c>
      <c r="G45" s="10">
        <f>G43/G42</f>
        <v/>
      </c>
      <c r="H45" s="10">
        <f>H43/H42</f>
        <v/>
      </c>
      <c r="I45" s="10">
        <f>I43/I42</f>
        <v/>
      </c>
      <c r="J45" s="10">
        <f>J43/J42</f>
        <v/>
      </c>
      <c r="K45" s="10">
        <f>K43/K42</f>
        <v/>
      </c>
      <c r="L45" s="10">
        <f>L43/L42</f>
        <v/>
      </c>
      <c r="M45" s="10">
        <f>M43/M42</f>
        <v/>
      </c>
      <c r="N45" s="8" t="n"/>
    </row>
    <row r="46" ht="16.5" customHeight="1">
      <c r="A46" s="9" t="inlineStr">
        <is>
          <t>26 Vs 25</t>
        </is>
      </c>
      <c r="B46" s="17">
        <f>(B42-B38)/B38</f>
        <v/>
      </c>
      <c r="C46" s="17">
        <f>(C42-C38)/C38</f>
        <v/>
      </c>
      <c r="D46" s="17">
        <f>(D42-D38)/D38</f>
        <v/>
      </c>
      <c r="E46" s="17">
        <f>(E42-E38)/E38</f>
        <v/>
      </c>
      <c r="F46" s="17">
        <f>(F42-F38)/F38</f>
        <v/>
      </c>
      <c r="G46" s="17">
        <f>(G42-G38)/G38</f>
        <v/>
      </c>
      <c r="H46" s="10" t="n"/>
      <c r="I46" s="10" t="n"/>
      <c r="J46" s="10" t="n"/>
      <c r="K46" s="10" t="n"/>
      <c r="L46" s="10" t="n"/>
      <c r="M46" s="10" t="n"/>
      <c r="N46" s="8" t="n"/>
    </row>
    <row r="47" ht="16.5" customHeight="1">
      <c r="A47" s="9" t="n"/>
      <c r="B47" s="17" t="n"/>
      <c r="C47" s="17" t="n"/>
      <c r="D47" s="17" t="n"/>
      <c r="E47" s="17" t="n"/>
      <c r="F47" s="17" t="n"/>
      <c r="G47" s="17" t="n"/>
      <c r="H47" s="10" t="n"/>
      <c r="I47" s="10" t="n"/>
      <c r="J47" s="10" t="n"/>
      <c r="K47" s="10" t="n"/>
      <c r="L47" s="10" t="n"/>
      <c r="M47" s="10" t="n"/>
      <c r="N47" s="8" t="n"/>
    </row>
    <row r="48" ht="49.5" customHeight="1">
      <c r="A48" s="1" t="inlineStr">
        <is>
          <t>Pattaya (Chonburi) Arrival</t>
        </is>
      </c>
      <c r="B48" s="2" t="inlineStr">
        <is>
          <t>Jan</t>
        </is>
      </c>
      <c r="C48" s="2" t="inlineStr">
        <is>
          <t>Feb</t>
        </is>
      </c>
      <c r="D48" s="2" t="inlineStr">
        <is>
          <t>Mar</t>
        </is>
      </c>
      <c r="E48" s="2" t="inlineStr">
        <is>
          <t>Apr</t>
        </is>
      </c>
      <c r="F48" s="2" t="inlineStr">
        <is>
          <t>May</t>
        </is>
      </c>
      <c r="G48" s="2" t="inlineStr">
        <is>
          <t>Jun</t>
        </is>
      </c>
      <c r="H48" s="2" t="inlineStr">
        <is>
          <t>Jul</t>
        </is>
      </c>
      <c r="I48" s="2" t="inlineStr">
        <is>
          <t>Aug</t>
        </is>
      </c>
      <c r="J48" s="2" t="inlineStr">
        <is>
          <t>Sep</t>
        </is>
      </c>
      <c r="K48" s="2" t="inlineStr">
        <is>
          <t>Oct</t>
        </is>
      </c>
      <c r="L48" s="2" t="inlineStr">
        <is>
          <t>Nov</t>
        </is>
      </c>
      <c r="M48" s="2" t="inlineStr">
        <is>
          <t>Dec</t>
        </is>
      </c>
      <c r="N48" s="2" t="inlineStr">
        <is>
          <t>Total</t>
        </is>
      </c>
    </row>
    <row r="49" ht="16.5" customHeight="1">
      <c r="A49" s="3" t="n">
        <v>2019</v>
      </c>
      <c r="B49" s="4">
        <f>SUM(B50:B51)</f>
        <v/>
      </c>
      <c r="C49" s="4">
        <f>SUM(C50:C51)</f>
        <v/>
      </c>
      <c r="D49" s="4">
        <f>SUM(D50:D51)</f>
        <v/>
      </c>
      <c r="E49" s="4">
        <f>SUM(E50:E51)</f>
        <v/>
      </c>
      <c r="F49" s="4">
        <f>SUM(F50:F51)</f>
        <v/>
      </c>
      <c r="G49" s="4">
        <f>SUM(G50:G51)</f>
        <v/>
      </c>
      <c r="H49" s="4">
        <f>SUM(H50:H51)</f>
        <v/>
      </c>
      <c r="I49" s="4">
        <f>SUM(I50:I51)</f>
        <v/>
      </c>
      <c r="J49" s="4">
        <f>SUM(J50:J51)</f>
        <v/>
      </c>
      <c r="K49" s="4">
        <f>SUM(K50:K51)</f>
        <v/>
      </c>
      <c r="L49" s="4">
        <f>SUM(L50:L51)</f>
        <v/>
      </c>
      <c r="M49" s="4">
        <f>SUM(M50:M51)</f>
        <v/>
      </c>
      <c r="N49" s="4">
        <f>SUM(B49:M49)</f>
        <v/>
      </c>
    </row>
    <row r="50" ht="16.5" customHeight="1">
      <c r="A50" s="5" t="inlineStr">
        <is>
          <t>- Domestics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4">
        <f>SUM(B50:M50)</f>
        <v/>
      </c>
    </row>
    <row r="51" ht="16.5" customHeight="1">
      <c r="A51" s="5" t="inlineStr">
        <is>
          <t>- International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4">
        <f>SUM(B51:M51)</f>
        <v/>
      </c>
    </row>
    <row r="52" ht="16.5" customHeight="1">
      <c r="A52" s="9" t="inlineStr">
        <is>
          <t>% Domestic</t>
        </is>
      </c>
      <c r="B52" s="10">
        <f>B50/B49</f>
        <v/>
      </c>
      <c r="C52" s="10">
        <f>C50/C49</f>
        <v/>
      </c>
      <c r="D52" s="10">
        <f>D50/D49</f>
        <v/>
      </c>
      <c r="E52" s="10">
        <f>E50/E49</f>
        <v/>
      </c>
      <c r="F52" s="10">
        <f>F50/F49</f>
        <v/>
      </c>
      <c r="G52" s="10">
        <f>G50/G49</f>
        <v/>
      </c>
      <c r="H52" s="7" t="n"/>
      <c r="I52" s="7" t="n"/>
      <c r="J52" s="7" t="n"/>
      <c r="K52" s="7" t="n"/>
      <c r="L52" s="7" t="n"/>
      <c r="M52" s="7" t="n"/>
      <c r="N52" s="8" t="n"/>
    </row>
    <row r="53" ht="16.5" customHeight="1">
      <c r="A53" s="3" t="n">
        <v>2023</v>
      </c>
      <c r="B53" s="4">
        <f>SUM(B54:B55)</f>
        <v/>
      </c>
      <c r="C53" s="4">
        <f>SUM(C54:C55)</f>
        <v/>
      </c>
      <c r="D53" s="4">
        <f>SUM(D54:D55)</f>
        <v/>
      </c>
      <c r="E53" s="4">
        <f>SUM(E54:E55)</f>
        <v/>
      </c>
      <c r="F53" s="4">
        <f>SUM(F54:F55)</f>
        <v/>
      </c>
      <c r="G53" s="4">
        <f>SUM(G54:G55)</f>
        <v/>
      </c>
      <c r="H53" s="4">
        <f>SUM(H54:H55)</f>
        <v/>
      </c>
      <c r="I53" s="4">
        <f>SUM(I54:I55)</f>
        <v/>
      </c>
      <c r="J53" s="4">
        <f>SUM(J54:J55)</f>
        <v/>
      </c>
      <c r="K53" s="4">
        <f>SUM(K54:K55)</f>
        <v/>
      </c>
      <c r="L53" s="4">
        <f>SUM(L54:L55)</f>
        <v/>
      </c>
      <c r="M53" s="4">
        <f>SUM(M54:M55)</f>
        <v/>
      </c>
      <c r="N53" s="4">
        <f>SUM(B53:M53)</f>
        <v/>
      </c>
    </row>
    <row r="54" ht="16.5" customHeight="1">
      <c r="A54" s="5" t="inlineStr">
        <is>
          <t>- Domestics</t>
        </is>
      </c>
      <c r="B54" s="6" t="n">
        <v>1388394</v>
      </c>
      <c r="C54" s="6" t="n">
        <v>1095770</v>
      </c>
      <c r="D54" s="6" t="n">
        <v>1129687</v>
      </c>
      <c r="E54" s="6" t="n">
        <v>1152479</v>
      </c>
      <c r="F54" s="6" t="n">
        <v>1184150</v>
      </c>
      <c r="G54" s="6" t="n">
        <v>1170560</v>
      </c>
      <c r="H54" s="6" t="n">
        <v>899703</v>
      </c>
      <c r="I54" s="6" t="n">
        <v>1302498</v>
      </c>
      <c r="J54" s="6" t="n">
        <v>974054</v>
      </c>
      <c r="K54" s="6" t="n">
        <v>1187341</v>
      </c>
      <c r="L54" s="6" t="n">
        <v>1369478</v>
      </c>
      <c r="M54" s="6" t="n">
        <v>1534753</v>
      </c>
      <c r="N54" s="4">
        <f>SUM(B54:M54)</f>
        <v/>
      </c>
    </row>
    <row r="55" ht="16.5" customHeight="1">
      <c r="A55" s="5" t="inlineStr">
        <is>
          <t>- International</t>
        </is>
      </c>
      <c r="B55" s="6" t="n">
        <v>747470</v>
      </c>
      <c r="C55" s="6" t="n">
        <v>749518</v>
      </c>
      <c r="D55" s="6" t="n">
        <v>832148</v>
      </c>
      <c r="E55" s="6" t="n">
        <v>812494</v>
      </c>
      <c r="F55" s="6" t="n">
        <v>761697</v>
      </c>
      <c r="G55" s="6" t="n">
        <v>794999</v>
      </c>
      <c r="H55" s="6" t="n">
        <v>1031825</v>
      </c>
      <c r="I55" s="6" t="n">
        <v>967067</v>
      </c>
      <c r="J55" s="6" t="n">
        <v>939379</v>
      </c>
      <c r="K55" s="6" t="n">
        <v>762788</v>
      </c>
      <c r="L55" s="6" t="n">
        <v>818354</v>
      </c>
      <c r="M55" s="6" t="n">
        <v>918609</v>
      </c>
      <c r="N55" s="4">
        <f>SUM(B55:M55)</f>
        <v/>
      </c>
    </row>
    <row r="56" ht="16.5" customHeight="1">
      <c r="A56" s="9" t="inlineStr">
        <is>
          <t>% Domestic</t>
        </is>
      </c>
      <c r="B56" s="10">
        <f>B54/B53</f>
        <v/>
      </c>
      <c r="C56" s="10">
        <f>C54/C53</f>
        <v/>
      </c>
      <c r="D56" s="10">
        <f>D54/D53</f>
        <v/>
      </c>
      <c r="E56" s="10">
        <f>E54/E53</f>
        <v/>
      </c>
      <c r="F56" s="10">
        <f>F54/F53</f>
        <v/>
      </c>
      <c r="G56" s="10">
        <f>G54/G53</f>
        <v/>
      </c>
      <c r="H56" s="10" t="n"/>
      <c r="I56" s="10" t="n"/>
      <c r="J56" s="10" t="n"/>
      <c r="K56" s="11" t="n"/>
      <c r="L56" s="10" t="n"/>
      <c r="M56" s="10" t="n"/>
      <c r="N56" s="12" t="n"/>
    </row>
    <row r="57" ht="16.5" customHeight="1">
      <c r="A57" s="3" t="n">
        <v>2024</v>
      </c>
      <c r="B57" s="4">
        <f>SUM(B58:B59)</f>
        <v/>
      </c>
      <c r="C57" s="4">
        <f>SUM(C58:C59)</f>
        <v/>
      </c>
      <c r="D57" s="4">
        <f>SUM(D58:D59)</f>
        <v/>
      </c>
      <c r="E57" s="4">
        <f>SUM(E58:E59)</f>
        <v/>
      </c>
      <c r="F57" s="4">
        <f>SUM(F58:F59)</f>
        <v/>
      </c>
      <c r="G57" s="4">
        <f>SUM(G58:G59)</f>
        <v/>
      </c>
      <c r="H57" s="4">
        <f>SUM(H58:H59)</f>
        <v/>
      </c>
      <c r="I57" s="4">
        <f>SUM(I58:I59)</f>
        <v/>
      </c>
      <c r="J57" s="4">
        <f>SUM(J58:J59)</f>
        <v/>
      </c>
      <c r="K57" s="4">
        <f>SUM(K58:K59)</f>
        <v/>
      </c>
      <c r="L57" s="4">
        <f>SUM(L58:L59)</f>
        <v/>
      </c>
      <c r="M57" s="4">
        <f>SUM(M58:M59)</f>
        <v/>
      </c>
      <c r="N57" s="4">
        <f>SUM(B57:M57)</f>
        <v/>
      </c>
    </row>
    <row r="58" ht="16.5" customHeight="1">
      <c r="A58" s="5" t="inlineStr">
        <is>
          <t>- Domestics</t>
        </is>
      </c>
      <c r="B58" s="6" t="n">
        <v>1143640</v>
      </c>
      <c r="C58" s="6" t="n">
        <v>1038036</v>
      </c>
      <c r="D58" s="6" t="n">
        <v>1230795</v>
      </c>
      <c r="E58" s="6" t="n">
        <v>1419211</v>
      </c>
      <c r="F58" s="6" t="n">
        <v>1437662</v>
      </c>
      <c r="G58" s="6" t="n">
        <v>1297317</v>
      </c>
      <c r="H58" s="6" t="n">
        <v>1206759</v>
      </c>
      <c r="I58" s="6" t="n">
        <v>1411868</v>
      </c>
      <c r="J58" s="6" t="n">
        <v>1367955</v>
      </c>
      <c r="K58" s="6" t="n">
        <v>1417137</v>
      </c>
      <c r="L58" s="6" t="n">
        <v>1541688</v>
      </c>
      <c r="M58" s="6" t="n">
        <v>1696334</v>
      </c>
      <c r="N58" s="4">
        <f>SUM(B58:M58)</f>
        <v/>
      </c>
    </row>
    <row r="59" ht="16.5" customHeight="1">
      <c r="A59" s="5" t="inlineStr">
        <is>
          <t>- International</t>
        </is>
      </c>
      <c r="B59" s="6" t="n">
        <v>1019426</v>
      </c>
      <c r="C59" s="6" t="n">
        <v>1097956</v>
      </c>
      <c r="D59" s="6" t="n">
        <v>1044241</v>
      </c>
      <c r="E59" s="6" t="n">
        <v>1009104</v>
      </c>
      <c r="F59" s="6" t="n">
        <v>856545</v>
      </c>
      <c r="G59" s="6" t="n">
        <v>752980</v>
      </c>
      <c r="H59" s="6" t="n">
        <v>1073750</v>
      </c>
      <c r="I59" s="6" t="n">
        <v>944638</v>
      </c>
      <c r="J59" s="6" t="n">
        <v>981161</v>
      </c>
      <c r="K59" s="6" t="n">
        <v>928213</v>
      </c>
      <c r="L59" s="6" t="n">
        <v>957223</v>
      </c>
      <c r="M59" s="6" t="n">
        <v>1024590</v>
      </c>
      <c r="N59" s="4">
        <f>SUM(B59:M59)</f>
        <v/>
      </c>
    </row>
    <row r="60" ht="16.5" customHeight="1">
      <c r="A60" s="9" t="inlineStr">
        <is>
          <t>% Domestic</t>
        </is>
      </c>
      <c r="B60" s="10">
        <f>B58/B57</f>
        <v/>
      </c>
      <c r="C60" s="10">
        <f>C58/C57</f>
        <v/>
      </c>
      <c r="D60" s="10">
        <f>D58/D57</f>
        <v/>
      </c>
      <c r="E60" s="10">
        <f>E58/E57</f>
        <v/>
      </c>
      <c r="F60" s="10">
        <f>F58/F57</f>
        <v/>
      </c>
      <c r="G60" s="10">
        <f>G58/G57</f>
        <v/>
      </c>
      <c r="H60" s="10" t="n"/>
      <c r="I60" s="10" t="n"/>
      <c r="J60" s="10" t="n"/>
      <c r="K60" s="11" t="n"/>
      <c r="L60" s="10" t="n"/>
      <c r="M60" s="10" t="n"/>
      <c r="N60" s="12" t="n"/>
    </row>
    <row r="61" ht="16.5" customHeight="1">
      <c r="A61" s="3" t="n">
        <v>2025</v>
      </c>
      <c r="B61" s="4">
        <f>SUM(B62:B63)</f>
        <v/>
      </c>
      <c r="C61" s="4">
        <f>SUM(C62:C63)</f>
        <v/>
      </c>
      <c r="D61" s="4">
        <f>SUM(D62:D63)</f>
        <v/>
      </c>
      <c r="E61" s="4">
        <f>SUM(E62:E63)</f>
        <v/>
      </c>
      <c r="F61" s="4">
        <f>SUM(F62:F63)</f>
        <v/>
      </c>
      <c r="G61" s="4">
        <f>SUM(G62:G63)</f>
        <v/>
      </c>
      <c r="H61" s="4">
        <f>SUM(H62:H63)</f>
        <v/>
      </c>
      <c r="I61" s="4">
        <f>SUM(I62:I63)</f>
        <v/>
      </c>
      <c r="J61" s="13">
        <f>SUM(J62:J63)</f>
        <v/>
      </c>
      <c r="K61" s="4">
        <f>SUM(K62:K63)</f>
        <v/>
      </c>
      <c r="L61" s="4">
        <f>SUM(L62:L63)</f>
        <v/>
      </c>
      <c r="M61" s="4">
        <f>SUM(M62:M63)</f>
        <v/>
      </c>
      <c r="N61" s="4">
        <f>SUM(B61:M61)</f>
        <v/>
      </c>
    </row>
    <row r="62" ht="16.5" customHeight="1">
      <c r="A62" s="5" t="inlineStr">
        <is>
          <t>- Domestics</t>
        </is>
      </c>
      <c r="B62" s="6" t="n">
        <v>1185508</v>
      </c>
      <c r="C62" s="6" t="n">
        <v>1182365</v>
      </c>
      <c r="D62" s="6" t="n">
        <v>1376266</v>
      </c>
      <c r="E62" s="6" t="n">
        <v>1764642</v>
      </c>
      <c r="F62" s="6" t="n">
        <v>1651588</v>
      </c>
      <c r="G62" s="6" t="n">
        <v>1292830</v>
      </c>
      <c r="H62" s="6" t="n"/>
      <c r="I62" s="14" t="n"/>
      <c r="J62" s="14" t="n"/>
      <c r="K62" s="6" t="n"/>
      <c r="L62" s="6" t="n"/>
      <c r="M62" s="6" t="n"/>
      <c r="N62" s="4">
        <f>SUM(B62:M62)</f>
        <v/>
      </c>
    </row>
    <row r="63" ht="16.5" customHeight="1">
      <c r="A63" s="5" t="inlineStr">
        <is>
          <t>- International</t>
        </is>
      </c>
      <c r="B63" s="6" t="n">
        <v>1077146</v>
      </c>
      <c r="C63" s="6" t="n">
        <v>1030959</v>
      </c>
      <c r="D63" s="6" t="n">
        <v>1030207</v>
      </c>
      <c r="E63" s="6" t="n">
        <v>850812</v>
      </c>
      <c r="F63" s="6" t="n">
        <v>742511</v>
      </c>
      <c r="G63" s="6" t="n">
        <v>690056</v>
      </c>
      <c r="H63" s="6" t="n"/>
      <c r="I63" s="14" t="n"/>
      <c r="J63" s="14" t="n"/>
      <c r="K63" s="6" t="n"/>
      <c r="L63" s="6" t="n"/>
      <c r="M63" s="6" t="n"/>
      <c r="N63" s="4">
        <f>SUM(B63:M63)</f>
        <v/>
      </c>
    </row>
    <row r="64" ht="16.5" customHeight="1">
      <c r="A64" s="9" t="inlineStr">
        <is>
          <t>% Domestic</t>
        </is>
      </c>
      <c r="B64" s="10">
        <f>B62/B61</f>
        <v/>
      </c>
      <c r="C64" s="10">
        <f>C62/C61</f>
        <v/>
      </c>
      <c r="D64" s="10">
        <f>D62/D61</f>
        <v/>
      </c>
      <c r="E64" s="10">
        <f>E62/E61</f>
        <v/>
      </c>
      <c r="F64" s="10">
        <f>F62/F61</f>
        <v/>
      </c>
      <c r="G64" s="10">
        <f>G62/G61</f>
        <v/>
      </c>
      <c r="H64" s="15" t="n"/>
      <c r="I64" s="15" t="n"/>
      <c r="J64" s="7" t="n"/>
      <c r="K64" s="15" t="n"/>
      <c r="L64" s="15" t="n"/>
      <c r="M64" s="15" t="n"/>
      <c r="N64" s="16" t="n"/>
    </row>
    <row r="65" ht="16.5" customHeight="1">
      <c r="A65" s="3" t="n">
        <v>2026</v>
      </c>
      <c r="B65" s="4">
        <f>SUM(B66:B67)</f>
        <v/>
      </c>
      <c r="C65" s="4">
        <f>SUM(C66:C67)</f>
        <v/>
      </c>
      <c r="D65" s="4">
        <f>SUM(D66:D67)</f>
        <v/>
      </c>
      <c r="E65" s="4">
        <f>SUM(E66:E67)</f>
        <v/>
      </c>
      <c r="F65" s="4">
        <f>SUM(F66:F67)</f>
        <v/>
      </c>
      <c r="G65" s="4">
        <f>SUM(G66:G67)</f>
        <v/>
      </c>
      <c r="H65" s="4">
        <f>SUM(H66:H67)</f>
        <v/>
      </c>
      <c r="I65" s="4">
        <f>SUM(I66:I67)</f>
        <v/>
      </c>
      <c r="J65" s="13">
        <f>SUM(J66:J67)</f>
        <v/>
      </c>
      <c r="K65" s="4">
        <f>SUM(K66:K67)</f>
        <v/>
      </c>
      <c r="L65" s="4">
        <f>SUM(L66:L67)</f>
        <v/>
      </c>
      <c r="M65" s="4">
        <f>SUM(M66:M67)</f>
        <v/>
      </c>
      <c r="N65" s="4">
        <f>SUM(B65:M65)</f>
        <v/>
      </c>
    </row>
    <row r="66" ht="16.5" customHeight="1">
      <c r="A66" s="5" t="inlineStr">
        <is>
          <t>- Domestics</t>
        </is>
      </c>
      <c r="B66" s="6" t="n">
        <v>1187042</v>
      </c>
      <c r="C66" s="6" t="n">
        <v>1131059</v>
      </c>
      <c r="D66" s="6" t="n">
        <v>1289860</v>
      </c>
      <c r="E66" s="6" t="n">
        <v>1829691</v>
      </c>
      <c r="F66" s="6" t="n">
        <v>1607296</v>
      </c>
      <c r="G66" s="6" t="n">
        <v>1331330</v>
      </c>
      <c r="H66" s="6" t="n"/>
      <c r="I66" s="14" t="n"/>
      <c r="J66" s="14" t="n"/>
      <c r="K66" s="6" t="n"/>
      <c r="L66" s="6" t="n"/>
      <c r="M66" s="6" t="n"/>
      <c r="N66" s="4">
        <f>SUM(B66:M66)</f>
        <v/>
      </c>
    </row>
    <row r="67" ht="16.5" customHeight="1">
      <c r="A67" s="5" t="inlineStr">
        <is>
          <t>- International</t>
        </is>
      </c>
      <c r="B67" s="6" t="n">
        <v>941284</v>
      </c>
      <c r="C67" s="6" t="n">
        <v>1081625</v>
      </c>
      <c r="D67" s="6" t="n">
        <v>974714</v>
      </c>
      <c r="E67" s="6" t="n">
        <v>740668</v>
      </c>
      <c r="F67" s="6" t="n">
        <v>747803</v>
      </c>
      <c r="G67" s="6" t="n">
        <v>644240</v>
      </c>
      <c r="H67" s="6" t="n"/>
      <c r="I67" s="14" t="n"/>
      <c r="J67" s="14" t="n"/>
      <c r="K67" s="6" t="n"/>
      <c r="L67" s="6" t="n"/>
      <c r="M67" s="6" t="n"/>
      <c r="N67" s="4">
        <f>SUM(B67:M67)</f>
        <v/>
      </c>
    </row>
    <row r="68" ht="16.5" customHeight="1">
      <c r="A68" s="9" t="inlineStr">
        <is>
          <t>% Domestic</t>
        </is>
      </c>
      <c r="B68" s="10">
        <f>B66/B65</f>
        <v/>
      </c>
      <c r="C68" s="10">
        <f>C66/C65</f>
        <v/>
      </c>
      <c r="D68" s="10">
        <f>D66/D65</f>
        <v/>
      </c>
      <c r="E68" s="10">
        <f>E66/E65</f>
        <v/>
      </c>
      <c r="F68" s="10">
        <f>F66/F65</f>
        <v/>
      </c>
      <c r="G68" s="10">
        <f>G66/G65</f>
        <v/>
      </c>
    </row>
    <row r="69" ht="16.5" customHeight="1">
      <c r="A69" s="9" t="inlineStr">
        <is>
          <t>26 Vs 25</t>
        </is>
      </c>
      <c r="B69" s="17">
        <f>(B65-B61)/B61</f>
        <v/>
      </c>
      <c r="C69" s="17">
        <f>(C65-C61)/C61</f>
        <v/>
      </c>
      <c r="D69" s="17">
        <f>(D65-D61)/D61</f>
        <v/>
      </c>
      <c r="E69" s="17">
        <f>(E65-E61)/E61</f>
        <v/>
      </c>
      <c r="F69" s="17">
        <f>(F65-F61)/F61</f>
        <v/>
      </c>
      <c r="G69" s="17">
        <f>(G65-G61)/G61</f>
        <v/>
      </c>
    </row>
    <row r="70">
      <c r="A70" t="inlineStr">
        <is>
          <t>Source: MOTS provincial visitor statistics (ผู้เยี่ยมเยือน) — 2025+2026 Jan-Jun filled; Jan-Mar 2026 final (R), Apr-Jun preliminary (p). 2019/2024 await those year editions. Chonburi province = Pattaya per Mae.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Ariya Ariyachotima</dc:creator>
  <dcterms:created xmlns:dcterms="http://purl.org/dc/terms/" xmlns:xsi="http://www.w3.org/2001/XMLSchema-instance" xsi:type="dcterms:W3CDTF">2026-07-30T02:17:08Z</dcterms:created>
  <dcterms:modified xmlns:dcterms="http://purl.org/dc/terms/" xmlns:xsi="http://www.w3.org/2001/XMLSchema-instance" xsi:type="dcterms:W3CDTF">2026-07-30T02:47:55Z</dcterms:modified>
  <cp:lastModifiedBy>Ariya Ariyachotima</cp:lastModifiedBy>
</cp:coreProperties>
</file>